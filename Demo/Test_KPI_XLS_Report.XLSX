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 folder\"/>
    </mc:Choice>
  </mc:AlternateContent>
  <xr:revisionPtr revIDLastSave="0" documentId="13_ncr:1_{9CF0BFF6-1112-42D5-B8B5-381C5D6711D5}" xr6:coauthVersionLast="47" xr6:coauthVersionMax="47" xr10:uidLastSave="{00000000-0000-0000-0000-000000000000}"/>
  <bookViews>
    <workbookView xWindow="-120" yWindow="-120" windowWidth="29040" windowHeight="15720" activeTab="1" xr2:uid="{E72579A3-EBC3-4CDC-A9D3-995F36CCECA3}"/>
  </bookViews>
  <sheets>
    <sheet name="Special_Chart" sheetId="4" r:id="rId1"/>
    <sheet name="Monthly_Chart" sheetId="3" r:id="rId2"/>
    <sheet name="KPI_Special" sheetId="2" r:id="rId3"/>
    <sheet name="KPI_Monthly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7" i="4" l="1"/>
  <c r="N37" i="4"/>
  <c r="M37" i="4"/>
  <c r="L37" i="4"/>
  <c r="K37" i="4"/>
  <c r="J37" i="4"/>
  <c r="I37" i="4"/>
  <c r="O64" i="4"/>
  <c r="N64" i="4"/>
  <c r="M64" i="4"/>
  <c r="L64" i="4"/>
  <c r="K64" i="4"/>
  <c r="J64" i="4"/>
  <c r="O63" i="4"/>
  <c r="N63" i="4"/>
  <c r="M63" i="4"/>
  <c r="L63" i="4"/>
  <c r="K63" i="4"/>
  <c r="J63" i="4"/>
  <c r="O62" i="4"/>
  <c r="N62" i="4"/>
  <c r="M62" i="4"/>
  <c r="L62" i="4"/>
  <c r="K62" i="4"/>
  <c r="J62" i="4"/>
  <c r="O61" i="4"/>
  <c r="N61" i="4"/>
  <c r="M61" i="4"/>
  <c r="L61" i="4"/>
  <c r="K61" i="4"/>
  <c r="J61" i="4"/>
  <c r="O60" i="4"/>
  <c r="N60" i="4"/>
  <c r="M60" i="4"/>
  <c r="L60" i="4"/>
  <c r="K60" i="4"/>
  <c r="J60" i="4"/>
  <c r="O59" i="4"/>
  <c r="N59" i="4"/>
  <c r="M59" i="4"/>
  <c r="L59" i="4"/>
  <c r="K59" i="4"/>
  <c r="J59" i="4"/>
  <c r="O58" i="4"/>
  <c r="N58" i="4"/>
  <c r="M58" i="4"/>
  <c r="L58" i="4"/>
  <c r="K58" i="4"/>
  <c r="J58" i="4"/>
  <c r="O57" i="4"/>
  <c r="N57" i="4"/>
  <c r="M57" i="4"/>
  <c r="L57" i="4"/>
  <c r="K57" i="4"/>
  <c r="J57" i="4"/>
  <c r="O56" i="4"/>
  <c r="N56" i="4"/>
  <c r="M56" i="4"/>
  <c r="L56" i="4"/>
  <c r="K56" i="4"/>
  <c r="J56" i="4"/>
  <c r="O55" i="4"/>
  <c r="N55" i="4"/>
  <c r="M55" i="4"/>
  <c r="L55" i="4"/>
  <c r="K55" i="4"/>
  <c r="J55" i="4"/>
  <c r="O54" i="4"/>
  <c r="N54" i="4"/>
  <c r="M54" i="4"/>
  <c r="L54" i="4"/>
  <c r="K54" i="4"/>
  <c r="J54" i="4"/>
  <c r="O53" i="4"/>
  <c r="N53" i="4"/>
  <c r="M53" i="4"/>
  <c r="L53" i="4"/>
  <c r="K53" i="4"/>
  <c r="J53" i="4"/>
  <c r="O52" i="4"/>
  <c r="N52" i="4"/>
  <c r="M52" i="4"/>
  <c r="L52" i="4"/>
  <c r="K52" i="4"/>
  <c r="J52" i="4"/>
  <c r="O51" i="4"/>
  <c r="N51" i="4"/>
  <c r="M51" i="4"/>
  <c r="L51" i="4"/>
  <c r="K51" i="4"/>
  <c r="J51" i="4"/>
  <c r="O50" i="4"/>
  <c r="N50" i="4"/>
  <c r="M50" i="4"/>
  <c r="L50" i="4"/>
  <c r="K50" i="4"/>
  <c r="J50" i="4"/>
  <c r="O49" i="4"/>
  <c r="N49" i="4"/>
  <c r="M49" i="4"/>
  <c r="L49" i="4"/>
  <c r="K49" i="4"/>
  <c r="J49" i="4"/>
  <c r="O48" i="4"/>
  <c r="N48" i="4"/>
  <c r="M48" i="4"/>
  <c r="L48" i="4"/>
  <c r="K48" i="4"/>
  <c r="J48" i="4"/>
  <c r="O47" i="4"/>
  <c r="N47" i="4"/>
  <c r="M47" i="4"/>
  <c r="L47" i="4"/>
  <c r="K47" i="4"/>
  <c r="J47" i="4"/>
  <c r="O46" i="4"/>
  <c r="N46" i="4"/>
  <c r="M46" i="4"/>
  <c r="L46" i="4"/>
  <c r="K46" i="4"/>
  <c r="J46" i="4"/>
  <c r="O45" i="4"/>
  <c r="N45" i="4"/>
  <c r="M45" i="4"/>
  <c r="L45" i="4"/>
  <c r="K45" i="4"/>
  <c r="J45" i="4"/>
  <c r="O44" i="4"/>
  <c r="N44" i="4"/>
  <c r="M44" i="4"/>
  <c r="L44" i="4"/>
  <c r="K44" i="4"/>
  <c r="J44" i="4"/>
  <c r="O43" i="4"/>
  <c r="N43" i="4"/>
  <c r="M43" i="4"/>
  <c r="L43" i="4"/>
  <c r="K43" i="4"/>
  <c r="J43" i="4"/>
  <c r="O42" i="4"/>
  <c r="N42" i="4"/>
  <c r="M42" i="4"/>
  <c r="L42" i="4"/>
  <c r="K42" i="4"/>
  <c r="J42" i="4"/>
  <c r="O41" i="4"/>
  <c r="N41" i="4"/>
  <c r="M41" i="4"/>
  <c r="L41" i="4"/>
  <c r="K41" i="4"/>
  <c r="J41" i="4"/>
  <c r="O40" i="4"/>
  <c r="N40" i="4"/>
  <c r="M40" i="4"/>
  <c r="L40" i="4"/>
  <c r="K40" i="4"/>
  <c r="J40" i="4"/>
  <c r="O39" i="4"/>
  <c r="N39" i="4"/>
  <c r="M39" i="4"/>
  <c r="L39" i="4"/>
  <c r="K39" i="4"/>
  <c r="J39" i="4"/>
  <c r="O38" i="4"/>
  <c r="N38" i="4"/>
  <c r="M38" i="4"/>
  <c r="L38" i="4"/>
  <c r="K38" i="4"/>
  <c r="J38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O677" i="2"/>
  <c r="N677" i="2"/>
  <c r="M677" i="2"/>
  <c r="L677" i="2"/>
  <c r="K677" i="2"/>
  <c r="J677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O676" i="2"/>
  <c r="O675" i="2"/>
  <c r="O674" i="2"/>
  <c r="O673" i="2"/>
  <c r="O672" i="2"/>
  <c r="O671" i="2"/>
  <c r="O670" i="2"/>
  <c r="O669" i="2"/>
  <c r="O668" i="2"/>
  <c r="O667" i="2"/>
  <c r="O666" i="2"/>
  <c r="O665" i="2"/>
  <c r="O664" i="2"/>
  <c r="O663" i="2"/>
  <c r="O662" i="2"/>
  <c r="O661" i="2"/>
  <c r="O660" i="2"/>
  <c r="O659" i="2"/>
  <c r="O658" i="2"/>
  <c r="O657" i="2"/>
  <c r="O656" i="2"/>
  <c r="O655" i="2"/>
  <c r="O654" i="2"/>
  <c r="O653" i="2"/>
  <c r="O652" i="2"/>
  <c r="O651" i="2"/>
  <c r="N676" i="2"/>
  <c r="N675" i="2"/>
  <c r="N674" i="2"/>
  <c r="N673" i="2"/>
  <c r="N672" i="2"/>
  <c r="N671" i="2"/>
  <c r="N670" i="2"/>
  <c r="N669" i="2"/>
  <c r="N668" i="2"/>
  <c r="N667" i="2"/>
  <c r="N666" i="2"/>
  <c r="N665" i="2"/>
  <c r="N664" i="2"/>
  <c r="N663" i="2"/>
  <c r="N662" i="2"/>
  <c r="N661" i="2"/>
  <c r="N660" i="2"/>
  <c r="N659" i="2"/>
  <c r="N658" i="2"/>
  <c r="N657" i="2"/>
  <c r="N656" i="2"/>
  <c r="N655" i="2"/>
  <c r="N654" i="2"/>
  <c r="N653" i="2"/>
  <c r="N652" i="2"/>
  <c r="N651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J676" i="2"/>
  <c r="J675" i="2"/>
  <c r="J674" i="2"/>
  <c r="J673" i="2"/>
  <c r="J672" i="2"/>
  <c r="J671" i="2"/>
  <c r="J670" i="2"/>
  <c r="J669" i="2"/>
  <c r="J668" i="2"/>
  <c r="J667" i="2"/>
  <c r="J666" i="2"/>
  <c r="J665" i="2"/>
  <c r="J664" i="2"/>
  <c r="J663" i="2"/>
  <c r="J662" i="2"/>
  <c r="J661" i="2"/>
  <c r="J660" i="2"/>
  <c r="J659" i="2"/>
  <c r="J658" i="2"/>
  <c r="J657" i="2"/>
  <c r="J656" i="2"/>
  <c r="J655" i="2"/>
  <c r="J654" i="2"/>
  <c r="J653" i="2"/>
  <c r="J652" i="2"/>
  <c r="J651" i="2"/>
  <c r="O642" i="2"/>
  <c r="N642" i="2"/>
  <c r="M642" i="2"/>
  <c r="L642" i="2"/>
  <c r="K642" i="2"/>
  <c r="J642" i="2"/>
  <c r="O629" i="2"/>
  <c r="N629" i="2"/>
  <c r="M629" i="2"/>
  <c r="L629" i="2"/>
  <c r="K629" i="2"/>
  <c r="J629" i="2"/>
  <c r="O610" i="2"/>
  <c r="N610" i="2"/>
  <c r="M610" i="2"/>
  <c r="L610" i="2"/>
  <c r="K610" i="2"/>
  <c r="J610" i="2"/>
  <c r="O594" i="2"/>
  <c r="N594" i="2"/>
  <c r="M594" i="2"/>
  <c r="L594" i="2"/>
  <c r="K594" i="2"/>
  <c r="J594" i="2"/>
  <c r="O564" i="2"/>
  <c r="N564" i="2"/>
  <c r="M564" i="2"/>
  <c r="L564" i="2"/>
  <c r="K564" i="2"/>
  <c r="J564" i="2"/>
  <c r="O528" i="2"/>
  <c r="N528" i="2"/>
  <c r="M528" i="2"/>
  <c r="L528" i="2"/>
  <c r="K528" i="2"/>
  <c r="J528" i="2"/>
  <c r="O506" i="2"/>
  <c r="N506" i="2"/>
  <c r="M506" i="2"/>
  <c r="L506" i="2"/>
  <c r="K506" i="2"/>
  <c r="J506" i="2"/>
  <c r="O475" i="2"/>
  <c r="N475" i="2"/>
  <c r="M475" i="2"/>
  <c r="L475" i="2"/>
  <c r="K475" i="2"/>
  <c r="J475" i="2"/>
  <c r="O458" i="2"/>
  <c r="N458" i="2"/>
  <c r="M458" i="2"/>
  <c r="L458" i="2"/>
  <c r="K458" i="2"/>
  <c r="J458" i="2"/>
  <c r="O440" i="2"/>
  <c r="N440" i="2"/>
  <c r="M440" i="2"/>
  <c r="L440" i="2"/>
  <c r="K440" i="2"/>
  <c r="J440" i="2"/>
  <c r="O410" i="2"/>
  <c r="N410" i="2"/>
  <c r="M410" i="2"/>
  <c r="L410" i="2"/>
  <c r="K410" i="2"/>
  <c r="J410" i="2"/>
  <c r="O392" i="2"/>
  <c r="N392" i="2"/>
  <c r="M392" i="2"/>
  <c r="L392" i="2"/>
  <c r="K392" i="2"/>
  <c r="J392" i="2"/>
  <c r="O364" i="2"/>
  <c r="N364" i="2"/>
  <c r="M364" i="2"/>
  <c r="L364" i="2"/>
  <c r="K364" i="2"/>
  <c r="J364" i="2"/>
  <c r="O344" i="2"/>
  <c r="N344" i="2"/>
  <c r="M344" i="2"/>
  <c r="L344" i="2"/>
  <c r="K344" i="2"/>
  <c r="J344" i="2"/>
  <c r="O327" i="2"/>
  <c r="N327" i="2"/>
  <c r="M327" i="2"/>
  <c r="L327" i="2"/>
  <c r="K327" i="2"/>
  <c r="J327" i="2"/>
  <c r="O302" i="2"/>
  <c r="N302" i="2"/>
  <c r="M302" i="2"/>
  <c r="L302" i="2"/>
  <c r="K302" i="2"/>
  <c r="J302" i="2"/>
  <c r="O281" i="2"/>
  <c r="N281" i="2"/>
  <c r="M281" i="2"/>
  <c r="L281" i="2"/>
  <c r="K281" i="2"/>
  <c r="J281" i="2"/>
  <c r="O253" i="2"/>
  <c r="N253" i="2"/>
  <c r="M253" i="2"/>
  <c r="L253" i="2"/>
  <c r="K253" i="2"/>
  <c r="J253" i="2"/>
  <c r="O211" i="2"/>
  <c r="N211" i="2"/>
  <c r="M211" i="2"/>
  <c r="L211" i="2"/>
  <c r="K211" i="2"/>
  <c r="J211" i="2"/>
  <c r="O189" i="2"/>
  <c r="N189" i="2"/>
  <c r="M189" i="2"/>
  <c r="L189" i="2"/>
  <c r="K189" i="2"/>
  <c r="J189" i="2"/>
  <c r="O166" i="2"/>
  <c r="N166" i="2"/>
  <c r="M166" i="2"/>
  <c r="L166" i="2"/>
  <c r="K166" i="2"/>
  <c r="J166" i="2"/>
  <c r="O125" i="2"/>
  <c r="N125" i="2"/>
  <c r="M125" i="2"/>
  <c r="L125" i="2"/>
  <c r="K125" i="2"/>
  <c r="J125" i="2"/>
  <c r="O86" i="2"/>
  <c r="N86" i="2"/>
  <c r="M86" i="2"/>
  <c r="L86" i="2"/>
  <c r="K86" i="2"/>
  <c r="J86" i="2"/>
  <c r="O59" i="2"/>
  <c r="N59" i="2"/>
  <c r="M59" i="2"/>
  <c r="L59" i="2"/>
  <c r="K59" i="2"/>
  <c r="J59" i="2"/>
  <c r="O35" i="2"/>
  <c r="N35" i="2"/>
  <c r="M35" i="2"/>
  <c r="L35" i="2"/>
  <c r="K35" i="2"/>
  <c r="J35" i="2"/>
  <c r="O15" i="2"/>
  <c r="N15" i="2"/>
  <c r="M15" i="2"/>
  <c r="L15" i="2"/>
  <c r="K15" i="2"/>
  <c r="J15" i="2"/>
  <c r="O37" i="3"/>
  <c r="N37" i="3"/>
  <c r="M37" i="3"/>
  <c r="L37" i="3"/>
  <c r="K37" i="3"/>
  <c r="J37" i="3"/>
  <c r="I37" i="3"/>
  <c r="O64" i="3"/>
  <c r="N64" i="3"/>
  <c r="M64" i="3"/>
  <c r="L64" i="3"/>
  <c r="K64" i="3"/>
  <c r="J64" i="3"/>
  <c r="O63" i="3"/>
  <c r="N63" i="3"/>
  <c r="M63" i="3"/>
  <c r="L63" i="3"/>
  <c r="K63" i="3"/>
  <c r="J63" i="3"/>
  <c r="O62" i="3"/>
  <c r="N62" i="3"/>
  <c r="M62" i="3"/>
  <c r="L62" i="3"/>
  <c r="K62" i="3"/>
  <c r="J62" i="3"/>
  <c r="O61" i="3"/>
  <c r="N61" i="3"/>
  <c r="M61" i="3"/>
  <c r="L61" i="3"/>
  <c r="K61" i="3"/>
  <c r="J61" i="3"/>
  <c r="O60" i="3"/>
  <c r="N60" i="3"/>
  <c r="M60" i="3"/>
  <c r="L60" i="3"/>
  <c r="K60" i="3"/>
  <c r="J60" i="3"/>
  <c r="O59" i="3"/>
  <c r="N59" i="3"/>
  <c r="M59" i="3"/>
  <c r="L59" i="3"/>
  <c r="K59" i="3"/>
  <c r="J59" i="3"/>
  <c r="O58" i="3"/>
  <c r="N58" i="3"/>
  <c r="M58" i="3"/>
  <c r="L58" i="3"/>
  <c r="K58" i="3"/>
  <c r="J58" i="3"/>
  <c r="O57" i="3"/>
  <c r="N57" i="3"/>
  <c r="M57" i="3"/>
  <c r="L57" i="3"/>
  <c r="K57" i="3"/>
  <c r="J57" i="3"/>
  <c r="O56" i="3"/>
  <c r="N56" i="3"/>
  <c r="M56" i="3"/>
  <c r="L56" i="3"/>
  <c r="K56" i="3"/>
  <c r="J56" i="3"/>
  <c r="O55" i="3"/>
  <c r="N55" i="3"/>
  <c r="M55" i="3"/>
  <c r="L55" i="3"/>
  <c r="K55" i="3"/>
  <c r="J55" i="3"/>
  <c r="O54" i="3"/>
  <c r="N54" i="3"/>
  <c r="M54" i="3"/>
  <c r="L54" i="3"/>
  <c r="K54" i="3"/>
  <c r="J54" i="3"/>
  <c r="O53" i="3"/>
  <c r="N53" i="3"/>
  <c r="M53" i="3"/>
  <c r="L53" i="3"/>
  <c r="K53" i="3"/>
  <c r="J53" i="3"/>
  <c r="O52" i="3"/>
  <c r="N52" i="3"/>
  <c r="M52" i="3"/>
  <c r="L52" i="3"/>
  <c r="K52" i="3"/>
  <c r="J52" i="3"/>
  <c r="O51" i="3"/>
  <c r="N51" i="3"/>
  <c r="M51" i="3"/>
  <c r="L51" i="3"/>
  <c r="K51" i="3"/>
  <c r="J51" i="3"/>
  <c r="O50" i="3"/>
  <c r="N50" i="3"/>
  <c r="M50" i="3"/>
  <c r="L50" i="3"/>
  <c r="K50" i="3"/>
  <c r="J50" i="3"/>
  <c r="O49" i="3"/>
  <c r="N49" i="3"/>
  <c r="M49" i="3"/>
  <c r="L49" i="3"/>
  <c r="K49" i="3"/>
  <c r="J49" i="3"/>
  <c r="O48" i="3"/>
  <c r="N48" i="3"/>
  <c r="M48" i="3"/>
  <c r="L48" i="3"/>
  <c r="K48" i="3"/>
  <c r="J48" i="3"/>
  <c r="O47" i="3"/>
  <c r="N47" i="3"/>
  <c r="M47" i="3"/>
  <c r="L47" i="3"/>
  <c r="K47" i="3"/>
  <c r="J47" i="3"/>
  <c r="O46" i="3"/>
  <c r="N46" i="3"/>
  <c r="M46" i="3"/>
  <c r="L46" i="3"/>
  <c r="K46" i="3"/>
  <c r="J46" i="3"/>
  <c r="O45" i="3"/>
  <c r="N45" i="3"/>
  <c r="M45" i="3"/>
  <c r="L45" i="3"/>
  <c r="K45" i="3"/>
  <c r="J45" i="3"/>
  <c r="O44" i="3"/>
  <c r="N44" i="3"/>
  <c r="M44" i="3"/>
  <c r="L44" i="3"/>
  <c r="K44" i="3"/>
  <c r="J44" i="3"/>
  <c r="O43" i="3"/>
  <c r="N43" i="3"/>
  <c r="M43" i="3"/>
  <c r="L43" i="3"/>
  <c r="K43" i="3"/>
  <c r="J43" i="3"/>
  <c r="O42" i="3"/>
  <c r="N42" i="3"/>
  <c r="M42" i="3"/>
  <c r="L42" i="3"/>
  <c r="K42" i="3"/>
  <c r="J42" i="3"/>
  <c r="O41" i="3"/>
  <c r="N41" i="3"/>
  <c r="M41" i="3"/>
  <c r="L41" i="3"/>
  <c r="K41" i="3"/>
  <c r="J41" i="3"/>
  <c r="O40" i="3"/>
  <c r="N40" i="3"/>
  <c r="M40" i="3"/>
  <c r="L40" i="3"/>
  <c r="K40" i="3"/>
  <c r="J40" i="3"/>
  <c r="O39" i="3"/>
  <c r="N39" i="3"/>
  <c r="M39" i="3"/>
  <c r="L39" i="3"/>
  <c r="K39" i="3"/>
  <c r="J39" i="3"/>
  <c r="O38" i="3"/>
  <c r="N38" i="3"/>
  <c r="M38" i="3"/>
  <c r="L38" i="3"/>
  <c r="K38" i="3"/>
  <c r="J38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O651" i="1"/>
  <c r="N651" i="1"/>
  <c r="M651" i="1"/>
  <c r="L651" i="1"/>
  <c r="K651" i="1"/>
  <c r="J651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O616" i="1"/>
  <c r="N616" i="1"/>
  <c r="M616" i="1"/>
  <c r="L616" i="1"/>
  <c r="K616" i="1"/>
  <c r="J616" i="1"/>
  <c r="U613" i="1"/>
  <c r="U614" i="1"/>
  <c r="U615" i="1"/>
  <c r="T613" i="1"/>
  <c r="T614" i="1"/>
  <c r="T615" i="1"/>
  <c r="O604" i="1"/>
  <c r="N604" i="1"/>
  <c r="M604" i="1"/>
  <c r="L604" i="1"/>
  <c r="K604" i="1"/>
  <c r="J604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O582" i="1"/>
  <c r="N582" i="1"/>
  <c r="M582" i="1"/>
  <c r="L582" i="1"/>
  <c r="K582" i="1"/>
  <c r="J58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O554" i="1"/>
  <c r="N554" i="1"/>
  <c r="M554" i="1"/>
  <c r="L554" i="1"/>
  <c r="K554" i="1"/>
  <c r="J554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O527" i="1"/>
  <c r="N527" i="1"/>
  <c r="M527" i="1"/>
  <c r="L527" i="1"/>
  <c r="K527" i="1"/>
  <c r="J527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O504" i="1"/>
  <c r="N504" i="1"/>
  <c r="M504" i="1"/>
  <c r="L504" i="1"/>
  <c r="K504" i="1"/>
  <c r="J504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O470" i="1"/>
  <c r="N470" i="1"/>
  <c r="M470" i="1"/>
  <c r="L470" i="1"/>
  <c r="K470" i="1"/>
  <c r="J470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O448" i="1"/>
  <c r="N448" i="1"/>
  <c r="M448" i="1"/>
  <c r="L448" i="1"/>
  <c r="K448" i="1"/>
  <c r="J448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O426" i="1"/>
  <c r="N426" i="1"/>
  <c r="M426" i="1"/>
  <c r="L426" i="1"/>
  <c r="K426" i="1"/>
  <c r="J426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O395" i="1"/>
  <c r="N395" i="1"/>
  <c r="M395" i="1"/>
  <c r="L395" i="1"/>
  <c r="K395" i="1"/>
  <c r="J395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O374" i="1"/>
  <c r="N374" i="1"/>
  <c r="M374" i="1"/>
  <c r="L374" i="1"/>
  <c r="K374" i="1"/>
  <c r="J374" i="1"/>
  <c r="U364" i="1"/>
  <c r="U365" i="1"/>
  <c r="U366" i="1"/>
  <c r="U367" i="1"/>
  <c r="U368" i="1"/>
  <c r="U369" i="1"/>
  <c r="U370" i="1"/>
  <c r="U371" i="1"/>
  <c r="U372" i="1"/>
  <c r="U373" i="1"/>
  <c r="T364" i="1"/>
  <c r="T365" i="1"/>
  <c r="T366" i="1"/>
  <c r="T367" i="1"/>
  <c r="T368" i="1"/>
  <c r="T369" i="1"/>
  <c r="T370" i="1"/>
  <c r="T371" i="1"/>
  <c r="T372" i="1"/>
  <c r="T373" i="1"/>
  <c r="O355" i="1"/>
  <c r="N355" i="1"/>
  <c r="M355" i="1"/>
  <c r="L355" i="1"/>
  <c r="K355" i="1"/>
  <c r="J355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O334" i="1"/>
  <c r="N334" i="1"/>
  <c r="M334" i="1"/>
  <c r="L334" i="1"/>
  <c r="K334" i="1"/>
  <c r="J334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O310" i="1"/>
  <c r="N310" i="1"/>
  <c r="M310" i="1"/>
  <c r="L310" i="1"/>
  <c r="K310" i="1"/>
  <c r="J310" i="1"/>
  <c r="U301" i="1"/>
  <c r="U302" i="1"/>
  <c r="U303" i="1"/>
  <c r="U304" i="1"/>
  <c r="U305" i="1"/>
  <c r="U306" i="1"/>
  <c r="U307" i="1"/>
  <c r="U308" i="1"/>
  <c r="U309" i="1"/>
  <c r="T301" i="1"/>
  <c r="T302" i="1"/>
  <c r="T303" i="1"/>
  <c r="T304" i="1"/>
  <c r="T305" i="1"/>
  <c r="T306" i="1"/>
  <c r="T307" i="1"/>
  <c r="T308" i="1"/>
  <c r="T309" i="1"/>
  <c r="O292" i="1"/>
  <c r="N292" i="1"/>
  <c r="M292" i="1"/>
  <c r="L292" i="1"/>
  <c r="K292" i="1"/>
  <c r="J292" i="1"/>
  <c r="U282" i="1"/>
  <c r="U283" i="1"/>
  <c r="U284" i="1"/>
  <c r="U285" i="1"/>
  <c r="U286" i="1"/>
  <c r="U287" i="1"/>
  <c r="U288" i="1"/>
  <c r="U289" i="1"/>
  <c r="U290" i="1"/>
  <c r="U291" i="1"/>
  <c r="T282" i="1"/>
  <c r="T283" i="1"/>
  <c r="T284" i="1"/>
  <c r="T285" i="1"/>
  <c r="T286" i="1"/>
  <c r="T287" i="1"/>
  <c r="T288" i="1"/>
  <c r="T289" i="1"/>
  <c r="T290" i="1"/>
  <c r="T291" i="1"/>
  <c r="O273" i="1"/>
  <c r="N273" i="1"/>
  <c r="M273" i="1"/>
  <c r="L273" i="1"/>
  <c r="K273" i="1"/>
  <c r="J273" i="1"/>
  <c r="U265" i="1"/>
  <c r="U266" i="1"/>
  <c r="U267" i="1"/>
  <c r="U268" i="1"/>
  <c r="U269" i="1"/>
  <c r="U270" i="1"/>
  <c r="U271" i="1"/>
  <c r="U272" i="1"/>
  <c r="T265" i="1"/>
  <c r="T266" i="1"/>
  <c r="T267" i="1"/>
  <c r="T268" i="1"/>
  <c r="T269" i="1"/>
  <c r="T270" i="1"/>
  <c r="T271" i="1"/>
  <c r="T272" i="1"/>
  <c r="O256" i="1"/>
  <c r="N256" i="1"/>
  <c r="M256" i="1"/>
  <c r="L256" i="1"/>
  <c r="K256" i="1"/>
  <c r="J256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O230" i="1"/>
  <c r="N230" i="1"/>
  <c r="M230" i="1"/>
  <c r="L230" i="1"/>
  <c r="K230" i="1"/>
  <c r="J230" i="1"/>
  <c r="U219" i="1"/>
  <c r="U220" i="1"/>
  <c r="U221" i="1"/>
  <c r="U222" i="1"/>
  <c r="U223" i="1"/>
  <c r="U224" i="1"/>
  <c r="U225" i="1"/>
  <c r="U226" i="1"/>
  <c r="U227" i="1"/>
  <c r="U228" i="1"/>
  <c r="U229" i="1"/>
  <c r="T219" i="1"/>
  <c r="T220" i="1"/>
  <c r="T221" i="1"/>
  <c r="T222" i="1"/>
  <c r="T223" i="1"/>
  <c r="T224" i="1"/>
  <c r="T225" i="1"/>
  <c r="T226" i="1"/>
  <c r="T227" i="1"/>
  <c r="T228" i="1"/>
  <c r="T229" i="1"/>
  <c r="O210" i="1"/>
  <c r="N210" i="1"/>
  <c r="M210" i="1"/>
  <c r="L210" i="1"/>
  <c r="K210" i="1"/>
  <c r="J210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O184" i="1"/>
  <c r="N184" i="1"/>
  <c r="M184" i="1"/>
  <c r="L184" i="1"/>
  <c r="K184" i="1"/>
  <c r="J184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O161" i="1"/>
  <c r="N161" i="1"/>
  <c r="M161" i="1"/>
  <c r="L161" i="1"/>
  <c r="K161" i="1"/>
  <c r="J161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O125" i="1"/>
  <c r="N125" i="1"/>
  <c r="M125" i="1"/>
  <c r="L125" i="1"/>
  <c r="K125" i="1"/>
  <c r="J125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O101" i="1"/>
  <c r="N101" i="1"/>
  <c r="M101" i="1"/>
  <c r="L101" i="1"/>
  <c r="K101" i="1"/>
  <c r="J101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O67" i="1"/>
  <c r="N67" i="1"/>
  <c r="M67" i="1"/>
  <c r="L67" i="1"/>
  <c r="K67" i="1"/>
  <c r="J67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O42" i="1"/>
  <c r="N42" i="1"/>
  <c r="M42" i="1"/>
  <c r="L42" i="1"/>
  <c r="K42" i="1"/>
  <c r="J42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O11" i="1"/>
  <c r="N11" i="1"/>
  <c r="M11" i="1"/>
  <c r="L11" i="1"/>
  <c r="K11" i="1"/>
  <c r="J11" i="1"/>
  <c r="U7" i="1"/>
  <c r="U8" i="1"/>
  <c r="U9" i="1"/>
  <c r="U10" i="1"/>
  <c r="T7" i="1"/>
  <c r="T8" i="1"/>
  <c r="T9" i="1"/>
  <c r="T10" i="1"/>
</calcChain>
</file>

<file path=xl/sharedStrings.xml><?xml version="1.0" encoding="utf-8"?>
<sst xmlns="http://schemas.openxmlformats.org/spreadsheetml/2006/main" count="10033" uniqueCount="1097">
  <si>
    <t>TSSS</t>
  </si>
  <si>
    <t>Q-8296</t>
  </si>
  <si>
    <t>07/2024</t>
  </si>
  <si>
    <t>8/12/2024</t>
  </si>
  <si>
    <t>08/05/2024</t>
  </si>
  <si>
    <t>Monthy</t>
  </si>
  <si>
    <t>2024</t>
  </si>
  <si>
    <t>July</t>
  </si>
  <si>
    <t>072024</t>
  </si>
  <si>
    <t>2024 To 2026</t>
  </si>
  <si>
    <t>TSTG</t>
  </si>
  <si>
    <t>Q-8292</t>
  </si>
  <si>
    <t>03/05/2025</t>
  </si>
  <si>
    <t>07/29/2024</t>
  </si>
  <si>
    <t>Late</t>
  </si>
  <si>
    <t>TSSD</t>
  </si>
  <si>
    <t>08/13/2024</t>
  </si>
  <si>
    <t>TSTD</t>
  </si>
  <si>
    <t>Q-8291.3</t>
  </si>
  <si>
    <t>07/16/2024</t>
  </si>
  <si>
    <t>Q-8315</t>
  </si>
  <si>
    <t>08/2024</t>
  </si>
  <si>
    <t>09/10/2024</t>
  </si>
  <si>
    <t>08/23/2024</t>
  </si>
  <si>
    <t>August</t>
  </si>
  <si>
    <t>082024</t>
  </si>
  <si>
    <t>TSIV</t>
  </si>
  <si>
    <t>Q-8319.1</t>
  </si>
  <si>
    <t>08/26/2024</t>
  </si>
  <si>
    <t>TSTE</t>
  </si>
  <si>
    <t>Q-8317</t>
  </si>
  <si>
    <t>Q-8317.1</t>
  </si>
  <si>
    <t>08/22/2024</t>
  </si>
  <si>
    <t>Q-8316</t>
  </si>
  <si>
    <t>09/17/2024</t>
  </si>
  <si>
    <t>09/12/2024</t>
  </si>
  <si>
    <t>TSIF</t>
  </si>
  <si>
    <t>Q-8318</t>
  </si>
  <si>
    <t>09/03/2024</t>
  </si>
  <si>
    <t>08/15/2024</t>
  </si>
  <si>
    <t>TSTH</t>
  </si>
  <si>
    <t>Q-8321</t>
  </si>
  <si>
    <t>Q-8320</t>
  </si>
  <si>
    <t>9/10/2024</t>
  </si>
  <si>
    <t>08/30/2024</t>
  </si>
  <si>
    <t>Q-8320.1</t>
  </si>
  <si>
    <t>08/14/2024</t>
  </si>
  <si>
    <t>Q-8317.2</t>
  </si>
  <si>
    <t>08/19/2024</t>
  </si>
  <si>
    <t>Q-8319.2</t>
  </si>
  <si>
    <t>08/28/2024</t>
  </si>
  <si>
    <t>Q-8339.1</t>
  </si>
  <si>
    <t>09/2024</t>
  </si>
  <si>
    <t>10/16/2024</t>
  </si>
  <si>
    <t>10/04/2024</t>
  </si>
  <si>
    <t>September</t>
  </si>
  <si>
    <t>092024</t>
  </si>
  <si>
    <t>Q-8339</t>
  </si>
  <si>
    <t>Q-8341.2</t>
  </si>
  <si>
    <t>10/14/2024</t>
  </si>
  <si>
    <t>Q-8341.3</t>
  </si>
  <si>
    <t>09/18/2024</t>
  </si>
  <si>
    <t>Q-8337</t>
  </si>
  <si>
    <t>10/03/2024</t>
  </si>
  <si>
    <t>Q-8341.1</t>
  </si>
  <si>
    <t>Q-8337.3</t>
  </si>
  <si>
    <t>Q-8341.4</t>
  </si>
  <si>
    <t>09/09/2024</t>
  </si>
  <si>
    <t>Q-8340</t>
  </si>
  <si>
    <t>Q-8338</t>
  </si>
  <si>
    <t>10/8/2024</t>
  </si>
  <si>
    <t>09/23/2024</t>
  </si>
  <si>
    <t>Q-8342</t>
  </si>
  <si>
    <t>10/11/2024</t>
  </si>
  <si>
    <t>09/24/2024</t>
  </si>
  <si>
    <t>Q-8338.1</t>
  </si>
  <si>
    <t>10/25/2024</t>
  </si>
  <si>
    <t>Q-8361.1</t>
  </si>
  <si>
    <t>10/2024</t>
  </si>
  <si>
    <t>11/05/2024</t>
  </si>
  <si>
    <t>10/28/2024</t>
  </si>
  <si>
    <t>October</t>
  </si>
  <si>
    <t>102024</t>
  </si>
  <si>
    <t>Q-8363.1</t>
  </si>
  <si>
    <t>11/07/2024</t>
  </si>
  <si>
    <t>11/01/2024</t>
  </si>
  <si>
    <t>Q-8363.2</t>
  </si>
  <si>
    <t>10/22/2024</t>
  </si>
  <si>
    <t>Q-8361</t>
  </si>
  <si>
    <t>Q-8359</t>
  </si>
  <si>
    <t>Q-8363.3</t>
  </si>
  <si>
    <t>Q-8361.2</t>
  </si>
  <si>
    <t>Q-8360</t>
  </si>
  <si>
    <t>11/06/2024</t>
  </si>
  <si>
    <t>Q-8362</t>
  </si>
  <si>
    <t>11/14/2024</t>
  </si>
  <si>
    <t>Q-8365</t>
  </si>
  <si>
    <t>Q-8364</t>
  </si>
  <si>
    <t>11/10/2024</t>
  </si>
  <si>
    <t>11/04/2024</t>
  </si>
  <si>
    <t>Q-8388.3</t>
  </si>
  <si>
    <t>12/17/2024</t>
  </si>
  <si>
    <t>Q-8363.4</t>
  </si>
  <si>
    <t>Q-8359.1</t>
  </si>
  <si>
    <t>Q-8390</t>
  </si>
  <si>
    <t>11/2024</t>
  </si>
  <si>
    <t>11/25/2024</t>
  </si>
  <si>
    <t>November</t>
  </si>
  <si>
    <t>112024</t>
  </si>
  <si>
    <t>Q-8390.1</t>
  </si>
  <si>
    <t>11/27/2024</t>
  </si>
  <si>
    <t>Q-8388</t>
  </si>
  <si>
    <t>Q-8392</t>
  </si>
  <si>
    <t>Unknown</t>
  </si>
  <si>
    <t>Q-8392.1</t>
  </si>
  <si>
    <t>Q-8392.3</t>
  </si>
  <si>
    <t>Q-8392.2</t>
  </si>
  <si>
    <t>Q-8390.2</t>
  </si>
  <si>
    <t>Q-8389</t>
  </si>
  <si>
    <t>12/8/2024</t>
  </si>
  <si>
    <t>12/16/2024</t>
  </si>
  <si>
    <t>12/30/2024</t>
  </si>
  <si>
    <t>Q-8391</t>
  </si>
  <si>
    <t>Q-8393</t>
  </si>
  <si>
    <t>12/10/2024</t>
  </si>
  <si>
    <t>11/21/2024</t>
  </si>
  <si>
    <t>Q-8392.4</t>
  </si>
  <si>
    <t>11/18/2024</t>
  </si>
  <si>
    <t>Q-8429</t>
  </si>
  <si>
    <t>12/2024</t>
  </si>
  <si>
    <t>01/14/2025</t>
  </si>
  <si>
    <t>12/23/2024</t>
  </si>
  <si>
    <t>December</t>
  </si>
  <si>
    <t>122024</t>
  </si>
  <si>
    <t>Q-8429.1</t>
  </si>
  <si>
    <t>12/26/2024</t>
  </si>
  <si>
    <t>Q-8431.2</t>
  </si>
  <si>
    <t>12/18/2024</t>
  </si>
  <si>
    <t>Q-8427</t>
  </si>
  <si>
    <t>Q-8427.3</t>
  </si>
  <si>
    <t>12/02/2024</t>
  </si>
  <si>
    <t>Q-8429.2</t>
  </si>
  <si>
    <t>12/13/2024</t>
  </si>
  <si>
    <t>Q-8430</t>
  </si>
  <si>
    <t>01/16/2025</t>
  </si>
  <si>
    <t>Q-8433</t>
  </si>
  <si>
    <t>Q-8428</t>
  </si>
  <si>
    <t>01/29/2025</t>
  </si>
  <si>
    <t>12/27/2024</t>
  </si>
  <si>
    <t>Q-8431.3</t>
  </si>
  <si>
    <t>12/09/2024</t>
  </si>
  <si>
    <t>Q-8432</t>
  </si>
  <si>
    <t>1/9/2025</t>
  </si>
  <si>
    <t>Q-8428.1</t>
  </si>
  <si>
    <t>01/13/2025</t>
  </si>
  <si>
    <t>Q-8469.3</t>
  </si>
  <si>
    <t>01/2025</t>
  </si>
  <si>
    <t>03/17/2025</t>
  </si>
  <si>
    <t>01/03/2025</t>
  </si>
  <si>
    <t>2025</t>
  </si>
  <si>
    <t>January</t>
  </si>
  <si>
    <t>012025</t>
  </si>
  <si>
    <t>Q-8469</t>
  </si>
  <si>
    <t>01/27/2025</t>
  </si>
  <si>
    <t>Q-8471.2</t>
  </si>
  <si>
    <t>03/12/2025</t>
  </si>
  <si>
    <t>01/06/2025</t>
  </si>
  <si>
    <t>Q-8470</t>
  </si>
  <si>
    <t>02/03/2025</t>
  </si>
  <si>
    <t>2/13/2025</t>
  </si>
  <si>
    <t>Q-8472</t>
  </si>
  <si>
    <t>02/24/2025</t>
  </si>
  <si>
    <t>01/24/2025</t>
  </si>
  <si>
    <t>Q-8474</t>
  </si>
  <si>
    <t>2/15/2025</t>
  </si>
  <si>
    <t>04/14/2025</t>
  </si>
  <si>
    <t>Q-8474.1</t>
  </si>
  <si>
    <t>02/06/2025</t>
  </si>
  <si>
    <t>Q-8486</t>
  </si>
  <si>
    <t>02/2025</t>
  </si>
  <si>
    <t>05/05/2025</t>
  </si>
  <si>
    <t>03/03/2025</t>
  </si>
  <si>
    <t>February</t>
  </si>
  <si>
    <t>022025</t>
  </si>
  <si>
    <t>Q-8487</t>
  </si>
  <si>
    <t>04/11/2025</t>
  </si>
  <si>
    <t>Q-8488</t>
  </si>
  <si>
    <t>02/12/2025</t>
  </si>
  <si>
    <t>Q-8491</t>
  </si>
  <si>
    <t>02/13/2025</t>
  </si>
  <si>
    <t>Q-8491.1</t>
  </si>
  <si>
    <t>02/14/2025</t>
  </si>
  <si>
    <t>04/25/2025</t>
  </si>
  <si>
    <t>Q-8490</t>
  </si>
  <si>
    <t>3/13/2025</t>
  </si>
  <si>
    <t>Q-8487.1</t>
  </si>
  <si>
    <t>02/28/2025</t>
  </si>
  <si>
    <t>Q-8513</t>
  </si>
  <si>
    <t>03/2025</t>
  </si>
  <si>
    <t>05/19/2025</t>
  </si>
  <si>
    <t>03/31/2025</t>
  </si>
  <si>
    <t>March</t>
  </si>
  <si>
    <t>032025</t>
  </si>
  <si>
    <t>Q-8513.3</t>
  </si>
  <si>
    <t>03/10/2025</t>
  </si>
  <si>
    <t>Q-8514</t>
  </si>
  <si>
    <t>04/03/2025</t>
  </si>
  <si>
    <t>Q-8515</t>
  </si>
  <si>
    <t>03/21/2025</t>
  </si>
  <si>
    <t>Q-8517</t>
  </si>
  <si>
    <t>4/15/2025</t>
  </si>
  <si>
    <t>03/24/2025</t>
  </si>
  <si>
    <t>Q-8539</t>
  </si>
  <si>
    <t>04/07/2025</t>
  </si>
  <si>
    <t>Q-8541</t>
  </si>
  <si>
    <t>04/2025</t>
  </si>
  <si>
    <t>06/02/2025</t>
  </si>
  <si>
    <t>04/29/2025</t>
  </si>
  <si>
    <t>April</t>
  </si>
  <si>
    <t>042025</t>
  </si>
  <si>
    <t>Q-8543</t>
  </si>
  <si>
    <t>05/28/2025</t>
  </si>
  <si>
    <t>04/16/2025</t>
  </si>
  <si>
    <t>Q-8546</t>
  </si>
  <si>
    <t>04/23/2025</t>
  </si>
  <si>
    <t>Q-8542</t>
  </si>
  <si>
    <t>5/9/2025</t>
  </si>
  <si>
    <t>04/28/2025</t>
  </si>
  <si>
    <t>07/28/2025</t>
  </si>
  <si>
    <t>Q-8582</t>
  </si>
  <si>
    <t>07/18/2025</t>
  </si>
  <si>
    <t>07/03/2025</t>
  </si>
  <si>
    <t>Q-8545</t>
  </si>
  <si>
    <t>5/13/2025</t>
  </si>
  <si>
    <t>05/01/2025</t>
  </si>
  <si>
    <t>06/11/2025</t>
  </si>
  <si>
    <t>Q-8578.3</t>
  </si>
  <si>
    <t>05/2025</t>
  </si>
  <si>
    <t>05/22/2025</t>
  </si>
  <si>
    <t>May</t>
  </si>
  <si>
    <t>052025</t>
  </si>
  <si>
    <t>Q-8578</t>
  </si>
  <si>
    <t>Q-8579</t>
  </si>
  <si>
    <t>07/16/2025</t>
  </si>
  <si>
    <t>Q-8580</t>
  </si>
  <si>
    <t>06/30/2025</t>
  </si>
  <si>
    <t>6/12/2025</t>
  </si>
  <si>
    <t>Q-8583</t>
  </si>
  <si>
    <t>05/21/2025</t>
  </si>
  <si>
    <t>6/14/2025</t>
  </si>
  <si>
    <t>Q-8603</t>
  </si>
  <si>
    <t>06/2025</t>
  </si>
  <si>
    <t>08/20/2025</t>
  </si>
  <si>
    <t>07/01/2025</t>
  </si>
  <si>
    <t>June</t>
  </si>
  <si>
    <t>062025</t>
  </si>
  <si>
    <t>Q-8603.4</t>
  </si>
  <si>
    <t>06/20/2025</t>
  </si>
  <si>
    <t>Q-8603.3</t>
  </si>
  <si>
    <t>06/04/2025</t>
  </si>
  <si>
    <t>Q-8604</t>
  </si>
  <si>
    <t>07/30/2025</t>
  </si>
  <si>
    <t>06/25/2025</t>
  </si>
  <si>
    <t>Q-8605</t>
  </si>
  <si>
    <t>06/19/2025</t>
  </si>
  <si>
    <t>Q-8608</t>
  </si>
  <si>
    <t>07/22/2025</t>
  </si>
  <si>
    <t>7/11/2025</t>
  </si>
  <si>
    <t>07/23/2025</t>
  </si>
  <si>
    <t>Q-8607</t>
  </si>
  <si>
    <t>7/13/2025</t>
  </si>
  <si>
    <t>Q-8623</t>
  </si>
  <si>
    <t>07/2025</t>
  </si>
  <si>
    <t>09/15/2025</t>
  </si>
  <si>
    <t>08/01/2025</t>
  </si>
  <si>
    <t>072025</t>
  </si>
  <si>
    <t>Q-8604.1</t>
  </si>
  <si>
    <t>08/15/2025</t>
  </si>
  <si>
    <t>07/14/2025</t>
  </si>
  <si>
    <t>Q-8624</t>
  </si>
  <si>
    <t>8/6/2025</t>
  </si>
  <si>
    <t>08/07/2025</t>
  </si>
  <si>
    <t>Q-8628</t>
  </si>
  <si>
    <t>Q-8625</t>
  </si>
  <si>
    <t>09/12/2025</t>
  </si>
  <si>
    <t>Q-8627</t>
  </si>
  <si>
    <t>8/10/2025</t>
  </si>
  <si>
    <t>08/22/2025</t>
  </si>
  <si>
    <t>Q-8638.3</t>
  </si>
  <si>
    <t>08/2025</t>
  </si>
  <si>
    <t>10/22/2025</t>
  </si>
  <si>
    <t>082025</t>
  </si>
  <si>
    <t>Q-8638</t>
  </si>
  <si>
    <t>09/05/2025</t>
  </si>
  <si>
    <t>Q-8627.1</t>
  </si>
  <si>
    <t>08/18/2025</t>
  </si>
  <si>
    <t>Q-8639</t>
  </si>
  <si>
    <t>10/21/2025</t>
  </si>
  <si>
    <t>09/16/2025</t>
  </si>
  <si>
    <t>Q-8644</t>
  </si>
  <si>
    <t>10/01/2025</t>
  </si>
  <si>
    <t>10/17/2025</t>
  </si>
  <si>
    <t>09/11/2025</t>
  </si>
  <si>
    <t>Q-8640</t>
  </si>
  <si>
    <t>Q-8642</t>
  </si>
  <si>
    <t>9/13/2025</t>
  </si>
  <si>
    <t>09/19/2025</t>
  </si>
  <si>
    <t>Q-8649</t>
  </si>
  <si>
    <t>09/2025</t>
  </si>
  <si>
    <t>11/03/2025</t>
  </si>
  <si>
    <t>09/30/2025</t>
  </si>
  <si>
    <t>092025</t>
  </si>
  <si>
    <t>Q-8650</t>
  </si>
  <si>
    <t>10/7/2025</t>
  </si>
  <si>
    <t>Q-8651</t>
  </si>
  <si>
    <t>10/24/2025</t>
  </si>
  <si>
    <t>11/06/2025</t>
  </si>
  <si>
    <t>Q-8655</t>
  </si>
  <si>
    <t>Q-8653</t>
  </si>
  <si>
    <t>10/11/2025</t>
  </si>
  <si>
    <t>09/25/2025</t>
  </si>
  <si>
    <t>Q-8670</t>
  </si>
  <si>
    <t>10/2025</t>
  </si>
  <si>
    <t>12/01/2025</t>
  </si>
  <si>
    <t>10/30/2025</t>
  </si>
  <si>
    <t>102025</t>
  </si>
  <si>
    <t>Q-8671</t>
  </si>
  <si>
    <t>11/8/2025</t>
  </si>
  <si>
    <t>10/29/2025</t>
  </si>
  <si>
    <t>Q-8676</t>
  </si>
  <si>
    <t>11/07/2025</t>
  </si>
  <si>
    <t>10/13/2025</t>
  </si>
  <si>
    <t>Q-8672</t>
  </si>
  <si>
    <t>10/27/2025</t>
  </si>
  <si>
    <t>11/13/2025</t>
  </si>
  <si>
    <t>Q-8674</t>
  </si>
  <si>
    <t>11/11/2025</t>
  </si>
  <si>
    <t>Q-8698</t>
  </si>
  <si>
    <t>11/2025</t>
  </si>
  <si>
    <t>12/19/2025</t>
  </si>
  <si>
    <t>11/25/2025</t>
  </si>
  <si>
    <t>112025</t>
  </si>
  <si>
    <t>Q-8698.2</t>
  </si>
  <si>
    <t>Q-8699</t>
  </si>
  <si>
    <t>11/24/2025</t>
  </si>
  <si>
    <t>12/17/2025</t>
  </si>
  <si>
    <t>Q-8700</t>
  </si>
  <si>
    <t>Q-8704</t>
  </si>
  <si>
    <t>12/9/2025</t>
  </si>
  <si>
    <t>Q-8698.1</t>
  </si>
  <si>
    <t>Q-8702</t>
  </si>
  <si>
    <t>12/12/2025</t>
  </si>
  <si>
    <t>Q-8723</t>
  </si>
  <si>
    <t>12/2025</t>
  </si>
  <si>
    <t>12/30/2025</t>
  </si>
  <si>
    <t>122025</t>
  </si>
  <si>
    <t>Q-8723.3</t>
  </si>
  <si>
    <t>02/03/2026</t>
  </si>
  <si>
    <t>12/23/2025</t>
  </si>
  <si>
    <t>Q-8724</t>
  </si>
  <si>
    <t>02/02/2026</t>
  </si>
  <si>
    <t>12/29/2025</t>
  </si>
  <si>
    <t>Q-8725</t>
  </si>
  <si>
    <t>01/20/2026</t>
  </si>
  <si>
    <t>1/8/2026</t>
  </si>
  <si>
    <t>Q-8729</t>
  </si>
  <si>
    <t>Q-8740</t>
  </si>
  <si>
    <t>02/18/2026</t>
  </si>
  <si>
    <t>02/05/2026</t>
  </si>
  <si>
    <t>Q-8727</t>
  </si>
  <si>
    <t>02/04/2026</t>
  </si>
  <si>
    <t>Q-8736</t>
  </si>
  <si>
    <t>01/2026</t>
  </si>
  <si>
    <t>02/19/2026</t>
  </si>
  <si>
    <t>02/06/2026</t>
  </si>
  <si>
    <t>2026</t>
  </si>
  <si>
    <t>012026</t>
  </si>
  <si>
    <t>Q-8738</t>
  </si>
  <si>
    <t>02/09/2026</t>
  </si>
  <si>
    <t>01/16/2026</t>
  </si>
  <si>
    <t>Q-8742</t>
  </si>
  <si>
    <t>01/15/2026</t>
  </si>
  <si>
    <t>Q-8737</t>
  </si>
  <si>
    <t>02/23/2026</t>
  </si>
  <si>
    <t>02/10/2026</t>
  </si>
  <si>
    <t>2/10/2026</t>
  </si>
  <si>
    <t>Q-8758</t>
  </si>
  <si>
    <t>03/19/2026</t>
  </si>
  <si>
    <t>03/10/2026</t>
  </si>
  <si>
    <t>2/13/2026</t>
  </si>
  <si>
    <t>Q-8754</t>
  </si>
  <si>
    <t>02/2026</t>
  </si>
  <si>
    <t>02/27/2026</t>
  </si>
  <si>
    <t>022026</t>
  </si>
  <si>
    <t>Q-8755</t>
  </si>
  <si>
    <t>03/20/2026</t>
  </si>
  <si>
    <t>03/05/2026</t>
  </si>
  <si>
    <t>Q-8760</t>
  </si>
  <si>
    <t>03/24/2026</t>
  </si>
  <si>
    <t>02/20/2026</t>
  </si>
  <si>
    <t>Q-8756</t>
  </si>
  <si>
    <t>3/14/2026</t>
  </si>
  <si>
    <t>Q-8783</t>
  </si>
  <si>
    <t>03/2026</t>
  </si>
  <si>
    <t>04/20/2026</t>
  </si>
  <si>
    <t>03/30/2026</t>
  </si>
  <si>
    <t>032026</t>
  </si>
  <si>
    <t>Q-8783.1</t>
  </si>
  <si>
    <t>03/17/2026</t>
  </si>
  <si>
    <t>Q-8789</t>
  </si>
  <si>
    <t>03/16/2026</t>
  </si>
  <si>
    <t>Q-8784</t>
  </si>
  <si>
    <t>04/22/2026</t>
  </si>
  <si>
    <t>04/13/2026</t>
  </si>
  <si>
    <t>04/08/2026</t>
  </si>
  <si>
    <t>Q-8785</t>
  </si>
  <si>
    <t>03/25/2026</t>
  </si>
  <si>
    <t>Q-8787</t>
  </si>
  <si>
    <t>4/12/2026</t>
  </si>
  <si>
    <t>03/31/2026</t>
  </si>
  <si>
    <t>Q-8787.1</t>
  </si>
  <si>
    <t>Q-8784.1</t>
  </si>
  <si>
    <t>04/07/2026</t>
  </si>
  <si>
    <t>Q-8802</t>
  </si>
  <si>
    <t>04/2026</t>
  </si>
  <si>
    <t>05/14/2026</t>
  </si>
  <si>
    <t>04/28/2026</t>
  </si>
  <si>
    <t>042026</t>
  </si>
  <si>
    <t>Q-8808</t>
  </si>
  <si>
    <t>05/15/2026</t>
  </si>
  <si>
    <t>05/07/2026</t>
  </si>
  <si>
    <t>Q-8838</t>
  </si>
  <si>
    <t>07/02/2026</t>
  </si>
  <si>
    <t>06/17/2026</t>
  </si>
  <si>
    <t>Q-8804</t>
  </si>
  <si>
    <t>05/08/2026</t>
  </si>
  <si>
    <t>04/17/2026</t>
  </si>
  <si>
    <t>Q-8803</t>
  </si>
  <si>
    <t>5/10/2026</t>
  </si>
  <si>
    <t>05/05/2026</t>
  </si>
  <si>
    <t>06/29/2026</t>
  </si>
  <si>
    <t>Q-8806</t>
  </si>
  <si>
    <t>Q-8837</t>
  </si>
  <si>
    <t>05/2026</t>
  </si>
  <si>
    <t>05/26/2026</t>
  </si>
  <si>
    <t>052026</t>
  </si>
  <si>
    <t>Q-8837.1</t>
  </si>
  <si>
    <t>Q-8843</t>
  </si>
  <si>
    <t>05/21/2026</t>
  </si>
  <si>
    <t>6/11/2026</t>
  </si>
  <si>
    <t>Q-8841</t>
  </si>
  <si>
    <t>6/13/2026</t>
  </si>
  <si>
    <t>06/16/2026</t>
  </si>
  <si>
    <t>Q-8839</t>
  </si>
  <si>
    <t>06/01/2026</t>
  </si>
  <si>
    <t>07/09/2026</t>
  </si>
  <si>
    <t>Q-8864.1</t>
  </si>
  <si>
    <t>06/2026</t>
  </si>
  <si>
    <t>06/08/2026</t>
  </si>
  <si>
    <t>062026</t>
  </si>
  <si>
    <t>Q-8864</t>
  </si>
  <si>
    <t>06/26/2026</t>
  </si>
  <si>
    <t>Q-8865</t>
  </si>
  <si>
    <t>07/10/2026</t>
  </si>
  <si>
    <t>07/06/2026</t>
  </si>
  <si>
    <t>Q-8866</t>
  </si>
  <si>
    <t>06/19/2026</t>
  </si>
  <si>
    <t>Q-8870</t>
  </si>
  <si>
    <t>06/18/2026</t>
  </si>
  <si>
    <t>Q-8868</t>
  </si>
  <si>
    <t>Q-8877.1</t>
  </si>
  <si>
    <t>07/2026</t>
  </si>
  <si>
    <t>08/04/2026</t>
  </si>
  <si>
    <t>072026</t>
  </si>
  <si>
    <t>Q-8877</t>
  </si>
  <si>
    <t>07/27/2026</t>
  </si>
  <si>
    <t>Q-8878</t>
  </si>
  <si>
    <t>8/11/2026</t>
  </si>
  <si>
    <t>07/23/2026</t>
  </si>
  <si>
    <t>Q-8900</t>
  </si>
  <si>
    <t>09/09/2026</t>
  </si>
  <si>
    <t>Q-8879</t>
  </si>
  <si>
    <t>08/11/2026</t>
  </si>
  <si>
    <t>07/17/2026</t>
  </si>
  <si>
    <t>Q-8883</t>
  </si>
  <si>
    <t>08/03/2026</t>
  </si>
  <si>
    <t>07/15/2026</t>
  </si>
  <si>
    <t>Q-8881</t>
  </si>
  <si>
    <t>07/31/2026</t>
  </si>
  <si>
    <t>08/14/2026</t>
  </si>
  <si>
    <t>Q-8878.1</t>
  </si>
  <si>
    <t>Q-8899.1</t>
  </si>
  <si>
    <t>08/2026</t>
  </si>
  <si>
    <t>08/06/2026</t>
  </si>
  <si>
    <t>082026</t>
  </si>
  <si>
    <t>Q-8899</t>
  </si>
  <si>
    <t>08/28/2026</t>
  </si>
  <si>
    <t>TSSP</t>
  </si>
  <si>
    <t>Q-8310</t>
  </si>
  <si>
    <t>Special</t>
  </si>
  <si>
    <t>Q-8309</t>
  </si>
  <si>
    <t>Q-8311</t>
  </si>
  <si>
    <t>07/19/2024</t>
  </si>
  <si>
    <t>Q-8312</t>
  </si>
  <si>
    <t>08/21/2024</t>
  </si>
  <si>
    <t>07/22/2024</t>
  </si>
  <si>
    <t>Q-8306</t>
  </si>
  <si>
    <t>Q-8307</t>
  </si>
  <si>
    <t>Q-8314</t>
  </si>
  <si>
    <t>08/07/2024</t>
  </si>
  <si>
    <t>08/02/2024</t>
  </si>
  <si>
    <t>Q-8323</t>
  </si>
  <si>
    <t>Q-8332</t>
  </si>
  <si>
    <t>Q-8324</t>
  </si>
  <si>
    <t>08/27/2024</t>
  </si>
  <si>
    <t>08/16/2024</t>
  </si>
  <si>
    <t>Q-8327</t>
  </si>
  <si>
    <t>Q-8326</t>
  </si>
  <si>
    <t>09/06/2024</t>
  </si>
  <si>
    <t>Q-8325</t>
  </si>
  <si>
    <t>Q-8329</t>
  </si>
  <si>
    <t>Q-8328</t>
  </si>
  <si>
    <t>Q-8330</t>
  </si>
  <si>
    <t>Q-8331</t>
  </si>
  <si>
    <t>Q-8336</t>
  </si>
  <si>
    <t>Q-8334</t>
  </si>
  <si>
    <t>08/09/2024</t>
  </si>
  <si>
    <t>Q-8348</t>
  </si>
  <si>
    <t>Q-8347</t>
  </si>
  <si>
    <t>09/27/2024</t>
  </si>
  <si>
    <t>Q-8344</t>
  </si>
  <si>
    <t>Q-8346</t>
  </si>
  <si>
    <t>09/25/2024</t>
  </si>
  <si>
    <t>Q-8343</t>
  </si>
  <si>
    <t>09/26/2024</t>
  </si>
  <si>
    <t>Q-8355</t>
  </si>
  <si>
    <t>Q-8345</t>
  </si>
  <si>
    <t>Q-8353</t>
  </si>
  <si>
    <t>Q-8354</t>
  </si>
  <si>
    <t>09/19/2024</t>
  </si>
  <si>
    <t>Q-8352</t>
  </si>
  <si>
    <t>Q-8351</t>
  </si>
  <si>
    <t>09/30/2024</t>
  </si>
  <si>
    <t>Q-8350</t>
  </si>
  <si>
    <t>10/21/2024</t>
  </si>
  <si>
    <t>Q-8356</t>
  </si>
  <si>
    <t>Q-8358</t>
  </si>
  <si>
    <t>Q-8376</t>
  </si>
  <si>
    <t>Q-8377</t>
  </si>
  <si>
    <t>10/09/2024</t>
  </si>
  <si>
    <t>Q-8385</t>
  </si>
  <si>
    <t>12/04/2024</t>
  </si>
  <si>
    <t>Q-8378</t>
  </si>
  <si>
    <t>Q-8379</t>
  </si>
  <si>
    <t>10/07/2024</t>
  </si>
  <si>
    <t>Q-8380</t>
  </si>
  <si>
    <t>10/15/2024</t>
  </si>
  <si>
    <t>Q-8371</t>
  </si>
  <si>
    <t>10/18/2024</t>
  </si>
  <si>
    <t>Q-8373</t>
  </si>
  <si>
    <t>Q-8372</t>
  </si>
  <si>
    <t>Q-8374</t>
  </si>
  <si>
    <t>Q-8381</t>
  </si>
  <si>
    <t>10/31/2024</t>
  </si>
  <si>
    <t>Q-8357</t>
  </si>
  <si>
    <t>Q-8382</t>
  </si>
  <si>
    <t>Q-8383</t>
  </si>
  <si>
    <t>Q-8384</t>
  </si>
  <si>
    <t>11/13/2024</t>
  </si>
  <si>
    <t>Q-8394</t>
  </si>
  <si>
    <t>05/12/2025</t>
  </si>
  <si>
    <t>10/24/2024</t>
  </si>
  <si>
    <t>Q-8386</t>
  </si>
  <si>
    <t>Q-8399</t>
  </si>
  <si>
    <t>12/20/2024</t>
  </si>
  <si>
    <t>11/22/2024</t>
  </si>
  <si>
    <t>Q-8396</t>
  </si>
  <si>
    <t>Q-8397</t>
  </si>
  <si>
    <t>11/26/2024</t>
  </si>
  <si>
    <t>11/11/2024</t>
  </si>
  <si>
    <t>Q-8398</t>
  </si>
  <si>
    <t>Q-8395</t>
  </si>
  <si>
    <t>11/15/2024</t>
  </si>
  <si>
    <t>Q-8400</t>
  </si>
  <si>
    <t>Q-8401</t>
  </si>
  <si>
    <t>Q-8402</t>
  </si>
  <si>
    <t>Q-8403</t>
  </si>
  <si>
    <t>Q-8405</t>
  </si>
  <si>
    <t>Q-8404</t>
  </si>
  <si>
    <t>Q-8411</t>
  </si>
  <si>
    <t>Q-8410</t>
  </si>
  <si>
    <t>Q-8409</t>
  </si>
  <si>
    <t>Q-8408</t>
  </si>
  <si>
    <t>Q-8407</t>
  </si>
  <si>
    <t>Q-8414</t>
  </si>
  <si>
    <t>Q-8413</t>
  </si>
  <si>
    <t>Q-8406</t>
  </si>
  <si>
    <t>Q-8420</t>
  </si>
  <si>
    <t>Q-8415</t>
  </si>
  <si>
    <t>Q-8422</t>
  </si>
  <si>
    <t>Q-8421</t>
  </si>
  <si>
    <t>Q-8416</t>
  </si>
  <si>
    <t>12/03/2024</t>
  </si>
  <si>
    <t>Q-8417</t>
  </si>
  <si>
    <t>Q-8419</t>
  </si>
  <si>
    <t>Q-8418</t>
  </si>
  <si>
    <t>Q-8437.2</t>
  </si>
  <si>
    <t>04/10/2025</t>
  </si>
  <si>
    <t>Q-8437.1</t>
  </si>
  <si>
    <t>03/06/2025</t>
  </si>
  <si>
    <t>Q-8437</t>
  </si>
  <si>
    <t>Q-8435</t>
  </si>
  <si>
    <t>01/07/2025</t>
  </si>
  <si>
    <t>Q-8426</t>
  </si>
  <si>
    <t>12/06/2024</t>
  </si>
  <si>
    <t>Q-8425</t>
  </si>
  <si>
    <t>12/05/2024</t>
  </si>
  <si>
    <t>Q-8424</t>
  </si>
  <si>
    <t>Q-8452</t>
  </si>
  <si>
    <t>01/20/2025</t>
  </si>
  <si>
    <t>12/12/2024</t>
  </si>
  <si>
    <t>Q-8453</t>
  </si>
  <si>
    <t>Q-8446</t>
  </si>
  <si>
    <t>Q-8445</t>
  </si>
  <si>
    <t>Q-8423</t>
  </si>
  <si>
    <t>01/22/2025</t>
  </si>
  <si>
    <t>Q-8444</t>
  </si>
  <si>
    <t>Q-8447</t>
  </si>
  <si>
    <t>02/26/2025</t>
  </si>
  <si>
    <t>Q-8442</t>
  </si>
  <si>
    <t>Q-8436.1</t>
  </si>
  <si>
    <t>Q-8441</t>
  </si>
  <si>
    <t>Q-8439</t>
  </si>
  <si>
    <t>01/23/2025</t>
  </si>
  <si>
    <t>Q-8436</t>
  </si>
  <si>
    <t>Q-8448</t>
  </si>
  <si>
    <t>Q-8458</t>
  </si>
  <si>
    <t>Q-8438</t>
  </si>
  <si>
    <t>Q-8443</t>
  </si>
  <si>
    <t>Q-8449</t>
  </si>
  <si>
    <t>Q-8457</t>
  </si>
  <si>
    <t>Q-8451</t>
  </si>
  <si>
    <t>12/19/2024</t>
  </si>
  <si>
    <t>Q-8450</t>
  </si>
  <si>
    <t>Q-8454</t>
  </si>
  <si>
    <t>Q-8412</t>
  </si>
  <si>
    <t>Q-8460</t>
  </si>
  <si>
    <t>Q-8459</t>
  </si>
  <si>
    <t>Q-8461</t>
  </si>
  <si>
    <t>Q-8463</t>
  </si>
  <si>
    <t>Q-8462</t>
  </si>
  <si>
    <t>Q-8440</t>
  </si>
  <si>
    <t>Q-8466</t>
  </si>
  <si>
    <t>Q-8465</t>
  </si>
  <si>
    <t>Q-8464</t>
  </si>
  <si>
    <t>Q-8478</t>
  </si>
  <si>
    <t>02/05/2025</t>
  </si>
  <si>
    <t>Q-8475</t>
  </si>
  <si>
    <t>Q-8477</t>
  </si>
  <si>
    <t>Q-8476</t>
  </si>
  <si>
    <t>Q-8480</t>
  </si>
  <si>
    <t>Q-8481</t>
  </si>
  <si>
    <t>Q-8482</t>
  </si>
  <si>
    <t>Q-8483</t>
  </si>
  <si>
    <t>01/31/2025</t>
  </si>
  <si>
    <t>Q-8485</t>
  </si>
  <si>
    <t>Q-8484</t>
  </si>
  <si>
    <t>Q-8493</t>
  </si>
  <si>
    <t>01/30/2025</t>
  </si>
  <si>
    <t>Q-8496</t>
  </si>
  <si>
    <t>Q-8504</t>
  </si>
  <si>
    <t>Q-8502</t>
  </si>
  <si>
    <t>02/17/2025</t>
  </si>
  <si>
    <t>Q-8497</t>
  </si>
  <si>
    <t>02/19/2025</t>
  </si>
  <si>
    <t>Q-8500</t>
  </si>
  <si>
    <t>Q-8499</t>
  </si>
  <si>
    <t>02/21/2025</t>
  </si>
  <si>
    <t>Q-8498</t>
  </si>
  <si>
    <t>Q-8501</t>
  </si>
  <si>
    <t>02/20/2025</t>
  </si>
  <si>
    <t>Q-8495</t>
  </si>
  <si>
    <t>Q-8508</t>
  </si>
  <si>
    <t>02/27/2025</t>
  </si>
  <si>
    <t>Q-8507</t>
  </si>
  <si>
    <t>Q-8505</t>
  </si>
  <si>
    <t>Q-8506</t>
  </si>
  <si>
    <t>Q-8511</t>
  </si>
  <si>
    <t>03/28/2025</t>
  </si>
  <si>
    <t>Q-8510</t>
  </si>
  <si>
    <t>03/07/2025</t>
  </si>
  <si>
    <t>Q-8523</t>
  </si>
  <si>
    <t>04/02/2025</t>
  </si>
  <si>
    <t>03/13/2025</t>
  </si>
  <si>
    <t>Q-8519</t>
  </si>
  <si>
    <t>04/18/2025</t>
  </si>
  <si>
    <t>03/20/2025</t>
  </si>
  <si>
    <t>Q-8518</t>
  </si>
  <si>
    <t>Q-8512</t>
  </si>
  <si>
    <t>04/09/2025</t>
  </si>
  <si>
    <t>03/14/2025</t>
  </si>
  <si>
    <t>Q-8522</t>
  </si>
  <si>
    <t>Q-8521</t>
  </si>
  <si>
    <t>03/25/2025</t>
  </si>
  <si>
    <t>Q-8520</t>
  </si>
  <si>
    <t>Q-8525.1</t>
  </si>
  <si>
    <t>Q-8525.2</t>
  </si>
  <si>
    <t>Q-8531</t>
  </si>
  <si>
    <t>Q-8530</t>
  </si>
  <si>
    <t>Q-8525.3</t>
  </si>
  <si>
    <t>Q-8525.4</t>
  </si>
  <si>
    <t>03/26/2025</t>
  </si>
  <si>
    <t>Q-8536</t>
  </si>
  <si>
    <t>03/27/2025</t>
  </si>
  <si>
    <t>Q-8533</t>
  </si>
  <si>
    <t>04/24/2025</t>
  </si>
  <si>
    <t>Q-8535</t>
  </si>
  <si>
    <t>Q-8534</t>
  </si>
  <si>
    <t>Q-8547</t>
  </si>
  <si>
    <t>Q-8548</t>
  </si>
  <si>
    <t>Q-8538</t>
  </si>
  <si>
    <t>Q-8537</t>
  </si>
  <si>
    <t>Q-8525.5</t>
  </si>
  <si>
    <t>Q-8549</t>
  </si>
  <si>
    <t>Q-8553</t>
  </si>
  <si>
    <t>Q-8552</t>
  </si>
  <si>
    <t>Q-8551</t>
  </si>
  <si>
    <t>Q-8550</t>
  </si>
  <si>
    <t>Q-8532</t>
  </si>
  <si>
    <t>Q-8525.6</t>
  </si>
  <si>
    <t>04/04/2025</t>
  </si>
  <si>
    <t>Q-8524</t>
  </si>
  <si>
    <t>Q-8560</t>
  </si>
  <si>
    <t>Q-8557</t>
  </si>
  <si>
    <t>Q-8558</t>
  </si>
  <si>
    <t>Q-8556</t>
  </si>
  <si>
    <t>Q-8559</t>
  </si>
  <si>
    <t>Q-8562</t>
  </si>
  <si>
    <t>05/09/2025</t>
  </si>
  <si>
    <t>04/17/2025</t>
  </si>
  <si>
    <t>Q-8563</t>
  </si>
  <si>
    <t>04/15/2025</t>
  </si>
  <si>
    <t>Q-8561</t>
  </si>
  <si>
    <t>Q-8526.1</t>
  </si>
  <si>
    <t>04/21/2025</t>
  </si>
  <si>
    <t>Q-8526</t>
  </si>
  <si>
    <t>Q-8576</t>
  </si>
  <si>
    <t>Q-8565</t>
  </si>
  <si>
    <t>Q-8566</t>
  </si>
  <si>
    <t>Q-8567</t>
  </si>
  <si>
    <t>Q-8568</t>
  </si>
  <si>
    <t>05/02/2025</t>
  </si>
  <si>
    <t>Q-8572</t>
  </si>
  <si>
    <t>Q-8574</t>
  </si>
  <si>
    <t>Q-8573</t>
  </si>
  <si>
    <t>Q-8564</t>
  </si>
  <si>
    <t>Q-8570</t>
  </si>
  <si>
    <t>05/08/2025</t>
  </si>
  <si>
    <t>Q-8575</t>
  </si>
  <si>
    <t>06/10/2025</t>
  </si>
  <si>
    <t>Q-8527</t>
  </si>
  <si>
    <t>Q-8584</t>
  </si>
  <si>
    <t>Q-8585</t>
  </si>
  <si>
    <t>Q-8586</t>
  </si>
  <si>
    <t>06/12/2025</t>
  </si>
  <si>
    <t>05/27/2025</t>
  </si>
  <si>
    <t>Q-8601</t>
  </si>
  <si>
    <t>06/09/2025</t>
  </si>
  <si>
    <t>Q-8599</t>
  </si>
  <si>
    <t>05/29/2025</t>
  </si>
  <si>
    <t>Q-8610</t>
  </si>
  <si>
    <t>Q-8602</t>
  </si>
  <si>
    <t>Q-8860</t>
  </si>
  <si>
    <t>05/29/2026</t>
  </si>
  <si>
    <t>05/18/2026</t>
  </si>
  <si>
    <t>Q-8600</t>
  </si>
  <si>
    <t>Q-8611</t>
  </si>
  <si>
    <t>07/07/2025</t>
  </si>
  <si>
    <t>Q-8612</t>
  </si>
  <si>
    <t>06/17/2025</t>
  </si>
  <si>
    <t>Q-8588</t>
  </si>
  <si>
    <t>Q-8587</t>
  </si>
  <si>
    <t>06/16/2025</t>
  </si>
  <si>
    <t>Q-8589</t>
  </si>
  <si>
    <t>06/13/2025</t>
  </si>
  <si>
    <t>Q-8569</t>
  </si>
  <si>
    <t>Q-8613</t>
  </si>
  <si>
    <t>Q-8615</t>
  </si>
  <si>
    <t>06/23/2025</t>
  </si>
  <si>
    <t>Q-8614</t>
  </si>
  <si>
    <t>Q-8617</t>
  </si>
  <si>
    <t>Q-8616</t>
  </si>
  <si>
    <t>Q-8618</t>
  </si>
  <si>
    <t>Q-8528</t>
  </si>
  <si>
    <t>Q-8621</t>
  </si>
  <si>
    <t>Q-8620</t>
  </si>
  <si>
    <t>06/26/2025</t>
  </si>
  <si>
    <t>Q-8619</t>
  </si>
  <si>
    <t>Q-8631</t>
  </si>
  <si>
    <t>08/12/2025</t>
  </si>
  <si>
    <t>07/15/2025</t>
  </si>
  <si>
    <t>Q-8630</t>
  </si>
  <si>
    <t>08/21/2025</t>
  </si>
  <si>
    <t>Q-8592</t>
  </si>
  <si>
    <t>07/17/2025</t>
  </si>
  <si>
    <t>Q-8590</t>
  </si>
  <si>
    <t>07/21/2025</t>
  </si>
  <si>
    <t>Q-8591</t>
  </si>
  <si>
    <t>07/25/2025</t>
  </si>
  <si>
    <t>Q-8529</t>
  </si>
  <si>
    <t>Q-8632</t>
  </si>
  <si>
    <t>08/14/2025</t>
  </si>
  <si>
    <t>Q-8637</t>
  </si>
  <si>
    <t>Q-8635</t>
  </si>
  <si>
    <t>08/06/2025</t>
  </si>
  <si>
    <t>Q-8634</t>
  </si>
  <si>
    <t>08/04/2025</t>
  </si>
  <si>
    <t>Q-8633</t>
  </si>
  <si>
    <t>08/08/2025</t>
  </si>
  <si>
    <t>Q-8636</t>
  </si>
  <si>
    <t>Q-8595</t>
  </si>
  <si>
    <t>Q-8593</t>
  </si>
  <si>
    <t>10/20/2025</t>
  </si>
  <si>
    <t>08/29/2025</t>
  </si>
  <si>
    <t>Q-8594</t>
  </si>
  <si>
    <t>08/11/2025</t>
  </si>
  <si>
    <t>Q-8647</t>
  </si>
  <si>
    <t>Q-8645</t>
  </si>
  <si>
    <t>Q-8666</t>
  </si>
  <si>
    <t>08/28/2025</t>
  </si>
  <si>
    <t>Q-8656</t>
  </si>
  <si>
    <t>10/09/2025</t>
  </si>
  <si>
    <t>09/08/2025</t>
  </si>
  <si>
    <t>Q-8659</t>
  </si>
  <si>
    <t>Q-8662</t>
  </si>
  <si>
    <t>10/15/2025</t>
  </si>
  <si>
    <t>Q-8657</t>
  </si>
  <si>
    <t>Q-8661</t>
  </si>
  <si>
    <t>Q-8665</t>
  </si>
  <si>
    <t>09/10/2025</t>
  </si>
  <si>
    <t>Q-8664</t>
  </si>
  <si>
    <t>Q-8660</t>
  </si>
  <si>
    <t>Q-8658</t>
  </si>
  <si>
    <t>Q-8663</t>
  </si>
  <si>
    <t>Q-8597</t>
  </si>
  <si>
    <t>09/18/2025</t>
  </si>
  <si>
    <t>Q-8598</t>
  </si>
  <si>
    <t>Q-8596</t>
  </si>
  <si>
    <t>09/29/2025</t>
  </si>
  <si>
    <t>Q-8668</t>
  </si>
  <si>
    <t>Q-8667</t>
  </si>
  <si>
    <t>09/24/2025</t>
  </si>
  <si>
    <t>Q-8679</t>
  </si>
  <si>
    <t>Q-8677</t>
  </si>
  <si>
    <t>Q-8678</t>
  </si>
  <si>
    <t>10/02/2025</t>
  </si>
  <si>
    <t>Q-8680</t>
  </si>
  <si>
    <t>Q-8681</t>
  </si>
  <si>
    <t>10/10/2025</t>
  </si>
  <si>
    <t>Q-8682</t>
  </si>
  <si>
    <t>11/05/2025</t>
  </si>
  <si>
    <t>10/16/2025</t>
  </si>
  <si>
    <t>Q-8685</t>
  </si>
  <si>
    <t>Q-8684</t>
  </si>
  <si>
    <t>Q-8683</t>
  </si>
  <si>
    <t>11/04/2025</t>
  </si>
  <si>
    <t>Q-8695</t>
  </si>
  <si>
    <t>Q-8694</t>
  </si>
  <si>
    <t>10/23/2025</t>
  </si>
  <si>
    <t>Q-8696</t>
  </si>
  <si>
    <t>Q-8697</t>
  </si>
  <si>
    <t>Q-8708</t>
  </si>
  <si>
    <t>Q-8707</t>
  </si>
  <si>
    <t>11/14/2025</t>
  </si>
  <si>
    <t>Q-8706</t>
  </si>
  <si>
    <t>12/04/2025</t>
  </si>
  <si>
    <t>Q-8687</t>
  </si>
  <si>
    <t>01/05/2026</t>
  </si>
  <si>
    <t>Q-8689</t>
  </si>
  <si>
    <t>11/21/2025</t>
  </si>
  <si>
    <t>11/12/2025</t>
  </si>
  <si>
    <t>Q-8688</t>
  </si>
  <si>
    <t>11/10/2025</t>
  </si>
  <si>
    <t>Q-8686</t>
  </si>
  <si>
    <t>01/07/2026</t>
  </si>
  <si>
    <t>12/08/2025</t>
  </si>
  <si>
    <t>Q-8717</t>
  </si>
  <si>
    <t>Q-8713</t>
  </si>
  <si>
    <t>Q-8718</t>
  </si>
  <si>
    <t>Q-8716</t>
  </si>
  <si>
    <t>11/17/2025</t>
  </si>
  <si>
    <t>Q-8714</t>
  </si>
  <si>
    <t>Q-8711</t>
  </si>
  <si>
    <t>Q-8710</t>
  </si>
  <si>
    <t>11/18/2025</t>
  </si>
  <si>
    <t>Q-8709</t>
  </si>
  <si>
    <t>Q-8715</t>
  </si>
  <si>
    <t>Q-8712</t>
  </si>
  <si>
    <t>Q-8719</t>
  </si>
  <si>
    <t>Q-8731</t>
  </si>
  <si>
    <t>Q-8720</t>
  </si>
  <si>
    <t>12/02/2025</t>
  </si>
  <si>
    <t>Q-8721</t>
  </si>
  <si>
    <t>Q-8730</t>
  </si>
  <si>
    <t>Q-8734</t>
  </si>
  <si>
    <t>Q-8732</t>
  </si>
  <si>
    <t>Q-8733</t>
  </si>
  <si>
    <t>12/05/2025</t>
  </si>
  <si>
    <t>Q-8690</t>
  </si>
  <si>
    <t>01/26/2026</t>
  </si>
  <si>
    <t>12/22/2025</t>
  </si>
  <si>
    <t>Q-8691</t>
  </si>
  <si>
    <t>12/15/2025</t>
  </si>
  <si>
    <t>Q-8692</t>
  </si>
  <si>
    <t>Q-8693</t>
  </si>
  <si>
    <t>12/10/2025</t>
  </si>
  <si>
    <t>Q-8735</t>
  </si>
  <si>
    <t>Q-8749</t>
  </si>
  <si>
    <t>02/11/2026</t>
  </si>
  <si>
    <t>01/30/2026</t>
  </si>
  <si>
    <t>Q-8748</t>
  </si>
  <si>
    <t>Q-8747</t>
  </si>
  <si>
    <t>02/24/2026</t>
  </si>
  <si>
    <t>Q-8746</t>
  </si>
  <si>
    <t>01/29/2026</t>
  </si>
  <si>
    <t>Q-8745</t>
  </si>
  <si>
    <t>Q-8744</t>
  </si>
  <si>
    <t>Q-8751</t>
  </si>
  <si>
    <t>Q-8752</t>
  </si>
  <si>
    <t>Q-8770</t>
  </si>
  <si>
    <t>02/13/2026</t>
  </si>
  <si>
    <t>Q-8761</t>
  </si>
  <si>
    <t>11/25/2026</t>
  </si>
  <si>
    <t>Q-8762</t>
  </si>
  <si>
    <t>Q-8766</t>
  </si>
  <si>
    <t>Q-8768</t>
  </si>
  <si>
    <t>Q-8750</t>
  </si>
  <si>
    <t>Q-8765</t>
  </si>
  <si>
    <t>Q-8769</t>
  </si>
  <si>
    <t>03/04/2026</t>
  </si>
  <si>
    <t>Q-8763</t>
  </si>
  <si>
    <t>Q-8764</t>
  </si>
  <si>
    <t>Q-8771</t>
  </si>
  <si>
    <t>02/16/2026</t>
  </si>
  <si>
    <t>Q-8767</t>
  </si>
  <si>
    <t>Q-8772</t>
  </si>
  <si>
    <t>Q-8778</t>
  </si>
  <si>
    <t>Q-8773</t>
  </si>
  <si>
    <t>Q-8775</t>
  </si>
  <si>
    <t>02/17/2026</t>
  </si>
  <si>
    <t>Q-8776</t>
  </si>
  <si>
    <t>Q-8774</t>
  </si>
  <si>
    <t>Q-8777</t>
  </si>
  <si>
    <t>Q-8780</t>
  </si>
  <si>
    <t>Q-8781</t>
  </si>
  <si>
    <t>Q-8779</t>
  </si>
  <si>
    <t>02/26/2026</t>
  </si>
  <si>
    <t>Q-8793</t>
  </si>
  <si>
    <t>03/06/2026</t>
  </si>
  <si>
    <t>Q-8791</t>
  </si>
  <si>
    <t>Q-8790</t>
  </si>
  <si>
    <t>03/09/2026</t>
  </si>
  <si>
    <t>Q-8792</t>
  </si>
  <si>
    <t>Q-8800</t>
  </si>
  <si>
    <t>03/12/2026</t>
  </si>
  <si>
    <t>Q-8799</t>
  </si>
  <si>
    <t>Q-8796</t>
  </si>
  <si>
    <t>Q-8795</t>
  </si>
  <si>
    <t>04/03/2026</t>
  </si>
  <si>
    <t>Q-8798</t>
  </si>
  <si>
    <t>Q-8797</t>
  </si>
  <si>
    <t>03/18/2026</t>
  </si>
  <si>
    <t>Q-8796.1</t>
  </si>
  <si>
    <t>Q-8801</t>
  </si>
  <si>
    <t>04/09/2026</t>
  </si>
  <si>
    <t>03/26/2026</t>
  </si>
  <si>
    <t>Q-8794</t>
  </si>
  <si>
    <t>Q-8801.1</t>
  </si>
  <si>
    <t>Q-8810</t>
  </si>
  <si>
    <t>Q-8812</t>
  </si>
  <si>
    <t>04/10/2026</t>
  </si>
  <si>
    <t>Q-8813</t>
  </si>
  <si>
    <t>Q-8811</t>
  </si>
  <si>
    <t>04/14/2026</t>
  </si>
  <si>
    <t>Q-8814</t>
  </si>
  <si>
    <t>Q-8819</t>
  </si>
  <si>
    <t>Q-8816</t>
  </si>
  <si>
    <t>Q-8815</t>
  </si>
  <si>
    <t>04/16/2026</t>
  </si>
  <si>
    <t>Q-8818</t>
  </si>
  <si>
    <t>Q-8817</t>
  </si>
  <si>
    <t>04/27/2026</t>
  </si>
  <si>
    <t>Q-8823</t>
  </si>
  <si>
    <t>Q-8821</t>
  </si>
  <si>
    <t>Q-8822</t>
  </si>
  <si>
    <t>Q-8820</t>
  </si>
  <si>
    <t>Q-8824</t>
  </si>
  <si>
    <t>Q-8825</t>
  </si>
  <si>
    <t>Q-8834</t>
  </si>
  <si>
    <t>Q-8826</t>
  </si>
  <si>
    <t>05/01/2026</t>
  </si>
  <si>
    <t>Q-8833</t>
  </si>
  <si>
    <t>04/30/2026</t>
  </si>
  <si>
    <t>Q-8830</t>
  </si>
  <si>
    <t>04/29/2026</t>
  </si>
  <si>
    <t>Q-8829</t>
  </si>
  <si>
    <t>Q-8828</t>
  </si>
  <si>
    <t>Q-8827</t>
  </si>
  <si>
    <t>05/04/2026</t>
  </si>
  <si>
    <t>Q-8847.1</t>
  </si>
  <si>
    <t>07/24/2026</t>
  </si>
  <si>
    <t>Q-8847</t>
  </si>
  <si>
    <t>06/30/2026</t>
  </si>
  <si>
    <t>Q-8836</t>
  </si>
  <si>
    <t>Q-8831</t>
  </si>
  <si>
    <t>Q-8832</t>
  </si>
  <si>
    <t>Q-8846</t>
  </si>
  <si>
    <t>Q-8859</t>
  </si>
  <si>
    <t>05/22/2026</t>
  </si>
  <si>
    <t>Q-8856</t>
  </si>
  <si>
    <t>Q-8850</t>
  </si>
  <si>
    <t>Q-8851</t>
  </si>
  <si>
    <t>05/12/2026</t>
  </si>
  <si>
    <t>Q-8852</t>
  </si>
  <si>
    <t>Q-8853</t>
  </si>
  <si>
    <t>Q-8849</t>
  </si>
  <si>
    <t>06/23/2026</t>
  </si>
  <si>
    <t>Q-8835</t>
  </si>
  <si>
    <t>Q-8854</t>
  </si>
  <si>
    <t>Q-8845</t>
  </si>
  <si>
    <t>06/11/2026</t>
  </si>
  <si>
    <t>Q-8857</t>
  </si>
  <si>
    <t>05/19/2026</t>
  </si>
  <si>
    <t>Q-8848</t>
  </si>
  <si>
    <t>05/28/2026</t>
  </si>
  <si>
    <t>Q-8855</t>
  </si>
  <si>
    <t>Q-8858</t>
  </si>
  <si>
    <t>Q-8861</t>
  </si>
  <si>
    <t>Q-8862</t>
  </si>
  <si>
    <t>Q-8863</t>
  </si>
  <si>
    <t>Q-8872</t>
  </si>
  <si>
    <t>Q-8873</t>
  </si>
  <si>
    <t>07/21/2026</t>
  </si>
  <si>
    <t>Q-8874</t>
  </si>
  <si>
    <t>Q-8876</t>
  </si>
  <si>
    <t>Q-8875</t>
  </si>
  <si>
    <t>06/25/2026</t>
  </si>
  <si>
    <t>Q-8886</t>
  </si>
  <si>
    <t>07/20/2026</t>
  </si>
  <si>
    <t>Q-8885</t>
  </si>
  <si>
    <t>08/05/2026</t>
  </si>
  <si>
    <t>07/22/2026</t>
  </si>
  <si>
    <t>Q-8884</t>
  </si>
  <si>
    <t>Q-8895</t>
  </si>
  <si>
    <t>Q-8889</t>
  </si>
  <si>
    <t>Q-8892</t>
  </si>
  <si>
    <t>Q-8888</t>
  </si>
  <si>
    <t>07/29/2026</t>
  </si>
  <si>
    <t>Q-8891</t>
  </si>
  <si>
    <t>Q-8890</t>
  </si>
  <si>
    <t>07/30/2026</t>
  </si>
  <si>
    <t>Q-8887</t>
  </si>
  <si>
    <t>Q-8898</t>
  </si>
  <si>
    <t>08/10/2026</t>
  </si>
  <si>
    <t>Q-8897</t>
  </si>
  <si>
    <t>Q-8896</t>
  </si>
  <si>
    <t>Q-8907</t>
  </si>
  <si>
    <t>Monthly KPI:  2024</t>
  </si>
  <si>
    <t>Project Name</t>
  </si>
  <si>
    <t>Work Order</t>
  </si>
  <si>
    <t>Sample Period Ending</t>
  </si>
  <si>
    <t>Month and Year</t>
  </si>
  <si>
    <t>Sample Release Date</t>
  </si>
  <si>
    <t>Last Sample Rec. Date</t>
  </si>
  <si>
    <t>Report Due Date</t>
  </si>
  <si>
    <t>Report Type</t>
  </si>
  <si>
    <t>Count Of Late WO</t>
  </si>
  <si>
    <t>Count of WO</t>
  </si>
  <si>
    <t>Percent WO on Time</t>
  </si>
  <si>
    <t>Count Of Samples</t>
  </si>
  <si>
    <t>Count of Late Samples</t>
  </si>
  <si>
    <t>Percent Samp on Time</t>
  </si>
  <si>
    <t>Year</t>
  </si>
  <si>
    <t>Month</t>
  </si>
  <si>
    <t>Month_Year</t>
  </si>
  <si>
    <t>Year_Range</t>
  </si>
  <si>
    <t>Calculated</t>
  </si>
  <si>
    <t>Totals:</t>
  </si>
  <si>
    <t>Run. Count of Late WO</t>
  </si>
  <si>
    <t>Run. Count of Samp.</t>
  </si>
  <si>
    <t>Monthly KPI:  2025</t>
  </si>
  <si>
    <t>Monthly KPI:  2026</t>
  </si>
  <si>
    <t>Totals for:</t>
  </si>
  <si>
    <t>Grand Totals:</t>
  </si>
  <si>
    <t>Special KPI:  2024</t>
  </si>
  <si>
    <t>Special KPI:  2025</t>
  </si>
  <si>
    <t>Special KPI: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</si>
</sst>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ptos Narrow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0"/>
      <color indexed="57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4" fillId="2" borderId="0" xfId="0" applyNumberFormat="1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/>
    <xf numFmtId="49" fontId="2" fillId="2" borderId="2" xfId="0" applyNumberFormat="1" applyFont="1" applyFill="1" applyBorder="1" applyAlignment="1">
      <alignment horizontal="center" vertical="top" wrapText="1"/>
    </xf>
    <xf numFmtId="0" fontId="0" fillId="2" borderId="2" xfId="0" applyFill="1" applyBorder="1"/>
    <xf numFmtId="0" fontId="4" fillId="2" borderId="2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left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5" xfId="0" applyFill="1" applyBorder="1"/>
    <xf numFmtId="0" fontId="6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49" fontId="5" fillId="0" borderId="12" xfId="0" applyNumberFormat="1" applyFont="1" applyFill="1" applyBorder="1" applyAlignment="1">
      <alignment horizontal="left" vertical="center"/>
    </xf>
    <xf numFmtId="0" fontId="6" fillId="0" borderId="15" xfId="0" applyNumberFormat="1" applyFont="1" applyFill="1" applyBorder="1" applyAlignment="1">
      <alignment horizontal="center" vertical="center"/>
    </xf>
    <xf numFmtId="0" fontId="6" fillId="0" borderId="16" xfId="0" applyNumberFormat="1" applyFont="1" applyFill="1" applyBorder="1" applyAlignment="1">
      <alignment horizontal="center" vertical="center"/>
    </xf>
    <xf numFmtId="0" fontId="6" fillId="0" borderId="17" xfId="0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center" vertical="center"/>
    </xf>
    <xf numFmtId="49" fontId="5" fillId="0" borderId="20" xfId="0" applyNumberFormat="1" applyFont="1" applyFill="1" applyBorder="1" applyAlignment="1">
      <alignment horizontal="left" vertical="center"/>
    </xf>
    <xf numFmtId="14" fontId="6" fillId="0" borderId="15" xfId="0" applyNumberFormat="1" applyFont="1" applyFill="1" applyBorder="1" applyAlignment="1">
      <alignment horizontal="center" vertical="center"/>
    </xf>
    <xf numFmtId="14" fontId="5" fillId="0" borderId="20" xfId="0" applyNumberFormat="1" applyFont="1" applyFill="1" applyBorder="1" applyAlignment="1">
      <alignment horizontal="left" vertical="center"/>
    </xf>
    <xf numFmtId="0" fontId="6" fillId="0" borderId="15" xfId="0" applyNumberFormat="1" applyFont="1" applyFill="1" applyBorder="1" applyAlignment="1">
      <alignment horizontal="left" vertical="center"/>
    </xf>
    <xf numFmtId="14" fontId="6" fillId="0" borderId="14" xfId="0" applyNumberFormat="1" applyFont="1" applyFill="1" applyBorder="1" applyAlignment="1">
      <alignment horizontal="center" vertical="center"/>
    </xf>
    <xf numFmtId="49" fontId="5" fillId="0" borderId="20" xfId="0" applyNumberFormat="1" applyFont="1" applyFill="1" applyBorder="1" applyAlignment="1">
      <alignment horizontal="center" vertical="center"/>
    </xf>
    <xf numFmtId="0" fontId="6" fillId="0" borderId="14" xfId="0" applyNumberFormat="1" applyFont="1" applyFill="1" applyBorder="1" applyAlignment="1">
      <alignment horizontal="left" vertical="center"/>
    </xf>
    <xf numFmtId="14" fontId="5" fillId="0" borderId="20" xfId="0" applyNumberFormat="1" applyFont="1" applyFill="1" applyBorder="1" applyAlignment="1">
      <alignment horizontal="center" vertical="center"/>
    </xf>
    <xf numFmtId="0" fontId="7" fillId="0" borderId="15" xfId="0" applyNumberFormat="1" applyFont="1" applyFill="1" applyBorder="1" applyAlignment="1">
      <alignment horizontal="center" vertical="center"/>
    </xf>
    <xf numFmtId="0" fontId="7" fillId="0" borderId="14" xfId="0" applyNumberFormat="1" applyFont="1" applyFill="1" applyBorder="1" applyAlignment="1">
      <alignment horizontal="center" vertical="center"/>
    </xf>
    <xf numFmtId="164" fontId="6" fillId="0" borderId="15" xfId="0" applyNumberFormat="1" applyFont="1" applyFill="1" applyBorder="1" applyAlignment="1">
      <alignment horizontal="center" vertical="center"/>
    </xf>
    <xf numFmtId="164" fontId="6" fillId="0" borderId="14" xfId="0" applyNumberFormat="1" applyFont="1" applyFill="1" applyBorder="1" applyAlignment="1">
      <alignment horizontal="center" vertical="center"/>
    </xf>
    <xf numFmtId="49" fontId="5" fillId="0" borderId="21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16" xfId="0" applyNumberFormat="1" applyFont="1" applyFill="1" applyBorder="1" applyAlignment="1">
      <alignment horizontal="center" vertical="center"/>
    </xf>
    <xf numFmtId="49" fontId="5" fillId="0" borderId="19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center" vertical="center"/>
    </xf>
    <xf numFmtId="14" fontId="6" fillId="0" borderId="7" xfId="0" applyNumberFormat="1" applyFont="1" applyFill="1" applyBorder="1" applyAlignment="1">
      <alignment horizontal="center" vertical="center"/>
    </xf>
    <xf numFmtId="0" fontId="6" fillId="0" borderId="7" xfId="0" applyNumberFormat="1" applyFont="1" applyFill="1" applyBorder="1" applyAlignment="1">
      <alignment horizontal="left" vertical="center"/>
    </xf>
    <xf numFmtId="0" fontId="7" fillId="0" borderId="7" xfId="0" applyNumberFormat="1" applyFont="1" applyFill="1" applyBorder="1" applyAlignment="1">
      <alignment horizontal="center" vertical="center"/>
    </xf>
    <xf numFmtId="164" fontId="6" fillId="0" borderId="7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/>
    </xf>
    <xf numFmtId="0" fontId="6" fillId="0" borderId="24" xfId="0" applyNumberFormat="1" applyFont="1" applyFill="1" applyBorder="1" applyAlignment="1">
      <alignment horizontal="center" vertical="center"/>
    </xf>
    <xf numFmtId="164" fontId="6" fillId="0" borderId="11" xfId="0" applyNumberFormat="1" applyFont="1" applyFill="1" applyBorder="1" applyAlignment="1">
      <alignment horizontal="center" vertical="center"/>
    </xf>
    <xf numFmtId="164" fontId="6" fillId="0" borderId="25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left" vertical="center"/>
    </xf>
    <xf numFmtId="0" fontId="6" fillId="0" borderId="26" xfId="0" applyNumberFormat="1" applyFont="1" applyFill="1" applyBorder="1" applyAlignment="1">
      <alignment horizontal="center" vertical="center"/>
    </xf>
    <xf numFmtId="0" fontId="8" fillId="3" borderId="0" xfId="0" applyNumberFormat="1" applyFont="1" applyFill="1" applyAlignment="1">
      <alignment horizontal="center" vertical="center"/>
    </xf>
    <xf numFmtId="1" fontId="8" fillId="3" borderId="0" xfId="0" applyNumberFormat="1" applyFont="1" applyFill="1" applyAlignment="1">
      <alignment horizontal="center" vertical="center"/>
    </xf>
    <xf numFmtId="164" fontId="6" fillId="0" borderId="27" xfId="0" applyNumberFormat="1" applyFont="1" applyFill="1" applyBorder="1" applyAlignment="1">
      <alignment horizontal="center" vertical="center"/>
    </xf>
    <xf numFmtId="0" fontId="8" fillId="3" borderId="2" xfId="0" applyNumberFormat="1" applyFont="1" applyFill="1" applyBorder="1" applyAlignment="1">
      <alignment horizontal="right" vertical="center"/>
    </xf>
    <xf numFmtId="0" fontId="8" fillId="3" borderId="2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8" fillId="3" borderId="9" xfId="0" applyNumberFormat="1" applyFont="1" applyFill="1" applyBorder="1" applyAlignment="1">
      <alignment horizontal="left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Alignment="1">
      <alignment horizontal="left" vertical="center"/>
    </xf>
    <xf numFmtId="0" fontId="0" fillId="4" borderId="0" xfId="0" applyFill="1"/>
    <xf numFmtId="0" fontId="4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right" vertical="top"/>
    </xf>
    <xf numFmtId="0" fontId="0" fillId="4" borderId="3" xfId="0" applyFill="1" applyBorder="1"/>
    <xf numFmtId="14" fontId="0" fillId="4" borderId="3" xfId="0" applyNumberFormat="1" applyFill="1" applyBorder="1"/>
    <xf numFmtId="1" fontId="7" fillId="4" borderId="3" xfId="0" applyNumberFormat="1" applyFont="1" applyFill="1" applyBorder="1" applyAlignment="1">
      <alignment horizontal="right" vertical="top"/>
    </xf>
    <xf numFmtId="1" fontId="10" fillId="4" borderId="3" xfId="0" applyNumberFormat="1" applyFont="1" applyFill="1" applyBorder="1" applyAlignment="1">
      <alignment horizontal="right" vertical="top"/>
    </xf>
    <xf numFmtId="0" fontId="4" fillId="4" borderId="29" xfId="0" applyNumberFormat="1" applyFont="1" applyFill="1" applyBorder="1" applyAlignment="1">
      <alignment horizontal="left" vertical="center"/>
    </xf>
    <xf numFmtId="0" fontId="0" fillId="4" borderId="28" xfId="0" applyFill="1" applyBorder="1"/>
    <xf numFmtId="164" fontId="4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/>
    <xf numFmtId="14" fontId="0" fillId="2" borderId="0" xfId="0" applyNumberFormat="1" applyFill="1" applyBorder="1"/>
    <xf numFmtId="0" fontId="4" fillId="2" borderId="0" xfId="0" applyNumberFormat="1" applyFont="1" applyFill="1" applyAlignment="1">
      <alignment horizontal="right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right" vertical="center"/>
    </xf>
    <xf numFmtId="0" fontId="0" fillId="2" borderId="12" xfId="0" applyFill="1" applyBorder="1"/>
    <xf numFmtId="49" fontId="11" fillId="2" borderId="29" xfId="0" applyNumberFormat="1" applyFont="1" applyFill="1" applyBorder="1" applyAlignment="1">
      <alignment horizontal="center" vertical="center" wrapText="1"/>
    </xf>
    <xf numFmtId="0" fontId="4" fillId="2" borderId="29" xfId="0" applyNumberFormat="1" applyFont="1" applyFill="1" applyBorder="1" applyAlignment="1">
      <alignment horizontal="center" vertical="center" wrapText="1"/>
    </xf>
    <xf numFmtId="0" fontId="4" fillId="2" borderId="4" xfId="0" applyNumberFormat="1" applyFont="1" applyFill="1" applyBorder="1" applyAlignment="1">
      <alignment horizontal="right" vertical="center"/>
    </xf>
    <xf numFmtId="0" fontId="0" fillId="2" borderId="29" xfId="0" applyFill="1" applyBorder="1"/>
    <xf numFmtId="49" fontId="6" fillId="0" borderId="15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right" vertical="center"/>
    </xf>
    <xf numFmtId="49" fontId="5" fillId="3" borderId="15" xfId="0" applyNumberFormat="1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1" fontId="6" fillId="0" borderId="15" xfId="0" applyNumberFormat="1" applyFont="1" applyFill="1" applyBorder="1" applyAlignment="1">
      <alignment horizontal="center" vertical="center"/>
    </xf>
    <xf numFmtId="1" fontId="6" fillId="0" borderId="18" xfId="0" applyNumberFormat="1" applyFont="1" applyFill="1" applyBorder="1" applyAlignment="1">
      <alignment horizontal="center" vertical="center"/>
    </xf>
    <xf numFmtId="1" fontId="6" fillId="0" borderId="17" xfId="0" applyNumberFormat="1" applyFont="1" applyFill="1" applyBorder="1" applyAlignment="1">
      <alignment horizontal="center" vertical="center"/>
    </xf>
    <xf numFmtId="1" fontId="6" fillId="0" borderId="14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>
      <alignment horizontal="center" vertical="center"/>
    </xf>
    <xf numFmtId="0" fontId="8" fillId="4" borderId="1" xfId="0" applyNumberFormat="1" applyFont="1" applyFill="1" applyBorder="1" applyAlignment="1">
      <alignment horizontal="left" vertical="center"/>
    </xf>
    <xf numFmtId="0" fontId="8" fillId="4" borderId="1" xfId="0" applyNumberFormat="1" applyFont="1" applyFill="1" applyBorder="1" applyAlignment="1">
      <alignment horizontal="center" vertical="center"/>
    </xf>
    <xf numFmtId="1" fontId="8" fillId="0" borderId="1" xfId="0" applyNumberFormat="1" applyFont="1" applyFill="1" applyBorder="1" applyAlignment="1">
      <alignment horizontal="right" vertical="center"/>
    </xf>
    <xf numFmtId="1" fontId="8" fillId="0" borderId="14" xfId="0" applyNumberFormat="1" applyFont="1" applyFill="1" applyBorder="1" applyAlignment="1">
      <alignment horizontal="right" vertical="center"/>
    </xf>
    <xf numFmtId="0" fontId="0" fillId="5" borderId="0" xfId="0" applyFill="1"/>
    <xf numFmtId="1" fontId="8" fillId="5" borderId="14" xfId="0" applyNumberFormat="1" applyFont="1" applyFill="1" applyBorder="1" applyAlignment="1">
      <alignment horizontal="right" vertical="center"/>
    </xf>
    <xf numFmtId="1" fontId="8" fillId="5" borderId="17" xfId="0" applyNumberFormat="1" applyFont="1" applyFill="1" applyBorder="1" applyAlignment="1">
      <alignment horizontal="right" vertical="center"/>
    </xf>
    <xf numFmtId="164" fontId="8" fillId="5" borderId="14" xfId="0" applyNumberFormat="1" applyFont="1" applyFill="1" applyBorder="1" applyAlignment="1">
      <alignment horizontal="right" vertical="center"/>
    </xf>
    <xf numFmtId="1" fontId="8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18" xfId="0" applyBorder="1" applyAlignment="1">
      <alignment horizontal="center"/>
    </xf>
    <xf numFmtId="1" fontId="0" fillId="0" borderId="18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" fillId="0" borderId="23" xfId="0" applyFont="1" applyBorder="1" applyAlignment="1">
      <alignment horizontal="center"/>
    </xf>
    <xf numFmtId="1" fontId="1" fillId="0" borderId="22" xfId="0" applyNumberFormat="1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4" fillId="5" borderId="0" xfId="0" applyNumberFormat="1" applyFont="1" applyFill="1" applyAlignment="1">
      <alignment horizontal="left" vertical="center"/>
    </xf>
    <xf numFmtId="0" fontId="4" fillId="5" borderId="0" xfId="0" applyNumberFormat="1" applyFont="1" applyFill="1" applyBorder="1" applyAlignment="1">
      <alignment horizontal="left" vertical="center"/>
    </xf>
    <xf numFmtId="164" fontId="4" fillId="5" borderId="0" xfId="0" applyNumberFormat="1" applyFont="1" applyFill="1" applyBorder="1" applyAlignment="1">
      <alignment horizontal="left" vertical="center"/>
    </xf>
    <xf numFmtId="0" fontId="0" fillId="5" borderId="3" xfId="0" applyFill="1" applyBorder="1"/>
    <xf numFmtId="14" fontId="0" fillId="5" borderId="3" xfId="0" applyNumberFormat="1" applyFill="1" applyBorder="1"/>
    <xf numFmtId="0" fontId="4" fillId="5" borderId="29" xfId="0" applyNumberFormat="1" applyFont="1" applyFill="1" applyBorder="1" applyAlignment="1">
      <alignment horizontal="left" vertical="center"/>
    </xf>
    <xf numFmtId="0" fontId="0" fillId="5" borderId="28" xfId="0" applyFill="1" applyBorder="1"/>
    <xf numFmtId="164" fontId="4" fillId="5" borderId="5" xfId="0" applyNumberFormat="1" applyFont="1" applyFill="1" applyBorder="1" applyAlignment="1">
      <alignment horizontal="left" vertical="center"/>
    </xf>
    <xf numFmtId="0" fontId="0" fillId="5" borderId="6" xfId="0" applyFill="1" applyBorder="1"/>
    <xf numFmtId="49" fontId="5" fillId="3" borderId="1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Special Work Order on Time % Compared to Sample On Time Percent by Month </a:t>
            </a:r>
            <a:r>
              <a:rPr lang="en-US"/>
              <a:t>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Work Order on Time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KPI_Special!$A$651:$A$676</c:f>
              <c:strCache>
                <c:ptCount val="26"/>
                <c:pt idx="0">
                  <c:v>07 2024</c:v>
                </c:pt>
                <c:pt idx="1">
                  <c:v>08 2024</c:v>
                </c:pt>
                <c:pt idx="2">
                  <c:v>09 2024</c:v>
                </c:pt>
                <c:pt idx="3">
                  <c:v>10 2024</c:v>
                </c:pt>
                <c:pt idx="4">
                  <c:v>11 2024</c:v>
                </c:pt>
                <c:pt idx="5">
                  <c:v>12 2024</c:v>
                </c:pt>
                <c:pt idx="6">
                  <c:v>01 2025</c:v>
                </c:pt>
                <c:pt idx="7">
                  <c:v>02 2025</c:v>
                </c:pt>
                <c:pt idx="8">
                  <c:v>03 2025</c:v>
                </c:pt>
                <c:pt idx="9">
                  <c:v>04 2025</c:v>
                </c:pt>
                <c:pt idx="10">
                  <c:v>05 2025</c:v>
                </c:pt>
                <c:pt idx="11">
                  <c:v>06 2025</c:v>
                </c:pt>
                <c:pt idx="12">
                  <c:v>07 2025</c:v>
                </c:pt>
                <c:pt idx="13">
                  <c:v>08 2025</c:v>
                </c:pt>
                <c:pt idx="14">
                  <c:v>09 2025</c:v>
                </c:pt>
                <c:pt idx="15">
                  <c:v>10 2025</c:v>
                </c:pt>
                <c:pt idx="16">
                  <c:v>11 2025</c:v>
                </c:pt>
                <c:pt idx="17">
                  <c:v>12 2025</c:v>
                </c:pt>
                <c:pt idx="18">
                  <c:v>01 2026</c:v>
                </c:pt>
                <c:pt idx="19">
                  <c:v>02 2026</c:v>
                </c:pt>
                <c:pt idx="20">
                  <c:v>03 2026</c:v>
                </c:pt>
                <c:pt idx="21">
                  <c:v>04 2026</c:v>
                </c:pt>
                <c:pt idx="22">
                  <c:v>05 2026</c:v>
                </c:pt>
                <c:pt idx="23">
                  <c:v>06 2026</c:v>
                </c:pt>
                <c:pt idx="24">
                  <c:v>07 2026</c:v>
                </c:pt>
                <c:pt idx="25">
                  <c:v>08 2026</c:v>
                </c:pt>
              </c:strCache>
            </c:strRef>
          </c:cat>
          <c:val>
            <c:numRef>
              <c:f>KPI_Special!$L$651:$L$676</c:f>
              <c:numCache>
                <c:formatCode>0.0%</c:formatCode>
                <c:ptCount val="26"/>
                <c:pt idx="0">
                  <c:v>0.125</c:v>
                </c:pt>
                <c:pt idx="1">
                  <c:v>0.27272727272727271</c:v>
                </c:pt>
                <c:pt idx="2">
                  <c:v>0</c:v>
                </c:pt>
                <c:pt idx="3">
                  <c:v>0.16666666666666666</c:v>
                </c:pt>
                <c:pt idx="4">
                  <c:v>6.6666666666666666E-2</c:v>
                </c:pt>
                <c:pt idx="5">
                  <c:v>0</c:v>
                </c:pt>
                <c:pt idx="6">
                  <c:v>0</c:v>
                </c:pt>
                <c:pt idx="7">
                  <c:v>7.6923076923076927E-2</c:v>
                </c:pt>
                <c:pt idx="8">
                  <c:v>6.0606060606060608E-2</c:v>
                </c:pt>
                <c:pt idx="9">
                  <c:v>5.2631578947368418E-2</c:v>
                </c:pt>
                <c:pt idx="10">
                  <c:v>0</c:v>
                </c:pt>
                <c:pt idx="11">
                  <c:v>6.25E-2</c:v>
                </c:pt>
                <c:pt idx="12">
                  <c:v>0</c:v>
                </c:pt>
                <c:pt idx="13">
                  <c:v>9.0909090909090912E-2</c:v>
                </c:pt>
                <c:pt idx="14">
                  <c:v>0</c:v>
                </c:pt>
                <c:pt idx="15">
                  <c:v>0.1111111111111111</c:v>
                </c:pt>
                <c:pt idx="16">
                  <c:v>0.14285714285714285</c:v>
                </c:pt>
                <c:pt idx="17">
                  <c:v>0</c:v>
                </c:pt>
                <c:pt idx="18">
                  <c:v>0.125</c:v>
                </c:pt>
                <c:pt idx="19">
                  <c:v>0.45454545454545453</c:v>
                </c:pt>
                <c:pt idx="20">
                  <c:v>0.15384615384615385</c:v>
                </c:pt>
                <c:pt idx="21">
                  <c:v>0.37037037037037035</c:v>
                </c:pt>
                <c:pt idx="22">
                  <c:v>4.7619047619047616E-2</c:v>
                </c:pt>
                <c:pt idx="23">
                  <c:v>0.14285714285714285</c:v>
                </c:pt>
                <c:pt idx="24">
                  <c:v>0.1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9-4045-9DBC-1A5DAF624485}"/>
            </c:ext>
          </c:extLst>
        </c:ser>
        <c:ser>
          <c:idx val="1"/>
          <c:order val="1"/>
          <c:tx>
            <c:v># of Samples on Time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KPI_Special!$O$651:$O$676</c:f>
              <c:numCache>
                <c:formatCode>0.0%</c:formatCode>
                <c:ptCount val="26"/>
                <c:pt idx="0">
                  <c:v>0.24</c:v>
                </c:pt>
                <c:pt idx="1">
                  <c:v>0.28000000000000003</c:v>
                </c:pt>
                <c:pt idx="2">
                  <c:v>0</c:v>
                </c:pt>
                <c:pt idx="3">
                  <c:v>0.31372549019607843</c:v>
                </c:pt>
                <c:pt idx="4">
                  <c:v>2.6666666666666668E-2</c:v>
                </c:pt>
                <c:pt idx="5">
                  <c:v>0</c:v>
                </c:pt>
                <c:pt idx="6">
                  <c:v>0</c:v>
                </c:pt>
                <c:pt idx="7">
                  <c:v>0.8176100628930818</c:v>
                </c:pt>
                <c:pt idx="8">
                  <c:v>6.5217391304347824E-2</c:v>
                </c:pt>
                <c:pt idx="9">
                  <c:v>1.1111111111111112E-2</c:v>
                </c:pt>
                <c:pt idx="10">
                  <c:v>0</c:v>
                </c:pt>
                <c:pt idx="11">
                  <c:v>3.3333333333333333E-2</c:v>
                </c:pt>
                <c:pt idx="12">
                  <c:v>0</c:v>
                </c:pt>
                <c:pt idx="13">
                  <c:v>3.0303030303030304E-2</c:v>
                </c:pt>
                <c:pt idx="14">
                  <c:v>0</c:v>
                </c:pt>
                <c:pt idx="15">
                  <c:v>0.04</c:v>
                </c:pt>
                <c:pt idx="16">
                  <c:v>0.29411764705882354</c:v>
                </c:pt>
                <c:pt idx="17">
                  <c:v>0</c:v>
                </c:pt>
                <c:pt idx="18">
                  <c:v>0.1111111111111111</c:v>
                </c:pt>
                <c:pt idx="19">
                  <c:v>0.36666666666666664</c:v>
                </c:pt>
                <c:pt idx="20">
                  <c:v>6.3829787234042548E-2</c:v>
                </c:pt>
                <c:pt idx="21">
                  <c:v>0.2153846153846154</c:v>
                </c:pt>
                <c:pt idx="22">
                  <c:v>2.3255813953488372E-2</c:v>
                </c:pt>
                <c:pt idx="23">
                  <c:v>0.54545454545454541</c:v>
                </c:pt>
                <c:pt idx="24">
                  <c:v>0.16666666666666666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9-4045-9DBC-1A5DAF624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351696"/>
        <c:axId val="658908176"/>
      </c:barChart>
      <c:catAx>
        <c:axId val="28635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08176"/>
        <c:crosses val="autoZero"/>
        <c:auto val="1"/>
        <c:lblAlgn val="ctr"/>
        <c:lblOffset val="100"/>
        <c:noMultiLvlLbl val="0"/>
      </c:catAx>
      <c:valAx>
        <c:axId val="6589081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5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843732363526768"/>
          <c:y val="0.95227732160052669"/>
          <c:w val="0.20788315284593836"/>
          <c:h val="3.5205319187731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rPr>
              <a:t>Work Order on Time % Compared to Sample On Time Percent by Month and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Work Order on Time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KPI_Monthly!$A$625:$A$650</c:f>
              <c:strCache>
                <c:ptCount val="26"/>
                <c:pt idx="0">
                  <c:v>07 2024</c:v>
                </c:pt>
                <c:pt idx="1">
                  <c:v>08 2024</c:v>
                </c:pt>
                <c:pt idx="2">
                  <c:v>09 2024</c:v>
                </c:pt>
                <c:pt idx="3">
                  <c:v>10 2024</c:v>
                </c:pt>
                <c:pt idx="4">
                  <c:v>11 2024</c:v>
                </c:pt>
                <c:pt idx="5">
                  <c:v>12 2024</c:v>
                </c:pt>
                <c:pt idx="6">
                  <c:v>01 2025</c:v>
                </c:pt>
                <c:pt idx="7">
                  <c:v>02 2025</c:v>
                </c:pt>
                <c:pt idx="8">
                  <c:v>03 2025</c:v>
                </c:pt>
                <c:pt idx="9">
                  <c:v>04 2025</c:v>
                </c:pt>
                <c:pt idx="10">
                  <c:v>05 2025</c:v>
                </c:pt>
                <c:pt idx="11">
                  <c:v>06 2025</c:v>
                </c:pt>
                <c:pt idx="12">
                  <c:v>07 2025</c:v>
                </c:pt>
                <c:pt idx="13">
                  <c:v>08 2025</c:v>
                </c:pt>
                <c:pt idx="14">
                  <c:v>09 2025</c:v>
                </c:pt>
                <c:pt idx="15">
                  <c:v>10 2025</c:v>
                </c:pt>
                <c:pt idx="16">
                  <c:v>11 2025</c:v>
                </c:pt>
                <c:pt idx="17">
                  <c:v>12 2025</c:v>
                </c:pt>
                <c:pt idx="18">
                  <c:v>01 2026</c:v>
                </c:pt>
                <c:pt idx="19">
                  <c:v>02 2026</c:v>
                </c:pt>
                <c:pt idx="20">
                  <c:v>03 2026</c:v>
                </c:pt>
                <c:pt idx="21">
                  <c:v>04 2026</c:v>
                </c:pt>
                <c:pt idx="22">
                  <c:v>05 2026</c:v>
                </c:pt>
                <c:pt idx="23">
                  <c:v>06 2026</c:v>
                </c:pt>
                <c:pt idx="24">
                  <c:v>07 2026</c:v>
                </c:pt>
                <c:pt idx="25">
                  <c:v>08 2026</c:v>
                </c:pt>
              </c:strCache>
            </c:strRef>
          </c:cat>
          <c:val>
            <c:numRef>
              <c:f>KPI_Monthly!$L$625:$L$650</c:f>
              <c:numCache>
                <c:formatCode>0.0%</c:formatCode>
                <c:ptCount val="26"/>
                <c:pt idx="0">
                  <c:v>0.75</c:v>
                </c:pt>
                <c:pt idx="1">
                  <c:v>0.40909090909090912</c:v>
                </c:pt>
                <c:pt idx="2">
                  <c:v>0.125</c:v>
                </c:pt>
                <c:pt idx="3">
                  <c:v>0.44</c:v>
                </c:pt>
                <c:pt idx="4">
                  <c:v>0.26666666666666666</c:v>
                </c:pt>
                <c:pt idx="5">
                  <c:v>0.14814814814814814</c:v>
                </c:pt>
                <c:pt idx="6">
                  <c:v>0.14285714285714285</c:v>
                </c:pt>
                <c:pt idx="7">
                  <c:v>5.8823529411764705E-2</c:v>
                </c:pt>
                <c:pt idx="8">
                  <c:v>9.0909090909090912E-2</c:v>
                </c:pt>
                <c:pt idx="9">
                  <c:v>0.11764705882352941</c:v>
                </c:pt>
                <c:pt idx="10">
                  <c:v>0.25</c:v>
                </c:pt>
                <c:pt idx="11">
                  <c:v>0.3</c:v>
                </c:pt>
                <c:pt idx="12">
                  <c:v>0.22222222222222221</c:v>
                </c:pt>
                <c:pt idx="13">
                  <c:v>0.13333333333333333</c:v>
                </c:pt>
                <c:pt idx="14">
                  <c:v>0.16666666666666666</c:v>
                </c:pt>
                <c:pt idx="15">
                  <c:v>0.4</c:v>
                </c:pt>
                <c:pt idx="16">
                  <c:v>0.16666666666666666</c:v>
                </c:pt>
                <c:pt idx="17">
                  <c:v>9.0909090909090912E-2</c:v>
                </c:pt>
                <c:pt idx="18">
                  <c:v>0.61538461538461542</c:v>
                </c:pt>
                <c:pt idx="19">
                  <c:v>0.23076923076923078</c:v>
                </c:pt>
                <c:pt idx="20">
                  <c:v>0.36</c:v>
                </c:pt>
                <c:pt idx="21">
                  <c:v>0.6428571428571429</c:v>
                </c:pt>
                <c:pt idx="22">
                  <c:v>0.16666666666666666</c:v>
                </c:pt>
                <c:pt idx="23">
                  <c:v>0.68421052631578949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B-460B-970B-F0A226D3C5CE}"/>
            </c:ext>
          </c:extLst>
        </c:ser>
        <c:ser>
          <c:idx val="1"/>
          <c:order val="1"/>
          <c:tx>
            <c:v># of Samples on Time %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KPI_Monthly!$O$625:$O$650</c:f>
              <c:numCache>
                <c:formatCode>0.0%</c:formatCode>
                <c:ptCount val="26"/>
                <c:pt idx="0">
                  <c:v>0.971830985915493</c:v>
                </c:pt>
                <c:pt idx="1">
                  <c:v>0.4098360655737705</c:v>
                </c:pt>
                <c:pt idx="2">
                  <c:v>0.66384180790960456</c:v>
                </c:pt>
                <c:pt idx="3">
                  <c:v>0.4453125</c:v>
                </c:pt>
                <c:pt idx="4">
                  <c:v>0.62402088772845954</c:v>
                </c:pt>
                <c:pt idx="5">
                  <c:v>0.35227272727272729</c:v>
                </c:pt>
                <c:pt idx="6">
                  <c:v>0.73270440251572322</c:v>
                </c:pt>
                <c:pt idx="7">
                  <c:v>0.34969325153374231</c:v>
                </c:pt>
                <c:pt idx="8">
                  <c:v>0.44047619047619047</c:v>
                </c:pt>
                <c:pt idx="9">
                  <c:v>0.71343283582089556</c:v>
                </c:pt>
                <c:pt idx="10">
                  <c:v>0.73590504451038574</c:v>
                </c:pt>
                <c:pt idx="11">
                  <c:v>0.72049689440993792</c:v>
                </c:pt>
                <c:pt idx="12">
                  <c:v>0.76488095238095233</c:v>
                </c:pt>
                <c:pt idx="13">
                  <c:v>0.34202898550724636</c:v>
                </c:pt>
                <c:pt idx="14">
                  <c:v>0.73432835820895526</c:v>
                </c:pt>
                <c:pt idx="15">
                  <c:v>0.81707317073170727</c:v>
                </c:pt>
                <c:pt idx="16">
                  <c:v>0.73538461538461541</c:v>
                </c:pt>
                <c:pt idx="17">
                  <c:v>0.16558441558441558</c:v>
                </c:pt>
                <c:pt idx="18">
                  <c:v>0.81901840490797551</c:v>
                </c:pt>
                <c:pt idx="19">
                  <c:v>0.42378048780487804</c:v>
                </c:pt>
                <c:pt idx="20">
                  <c:v>0.40116279069767441</c:v>
                </c:pt>
                <c:pt idx="21">
                  <c:v>0.79420289855072468</c:v>
                </c:pt>
                <c:pt idx="22">
                  <c:v>0.60795454545454541</c:v>
                </c:pt>
                <c:pt idx="23">
                  <c:v>0.54205607476635509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B-460B-970B-F0A226D3C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354480"/>
        <c:axId val="658887056"/>
      </c:barChart>
      <c:catAx>
        <c:axId val="28635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887056"/>
        <c:crosses val="autoZero"/>
        <c:auto val="1"/>
        <c:lblAlgn val="ctr"/>
        <c:lblOffset val="100"/>
        <c:noMultiLvlLbl val="0"/>
      </c:catAx>
      <c:valAx>
        <c:axId val="6588870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843732363526768"/>
          <c:y val="0.95227732160052669"/>
          <c:w val="0.20788315284593836"/>
          <c:h val="3.52053191877318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180975</xdr:rowOff>
    </xdr:from>
    <xdr:to>
      <xdr:col>21</xdr:col>
      <xdr:colOff>495300</xdr:colOff>
      <xdr:row>33</xdr:row>
      <xdr:rowOff>172521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075F3D-3A46-CF6C-8784-B07205E7EE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</xdr:row>
      <xdr:rowOff>180975</xdr:rowOff>
    </xdr:from>
    <xdr:to>
      <xdr:col>21</xdr:col>
      <xdr:colOff>495300</xdr:colOff>
      <xdr:row>33</xdr:row>
      <xdr:rowOff>172521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CCCF98-A318-0CD2-3C47-DE5383394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30646-2E9B-4C88-A27F-9299F9EBF8E5}">
  <dimension ref="I36:O65"/>
  <sheetViews>
    <sheetView workbookViewId="0"/>
  </sheetViews>
  <sheetFormatPr defaultRowHeight="15" x14ac:dyDescent="0.25"/>
  <cols>
    <col min="9" max="15" width="18.42578125" customWidth="1"/>
  </cols>
  <sheetData>
    <row r="36" spans="9:15" ht="15.75" thickBot="1" x14ac:dyDescent="0.3"/>
    <row r="37" spans="9:15" ht="15.75" thickBot="1" x14ac:dyDescent="0.3">
      <c r="I37" s="114" t="str">
        <f>"Month and Year"</f>
        <v>Month and Year</v>
      </c>
      <c r="J37" s="118" t="str">
        <f>"# WO"</f>
        <v># WO</v>
      </c>
      <c r="K37" s="118" t="str">
        <f>"# late WO"</f>
        <v># late WO</v>
      </c>
      <c r="L37" s="118" t="str">
        <f>"% WO on Time"</f>
        <v>% WO on Time</v>
      </c>
      <c r="M37" s="118" t="str">
        <f>"# samples"</f>
        <v># samples</v>
      </c>
      <c r="N37" s="118" t="str">
        <f>"# late samples"</f>
        <v># late samples</v>
      </c>
      <c r="O37" s="119" t="str">
        <f>"% sample on time"</f>
        <v>% sample on time</v>
      </c>
    </row>
    <row r="38" spans="9:15" x14ac:dyDescent="0.25">
      <c r="I38" s="108" t="str">
        <f>KPI_Special!A651</f>
        <v>07 2024</v>
      </c>
      <c r="J38" s="109">
        <f>KPI_Special!K651</f>
        <v>8</v>
      </c>
      <c r="K38" s="109">
        <f>KPI_Special!J651</f>
        <v>7</v>
      </c>
      <c r="L38" s="110">
        <f>KPI_Special!L651</f>
        <v>0.125</v>
      </c>
      <c r="M38" s="109">
        <f>KPI_Special!M651</f>
        <v>25</v>
      </c>
      <c r="N38" s="109">
        <f>KPI_Special!N651</f>
        <v>19</v>
      </c>
      <c r="O38" s="110">
        <f>KPI_Special!O651</f>
        <v>0.24</v>
      </c>
    </row>
    <row r="39" spans="9:15" x14ac:dyDescent="0.25">
      <c r="I39" s="111" t="str">
        <f>KPI_Special!A652</f>
        <v>08 2024</v>
      </c>
      <c r="J39" s="112">
        <f>KPI_Special!K652</f>
        <v>11</v>
      </c>
      <c r="K39" s="112">
        <f>KPI_Special!J652</f>
        <v>8</v>
      </c>
      <c r="L39" s="113">
        <f>KPI_Special!L652</f>
        <v>0.27272727272727271</v>
      </c>
      <c r="M39" s="112">
        <f>KPI_Special!M652</f>
        <v>25</v>
      </c>
      <c r="N39" s="112">
        <f>KPI_Special!N652</f>
        <v>18</v>
      </c>
      <c r="O39" s="113">
        <f>KPI_Special!O652</f>
        <v>0.28000000000000003</v>
      </c>
    </row>
    <row r="40" spans="9:15" x14ac:dyDescent="0.25">
      <c r="I40" s="111" t="str">
        <f>KPI_Special!A653</f>
        <v>09 2024</v>
      </c>
      <c r="J40" s="112">
        <f>KPI_Special!K653</f>
        <v>15</v>
      </c>
      <c r="K40" s="112">
        <f>KPI_Special!J653</f>
        <v>15</v>
      </c>
      <c r="L40" s="113">
        <f>KPI_Special!L653</f>
        <v>0</v>
      </c>
      <c r="M40" s="112">
        <f>KPI_Special!M653</f>
        <v>55</v>
      </c>
      <c r="N40" s="112">
        <f>KPI_Special!N653</f>
        <v>55</v>
      </c>
      <c r="O40" s="113">
        <f>KPI_Special!O653</f>
        <v>0</v>
      </c>
    </row>
    <row r="41" spans="9:15" x14ac:dyDescent="0.25">
      <c r="I41" s="111" t="str">
        <f>KPI_Special!A654</f>
        <v>10 2024</v>
      </c>
      <c r="J41" s="112">
        <f>KPI_Special!K654</f>
        <v>18</v>
      </c>
      <c r="K41" s="112">
        <f>KPI_Special!J654</f>
        <v>15</v>
      </c>
      <c r="L41" s="113">
        <f>KPI_Special!L654</f>
        <v>0.16666666666666666</v>
      </c>
      <c r="M41" s="112">
        <f>KPI_Special!M654</f>
        <v>102</v>
      </c>
      <c r="N41" s="112">
        <f>KPI_Special!N654</f>
        <v>70</v>
      </c>
      <c r="O41" s="113">
        <f>KPI_Special!O654</f>
        <v>0.31372549019607843</v>
      </c>
    </row>
    <row r="42" spans="9:15" x14ac:dyDescent="0.25">
      <c r="I42" s="111" t="str">
        <f>KPI_Special!A655</f>
        <v>11 2024</v>
      </c>
      <c r="J42" s="112">
        <f>KPI_Special!K655</f>
        <v>30</v>
      </c>
      <c r="K42" s="112">
        <f>KPI_Special!J655</f>
        <v>28</v>
      </c>
      <c r="L42" s="113">
        <f>KPI_Special!L655</f>
        <v>6.6666666666666666E-2</v>
      </c>
      <c r="M42" s="112">
        <f>KPI_Special!M655</f>
        <v>75</v>
      </c>
      <c r="N42" s="112">
        <f>KPI_Special!N655</f>
        <v>73</v>
      </c>
      <c r="O42" s="113">
        <f>KPI_Special!O655</f>
        <v>2.6666666666666668E-2</v>
      </c>
    </row>
    <row r="43" spans="9:15" x14ac:dyDescent="0.25">
      <c r="I43" s="111" t="str">
        <f>KPI_Special!A656</f>
        <v>12 2024</v>
      </c>
      <c r="J43" s="112">
        <f>KPI_Special!K656</f>
        <v>32</v>
      </c>
      <c r="K43" s="112">
        <f>KPI_Special!J656</f>
        <v>32</v>
      </c>
      <c r="L43" s="113">
        <f>KPI_Special!L656</f>
        <v>0</v>
      </c>
      <c r="M43" s="112">
        <f>KPI_Special!M656</f>
        <v>70</v>
      </c>
      <c r="N43" s="112">
        <f>KPI_Special!N656</f>
        <v>70</v>
      </c>
      <c r="O43" s="113">
        <f>KPI_Special!O656</f>
        <v>0</v>
      </c>
    </row>
    <row r="44" spans="9:15" x14ac:dyDescent="0.25">
      <c r="I44" s="111" t="str">
        <f>KPI_Special!A657</f>
        <v>01 2025</v>
      </c>
      <c r="J44" s="112">
        <f>KPI_Special!K657</f>
        <v>14</v>
      </c>
      <c r="K44" s="112">
        <f>KPI_Special!J657</f>
        <v>14</v>
      </c>
      <c r="L44" s="113">
        <f>KPI_Special!L657</f>
        <v>0</v>
      </c>
      <c r="M44" s="112">
        <f>KPI_Special!M657</f>
        <v>25</v>
      </c>
      <c r="N44" s="112">
        <f>KPI_Special!N657</f>
        <v>25</v>
      </c>
      <c r="O44" s="113">
        <f>KPI_Special!O657</f>
        <v>0</v>
      </c>
    </row>
    <row r="45" spans="9:15" x14ac:dyDescent="0.25">
      <c r="I45" s="111" t="str">
        <f>KPI_Special!A658</f>
        <v>02 2025</v>
      </c>
      <c r="J45" s="112">
        <f>KPI_Special!K658</f>
        <v>13</v>
      </c>
      <c r="K45" s="112">
        <f>KPI_Special!J658</f>
        <v>12</v>
      </c>
      <c r="L45" s="113">
        <f>KPI_Special!L658</f>
        <v>7.6923076923076927E-2</v>
      </c>
      <c r="M45" s="112">
        <f>KPI_Special!M658</f>
        <v>159</v>
      </c>
      <c r="N45" s="112">
        <f>KPI_Special!N658</f>
        <v>29</v>
      </c>
      <c r="O45" s="113">
        <f>KPI_Special!O658</f>
        <v>0.8176100628930818</v>
      </c>
    </row>
    <row r="46" spans="9:15" x14ac:dyDescent="0.25">
      <c r="I46" s="111" t="str">
        <f>KPI_Special!A659</f>
        <v>03 2025</v>
      </c>
      <c r="J46" s="112">
        <f>KPI_Special!K659</f>
        <v>33</v>
      </c>
      <c r="K46" s="112">
        <f>KPI_Special!J659</f>
        <v>31</v>
      </c>
      <c r="L46" s="113">
        <f>KPI_Special!L659</f>
        <v>6.0606060606060608E-2</v>
      </c>
      <c r="M46" s="112">
        <f>KPI_Special!M659</f>
        <v>92</v>
      </c>
      <c r="N46" s="112">
        <f>KPI_Special!N659</f>
        <v>86</v>
      </c>
      <c r="O46" s="113">
        <f>KPI_Special!O659</f>
        <v>6.5217391304347824E-2</v>
      </c>
    </row>
    <row r="47" spans="9:15" x14ac:dyDescent="0.25">
      <c r="I47" s="111" t="str">
        <f>KPI_Special!A660</f>
        <v>04 2025</v>
      </c>
      <c r="J47" s="112">
        <f>KPI_Special!K660</f>
        <v>19</v>
      </c>
      <c r="K47" s="112">
        <f>KPI_Special!J660</f>
        <v>18</v>
      </c>
      <c r="L47" s="113">
        <f>KPI_Special!L660</f>
        <v>5.2631578947368418E-2</v>
      </c>
      <c r="M47" s="112">
        <f>KPI_Special!M660</f>
        <v>90</v>
      </c>
      <c r="N47" s="112">
        <f>KPI_Special!N660</f>
        <v>89</v>
      </c>
      <c r="O47" s="113">
        <f>KPI_Special!O660</f>
        <v>1.1111111111111112E-2</v>
      </c>
    </row>
    <row r="48" spans="9:15" x14ac:dyDescent="0.25">
      <c r="I48" s="111" t="str">
        <f>KPI_Special!A661</f>
        <v>05 2025</v>
      </c>
      <c r="J48" s="112">
        <f>KPI_Special!K661</f>
        <v>12</v>
      </c>
      <c r="K48" s="112">
        <f>KPI_Special!J661</f>
        <v>12</v>
      </c>
      <c r="L48" s="113">
        <f>KPI_Special!L661</f>
        <v>0</v>
      </c>
      <c r="M48" s="112">
        <f>KPI_Special!M661</f>
        <v>34</v>
      </c>
      <c r="N48" s="112">
        <f>KPI_Special!N661</f>
        <v>34</v>
      </c>
      <c r="O48" s="113">
        <f>KPI_Special!O661</f>
        <v>0</v>
      </c>
    </row>
    <row r="49" spans="9:15" x14ac:dyDescent="0.25">
      <c r="I49" s="111" t="str">
        <f>KPI_Special!A662</f>
        <v>06 2025</v>
      </c>
      <c r="J49" s="112">
        <f>KPI_Special!K662</f>
        <v>16</v>
      </c>
      <c r="K49" s="112">
        <f>KPI_Special!J662</f>
        <v>15</v>
      </c>
      <c r="L49" s="113">
        <f>KPI_Special!L662</f>
        <v>6.25E-2</v>
      </c>
      <c r="M49" s="112">
        <f>KPI_Special!M662</f>
        <v>30</v>
      </c>
      <c r="N49" s="112">
        <f>KPI_Special!N662</f>
        <v>29</v>
      </c>
      <c r="O49" s="113">
        <f>KPI_Special!O662</f>
        <v>3.3333333333333333E-2</v>
      </c>
    </row>
    <row r="50" spans="9:15" x14ac:dyDescent="0.25">
      <c r="I50" s="111" t="str">
        <f>KPI_Special!A663</f>
        <v>07 2025</v>
      </c>
      <c r="J50" s="112">
        <f>KPI_Special!K663</f>
        <v>8</v>
      </c>
      <c r="K50" s="112">
        <f>KPI_Special!J663</f>
        <v>8</v>
      </c>
      <c r="L50" s="113">
        <f>KPI_Special!L663</f>
        <v>0</v>
      </c>
      <c r="M50" s="112">
        <f>KPI_Special!M663</f>
        <v>32</v>
      </c>
      <c r="N50" s="112">
        <f>KPI_Special!N663</f>
        <v>32</v>
      </c>
      <c r="O50" s="113">
        <f>KPI_Special!O663</f>
        <v>0</v>
      </c>
    </row>
    <row r="51" spans="9:15" x14ac:dyDescent="0.25">
      <c r="I51" s="111" t="str">
        <f>KPI_Special!A664</f>
        <v>08 2025</v>
      </c>
      <c r="J51" s="112">
        <f>KPI_Special!K664</f>
        <v>11</v>
      </c>
      <c r="K51" s="112">
        <f>KPI_Special!J664</f>
        <v>10</v>
      </c>
      <c r="L51" s="113">
        <f>KPI_Special!L664</f>
        <v>9.0909090909090912E-2</v>
      </c>
      <c r="M51" s="112">
        <f>KPI_Special!M664</f>
        <v>33</v>
      </c>
      <c r="N51" s="112">
        <f>KPI_Special!N664</f>
        <v>32</v>
      </c>
      <c r="O51" s="113">
        <f>KPI_Special!O664</f>
        <v>3.0303030303030304E-2</v>
      </c>
    </row>
    <row r="52" spans="9:15" x14ac:dyDescent="0.25">
      <c r="I52" s="111" t="str">
        <f>KPI_Special!A665</f>
        <v>09 2025</v>
      </c>
      <c r="J52" s="112">
        <f>KPI_Special!K665</f>
        <v>19</v>
      </c>
      <c r="K52" s="112">
        <f>KPI_Special!J665</f>
        <v>19</v>
      </c>
      <c r="L52" s="113">
        <f>KPI_Special!L665</f>
        <v>0</v>
      </c>
      <c r="M52" s="112">
        <f>KPI_Special!M665</f>
        <v>43</v>
      </c>
      <c r="N52" s="112">
        <f>KPI_Special!N665</f>
        <v>43</v>
      </c>
      <c r="O52" s="113">
        <f>KPI_Special!O665</f>
        <v>0</v>
      </c>
    </row>
    <row r="53" spans="9:15" x14ac:dyDescent="0.25">
      <c r="I53" s="111" t="str">
        <f>KPI_Special!A666</f>
        <v>10 2025</v>
      </c>
      <c r="J53" s="112">
        <f>KPI_Special!K666</f>
        <v>9</v>
      </c>
      <c r="K53" s="112">
        <f>KPI_Special!J666</f>
        <v>8</v>
      </c>
      <c r="L53" s="113">
        <f>KPI_Special!L666</f>
        <v>0.1111111111111111</v>
      </c>
      <c r="M53" s="112">
        <f>KPI_Special!M666</f>
        <v>25</v>
      </c>
      <c r="N53" s="112">
        <f>KPI_Special!N666</f>
        <v>24</v>
      </c>
      <c r="O53" s="113">
        <f>KPI_Special!O666</f>
        <v>0.04</v>
      </c>
    </row>
    <row r="54" spans="9:15" x14ac:dyDescent="0.25">
      <c r="I54" s="111" t="str">
        <f>KPI_Special!A667</f>
        <v>11 2025</v>
      </c>
      <c r="J54" s="112">
        <f>KPI_Special!K667</f>
        <v>21</v>
      </c>
      <c r="K54" s="112">
        <f>KPI_Special!J667</f>
        <v>18</v>
      </c>
      <c r="L54" s="113">
        <f>KPI_Special!L667</f>
        <v>0.14285714285714285</v>
      </c>
      <c r="M54" s="112">
        <f>KPI_Special!M667</f>
        <v>68</v>
      </c>
      <c r="N54" s="112">
        <f>KPI_Special!N667</f>
        <v>48</v>
      </c>
      <c r="O54" s="113">
        <f>KPI_Special!O667</f>
        <v>0.29411764705882354</v>
      </c>
    </row>
    <row r="55" spans="9:15" x14ac:dyDescent="0.25">
      <c r="I55" s="111" t="str">
        <f>KPI_Special!A668</f>
        <v>12 2025</v>
      </c>
      <c r="J55" s="112">
        <f>KPI_Special!K668</f>
        <v>9</v>
      </c>
      <c r="K55" s="112">
        <f>KPI_Special!J668</f>
        <v>9</v>
      </c>
      <c r="L55" s="113">
        <f>KPI_Special!L668</f>
        <v>0</v>
      </c>
      <c r="M55" s="112">
        <f>KPI_Special!M668</f>
        <v>22</v>
      </c>
      <c r="N55" s="112">
        <f>KPI_Special!N668</f>
        <v>22</v>
      </c>
      <c r="O55" s="113">
        <f>KPI_Special!O668</f>
        <v>0</v>
      </c>
    </row>
    <row r="56" spans="9:15" x14ac:dyDescent="0.25">
      <c r="I56" s="111" t="str">
        <f>KPI_Special!A669</f>
        <v>01 2026</v>
      </c>
      <c r="J56" s="112">
        <f>KPI_Special!K669</f>
        <v>8</v>
      </c>
      <c r="K56" s="112">
        <f>KPI_Special!J669</f>
        <v>7</v>
      </c>
      <c r="L56" s="113">
        <f>KPI_Special!L669</f>
        <v>0.125</v>
      </c>
      <c r="M56" s="112">
        <f>KPI_Special!M669</f>
        <v>18</v>
      </c>
      <c r="N56" s="112">
        <f>KPI_Special!N669</f>
        <v>16</v>
      </c>
      <c r="O56" s="113">
        <f>KPI_Special!O669</f>
        <v>0.1111111111111111</v>
      </c>
    </row>
    <row r="57" spans="9:15" x14ac:dyDescent="0.25">
      <c r="I57" s="111" t="str">
        <f>KPI_Special!A670</f>
        <v>02 2026</v>
      </c>
      <c r="J57" s="112">
        <f>KPI_Special!K670</f>
        <v>22</v>
      </c>
      <c r="K57" s="112">
        <f>KPI_Special!J670</f>
        <v>12</v>
      </c>
      <c r="L57" s="113">
        <f>KPI_Special!L670</f>
        <v>0.45454545454545453</v>
      </c>
      <c r="M57" s="112">
        <f>KPI_Special!M670</f>
        <v>60</v>
      </c>
      <c r="N57" s="112">
        <f>KPI_Special!N670</f>
        <v>38</v>
      </c>
      <c r="O57" s="113">
        <f>KPI_Special!O670</f>
        <v>0.36666666666666664</v>
      </c>
    </row>
    <row r="58" spans="9:15" x14ac:dyDescent="0.25">
      <c r="I58" s="111" t="str">
        <f>KPI_Special!A671</f>
        <v>03 2026</v>
      </c>
      <c r="J58" s="112">
        <f>KPI_Special!K671</f>
        <v>13</v>
      </c>
      <c r="K58" s="112">
        <f>KPI_Special!J671</f>
        <v>11</v>
      </c>
      <c r="L58" s="113">
        <f>KPI_Special!L671</f>
        <v>0.15384615384615385</v>
      </c>
      <c r="M58" s="112">
        <f>KPI_Special!M671</f>
        <v>47</v>
      </c>
      <c r="N58" s="112">
        <f>KPI_Special!N671</f>
        <v>44</v>
      </c>
      <c r="O58" s="113">
        <f>KPI_Special!O671</f>
        <v>6.3829787234042548E-2</v>
      </c>
    </row>
    <row r="59" spans="9:15" x14ac:dyDescent="0.25">
      <c r="I59" s="111" t="str">
        <f>KPI_Special!A672</f>
        <v>04 2026</v>
      </c>
      <c r="J59" s="112">
        <f>KPI_Special!K672</f>
        <v>27</v>
      </c>
      <c r="K59" s="112">
        <f>KPI_Special!J672</f>
        <v>17</v>
      </c>
      <c r="L59" s="113">
        <f>KPI_Special!L672</f>
        <v>0.37037037037037035</v>
      </c>
      <c r="M59" s="112">
        <f>KPI_Special!M672</f>
        <v>65</v>
      </c>
      <c r="N59" s="112">
        <f>KPI_Special!N672</f>
        <v>51</v>
      </c>
      <c r="O59" s="113">
        <f>KPI_Special!O672</f>
        <v>0.2153846153846154</v>
      </c>
    </row>
    <row r="60" spans="9:15" x14ac:dyDescent="0.25">
      <c r="I60" s="111" t="str">
        <f>KPI_Special!A673</f>
        <v>05 2026</v>
      </c>
      <c r="J60" s="112">
        <f>KPI_Special!K673</f>
        <v>21</v>
      </c>
      <c r="K60" s="112">
        <f>KPI_Special!J673</f>
        <v>20</v>
      </c>
      <c r="L60" s="113">
        <f>KPI_Special!L673</f>
        <v>4.7619047619047616E-2</v>
      </c>
      <c r="M60" s="112">
        <f>KPI_Special!M673</f>
        <v>43</v>
      </c>
      <c r="N60" s="112">
        <f>KPI_Special!N673</f>
        <v>42</v>
      </c>
      <c r="O60" s="113">
        <f>KPI_Special!O673</f>
        <v>2.3255813953488372E-2</v>
      </c>
    </row>
    <row r="61" spans="9:15" x14ac:dyDescent="0.25">
      <c r="I61" s="111" t="str">
        <f>KPI_Special!A674</f>
        <v>06 2026</v>
      </c>
      <c r="J61" s="112">
        <f>KPI_Special!K674</f>
        <v>7</v>
      </c>
      <c r="K61" s="112">
        <f>KPI_Special!J674</f>
        <v>6</v>
      </c>
      <c r="L61" s="113">
        <f>KPI_Special!L674</f>
        <v>0.14285714285714285</v>
      </c>
      <c r="M61" s="112">
        <f>KPI_Special!M674</f>
        <v>33</v>
      </c>
      <c r="N61" s="112">
        <f>KPI_Special!N674</f>
        <v>15</v>
      </c>
      <c r="O61" s="113">
        <f>KPI_Special!O674</f>
        <v>0.54545454545454541</v>
      </c>
    </row>
    <row r="62" spans="9:15" x14ac:dyDescent="0.25">
      <c r="I62" s="111" t="str">
        <f>KPI_Special!A675</f>
        <v>07 2026</v>
      </c>
      <c r="J62" s="112">
        <f>KPI_Special!K675</f>
        <v>10</v>
      </c>
      <c r="K62" s="112">
        <f>KPI_Special!J675</f>
        <v>9</v>
      </c>
      <c r="L62" s="113">
        <f>KPI_Special!L675</f>
        <v>0.1</v>
      </c>
      <c r="M62" s="112">
        <f>KPI_Special!M675</f>
        <v>24</v>
      </c>
      <c r="N62" s="112">
        <f>KPI_Special!N675</f>
        <v>20</v>
      </c>
      <c r="O62" s="113">
        <f>KPI_Special!O675</f>
        <v>0.16666666666666666</v>
      </c>
    </row>
    <row r="63" spans="9:15" ht="15.75" thickBot="1" x14ac:dyDescent="0.3">
      <c r="I63" s="105" t="str">
        <f>KPI_Special!A676</f>
        <v>08 2026</v>
      </c>
      <c r="J63" s="106">
        <f>KPI_Special!K676</f>
        <v>4</v>
      </c>
      <c r="K63" s="106">
        <f>KPI_Special!J676</f>
        <v>0</v>
      </c>
      <c r="L63" s="107">
        <f>KPI_Special!L676</f>
        <v>1</v>
      </c>
      <c r="M63" s="106">
        <f>KPI_Special!M676</f>
        <v>8</v>
      </c>
      <c r="N63" s="106">
        <f>KPI_Special!N676</f>
        <v>0</v>
      </c>
      <c r="O63" s="107">
        <f>KPI_Special!O676</f>
        <v>1</v>
      </c>
    </row>
    <row r="64" spans="9:15" ht="15.75" thickBot="1" x14ac:dyDescent="0.3">
      <c r="I64" s="114"/>
      <c r="J64" s="115">
        <f>KPI_Special!K677</f>
        <v>410</v>
      </c>
      <c r="K64" s="115">
        <f>KPI_Special!J677</f>
        <v>361</v>
      </c>
      <c r="L64" s="116">
        <f>KPI_Special!L677</f>
        <v>0.11951219512195121</v>
      </c>
      <c r="M64" s="115">
        <f>KPI_Special!M677</f>
        <v>1303</v>
      </c>
      <c r="N64" s="115">
        <f>KPI_Special!N677</f>
        <v>1024</v>
      </c>
      <c r="O64" s="117">
        <f>KPI_Special!O677</f>
        <v>0.21412125863392173</v>
      </c>
    </row>
    <row r="65" spans="9:15" x14ac:dyDescent="0.25">
      <c r="I65" s="2"/>
      <c r="J65" s="2"/>
      <c r="K65" s="2"/>
      <c r="L65" s="104"/>
      <c r="M65" s="2"/>
      <c r="N65" s="2"/>
      <c r="O65" s="10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1D243-4CFC-4BA5-9E62-FB9BA70B252C}">
  <dimension ref="I36:O65"/>
  <sheetViews>
    <sheetView tabSelected="1" workbookViewId="0"/>
  </sheetViews>
  <sheetFormatPr defaultRowHeight="15" x14ac:dyDescent="0.25"/>
  <cols>
    <col min="9" max="15" width="18.42578125" customWidth="1"/>
  </cols>
  <sheetData>
    <row r="36" spans="9:15" ht="15.75" thickBot="1" x14ac:dyDescent="0.3"/>
    <row r="37" spans="9:15" ht="15.75" thickBot="1" x14ac:dyDescent="0.3">
      <c r="I37" s="114" t="str">
        <f>"Month and Year"</f>
        <v>Month and Year</v>
      </c>
      <c r="J37" s="118" t="str">
        <f>"# WO"</f>
        <v># WO</v>
      </c>
      <c r="K37" s="118" t="str">
        <f>"# late WO"</f>
        <v># late WO</v>
      </c>
      <c r="L37" s="118" t="str">
        <f>"% WO on Time"</f>
        <v>% WO on Time</v>
      </c>
      <c r="M37" s="118" t="str">
        <f>"# samples"</f>
        <v># samples</v>
      </c>
      <c r="N37" s="118" t="str">
        <f>"# late samples"</f>
        <v># late samples</v>
      </c>
      <c r="O37" s="119" t="str">
        <f>"% sample on time"</f>
        <v>% sample on time</v>
      </c>
    </row>
    <row r="38" spans="9:15" x14ac:dyDescent="0.25">
      <c r="I38" s="108" t="str">
        <f>KPI_Monthly!A625</f>
        <v>07 2024</v>
      </c>
      <c r="J38" s="109">
        <f>KPI_Monthly!K625</f>
        <v>4</v>
      </c>
      <c r="K38" s="109">
        <f>KPI_Monthly!J625</f>
        <v>1</v>
      </c>
      <c r="L38" s="110">
        <f>KPI_Monthly!L625</f>
        <v>0.75</v>
      </c>
      <c r="M38" s="109">
        <f>KPI_Monthly!M625</f>
        <v>142</v>
      </c>
      <c r="N38" s="109">
        <f>KPI_Monthly!N625</f>
        <v>4</v>
      </c>
      <c r="O38" s="110">
        <f>KPI_Monthly!O625</f>
        <v>0.971830985915493</v>
      </c>
    </row>
    <row r="39" spans="9:15" x14ac:dyDescent="0.25">
      <c r="I39" s="111" t="str">
        <f>KPI_Monthly!A626</f>
        <v>08 2024</v>
      </c>
      <c r="J39" s="112">
        <f>KPI_Monthly!K626</f>
        <v>22</v>
      </c>
      <c r="K39" s="112">
        <f>KPI_Monthly!J626</f>
        <v>13</v>
      </c>
      <c r="L39" s="113">
        <f>KPI_Monthly!L626</f>
        <v>0.40909090909090912</v>
      </c>
      <c r="M39" s="112">
        <f>KPI_Monthly!M626</f>
        <v>366</v>
      </c>
      <c r="N39" s="112">
        <f>KPI_Monthly!N626</f>
        <v>216</v>
      </c>
      <c r="O39" s="113">
        <f>KPI_Monthly!O626</f>
        <v>0.4098360655737705</v>
      </c>
    </row>
    <row r="40" spans="9:15" x14ac:dyDescent="0.25">
      <c r="I40" s="111" t="str">
        <f>KPI_Monthly!A627</f>
        <v>09 2024</v>
      </c>
      <c r="J40" s="112">
        <f>KPI_Monthly!K627</f>
        <v>16</v>
      </c>
      <c r="K40" s="112">
        <f>KPI_Monthly!J627</f>
        <v>14</v>
      </c>
      <c r="L40" s="113">
        <f>KPI_Monthly!L627</f>
        <v>0.125</v>
      </c>
      <c r="M40" s="112">
        <f>KPI_Monthly!M627</f>
        <v>354</v>
      </c>
      <c r="N40" s="112">
        <f>KPI_Monthly!N627</f>
        <v>119</v>
      </c>
      <c r="O40" s="113">
        <f>KPI_Monthly!O627</f>
        <v>0.66384180790960456</v>
      </c>
    </row>
    <row r="41" spans="9:15" x14ac:dyDescent="0.25">
      <c r="I41" s="111" t="str">
        <f>KPI_Monthly!A628</f>
        <v>10 2024</v>
      </c>
      <c r="J41" s="112">
        <f>KPI_Monthly!K628</f>
        <v>25</v>
      </c>
      <c r="K41" s="112">
        <f>KPI_Monthly!J628</f>
        <v>14</v>
      </c>
      <c r="L41" s="113">
        <f>KPI_Monthly!L628</f>
        <v>0.44</v>
      </c>
      <c r="M41" s="112">
        <f>KPI_Monthly!M628</f>
        <v>384</v>
      </c>
      <c r="N41" s="112">
        <f>KPI_Monthly!N628</f>
        <v>213</v>
      </c>
      <c r="O41" s="113">
        <f>KPI_Monthly!O628</f>
        <v>0.4453125</v>
      </c>
    </row>
    <row r="42" spans="9:15" x14ac:dyDescent="0.25">
      <c r="I42" s="111" t="str">
        <f>KPI_Monthly!A629</f>
        <v>11 2024</v>
      </c>
      <c r="J42" s="112">
        <f>KPI_Monthly!K629</f>
        <v>15</v>
      </c>
      <c r="K42" s="112">
        <f>KPI_Monthly!J629</f>
        <v>11</v>
      </c>
      <c r="L42" s="113">
        <f>KPI_Monthly!L629</f>
        <v>0.26666666666666666</v>
      </c>
      <c r="M42" s="112">
        <f>KPI_Monthly!M629</f>
        <v>383</v>
      </c>
      <c r="N42" s="112">
        <f>KPI_Monthly!N629</f>
        <v>144</v>
      </c>
      <c r="O42" s="113">
        <f>KPI_Monthly!O629</f>
        <v>0.62402088772845954</v>
      </c>
    </row>
    <row r="43" spans="9:15" x14ac:dyDescent="0.25">
      <c r="I43" s="111" t="str">
        <f>KPI_Monthly!A630</f>
        <v>12 2024</v>
      </c>
      <c r="J43" s="112">
        <f>KPI_Monthly!K630</f>
        <v>27</v>
      </c>
      <c r="K43" s="112">
        <f>KPI_Monthly!J630</f>
        <v>23</v>
      </c>
      <c r="L43" s="113">
        <f>KPI_Monthly!L630</f>
        <v>0.14814814814814814</v>
      </c>
      <c r="M43" s="112">
        <f>KPI_Monthly!M630</f>
        <v>352</v>
      </c>
      <c r="N43" s="112">
        <f>KPI_Monthly!N630</f>
        <v>228</v>
      </c>
      <c r="O43" s="113">
        <f>KPI_Monthly!O630</f>
        <v>0.35227272727272729</v>
      </c>
    </row>
    <row r="44" spans="9:15" x14ac:dyDescent="0.25">
      <c r="I44" s="111" t="str">
        <f>KPI_Monthly!A631</f>
        <v>01 2025</v>
      </c>
      <c r="J44" s="112">
        <f>KPI_Monthly!K631</f>
        <v>14</v>
      </c>
      <c r="K44" s="112">
        <f>KPI_Monthly!J631</f>
        <v>12</v>
      </c>
      <c r="L44" s="113">
        <f>KPI_Monthly!L631</f>
        <v>0.14285714285714285</v>
      </c>
      <c r="M44" s="112">
        <f>KPI_Monthly!M631</f>
        <v>318</v>
      </c>
      <c r="N44" s="112">
        <f>KPI_Monthly!N631</f>
        <v>85</v>
      </c>
      <c r="O44" s="113">
        <f>KPI_Monthly!O631</f>
        <v>0.73270440251572322</v>
      </c>
    </row>
    <row r="45" spans="9:15" x14ac:dyDescent="0.25">
      <c r="I45" s="111" t="str">
        <f>KPI_Monthly!A632</f>
        <v>02 2025</v>
      </c>
      <c r="J45" s="112">
        <f>KPI_Monthly!K632</f>
        <v>17</v>
      </c>
      <c r="K45" s="112">
        <f>KPI_Monthly!J632</f>
        <v>16</v>
      </c>
      <c r="L45" s="113">
        <f>KPI_Monthly!L632</f>
        <v>5.8823529411764705E-2</v>
      </c>
      <c r="M45" s="112">
        <f>KPI_Monthly!M632</f>
        <v>326</v>
      </c>
      <c r="N45" s="112">
        <f>KPI_Monthly!N632</f>
        <v>212</v>
      </c>
      <c r="O45" s="113">
        <f>KPI_Monthly!O632</f>
        <v>0.34969325153374231</v>
      </c>
    </row>
    <row r="46" spans="9:15" x14ac:dyDescent="0.25">
      <c r="I46" s="111" t="str">
        <f>KPI_Monthly!A633</f>
        <v>03 2025</v>
      </c>
      <c r="J46" s="112">
        <f>KPI_Monthly!K633</f>
        <v>11</v>
      </c>
      <c r="K46" s="112">
        <f>KPI_Monthly!J633</f>
        <v>10</v>
      </c>
      <c r="L46" s="113">
        <f>KPI_Monthly!L633</f>
        <v>9.0909090909090912E-2</v>
      </c>
      <c r="M46" s="112">
        <f>KPI_Monthly!M633</f>
        <v>336</v>
      </c>
      <c r="N46" s="112">
        <f>KPI_Monthly!N633</f>
        <v>188</v>
      </c>
      <c r="O46" s="113">
        <f>KPI_Monthly!O633</f>
        <v>0.44047619047619047</v>
      </c>
    </row>
    <row r="47" spans="9:15" x14ac:dyDescent="0.25">
      <c r="I47" s="111" t="str">
        <f>KPI_Monthly!A634</f>
        <v>04 2025</v>
      </c>
      <c r="J47" s="112">
        <f>KPI_Monthly!K634</f>
        <v>17</v>
      </c>
      <c r="K47" s="112">
        <f>KPI_Monthly!J634</f>
        <v>15</v>
      </c>
      <c r="L47" s="113">
        <f>KPI_Monthly!L634</f>
        <v>0.11764705882352941</v>
      </c>
      <c r="M47" s="112">
        <f>KPI_Monthly!M634</f>
        <v>335</v>
      </c>
      <c r="N47" s="112">
        <f>KPI_Monthly!N634</f>
        <v>96</v>
      </c>
      <c r="O47" s="113">
        <f>KPI_Monthly!O634</f>
        <v>0.71343283582089556</v>
      </c>
    </row>
    <row r="48" spans="9:15" x14ac:dyDescent="0.25">
      <c r="I48" s="111" t="str">
        <f>KPI_Monthly!A635</f>
        <v>05 2025</v>
      </c>
      <c r="J48" s="112">
        <f>KPI_Monthly!K635</f>
        <v>8</v>
      </c>
      <c r="K48" s="112">
        <f>KPI_Monthly!J635</f>
        <v>6</v>
      </c>
      <c r="L48" s="113">
        <f>KPI_Monthly!L635</f>
        <v>0.25</v>
      </c>
      <c r="M48" s="112">
        <f>KPI_Monthly!M635</f>
        <v>337</v>
      </c>
      <c r="N48" s="112">
        <f>KPI_Monthly!N635</f>
        <v>89</v>
      </c>
      <c r="O48" s="113">
        <f>KPI_Monthly!O635</f>
        <v>0.73590504451038574</v>
      </c>
    </row>
    <row r="49" spans="9:15" x14ac:dyDescent="0.25">
      <c r="I49" s="111" t="str">
        <f>KPI_Monthly!A636</f>
        <v>06 2025</v>
      </c>
      <c r="J49" s="112">
        <f>KPI_Monthly!K636</f>
        <v>10</v>
      </c>
      <c r="K49" s="112">
        <f>KPI_Monthly!J636</f>
        <v>7</v>
      </c>
      <c r="L49" s="113">
        <f>KPI_Monthly!L636</f>
        <v>0.3</v>
      </c>
      <c r="M49" s="112">
        <f>KPI_Monthly!M636</f>
        <v>322</v>
      </c>
      <c r="N49" s="112">
        <f>KPI_Monthly!N636</f>
        <v>90</v>
      </c>
      <c r="O49" s="113">
        <f>KPI_Monthly!O636</f>
        <v>0.72049689440993792</v>
      </c>
    </row>
    <row r="50" spans="9:15" x14ac:dyDescent="0.25">
      <c r="I50" s="111" t="str">
        <f>KPI_Monthly!A637</f>
        <v>07 2025</v>
      </c>
      <c r="J50" s="112">
        <f>KPI_Monthly!K637</f>
        <v>9</v>
      </c>
      <c r="K50" s="112">
        <f>KPI_Monthly!J637</f>
        <v>7</v>
      </c>
      <c r="L50" s="113">
        <f>KPI_Monthly!L637</f>
        <v>0.22222222222222221</v>
      </c>
      <c r="M50" s="112">
        <f>KPI_Monthly!M637</f>
        <v>336</v>
      </c>
      <c r="N50" s="112">
        <f>KPI_Monthly!N637</f>
        <v>79</v>
      </c>
      <c r="O50" s="113">
        <f>KPI_Monthly!O637</f>
        <v>0.76488095238095233</v>
      </c>
    </row>
    <row r="51" spans="9:15" x14ac:dyDescent="0.25">
      <c r="I51" s="111" t="str">
        <f>KPI_Monthly!A638</f>
        <v>08 2025</v>
      </c>
      <c r="J51" s="112">
        <f>KPI_Monthly!K638</f>
        <v>15</v>
      </c>
      <c r="K51" s="112">
        <f>KPI_Monthly!J638</f>
        <v>13</v>
      </c>
      <c r="L51" s="113">
        <f>KPI_Monthly!L638</f>
        <v>0.13333333333333333</v>
      </c>
      <c r="M51" s="112">
        <f>KPI_Monthly!M638</f>
        <v>345</v>
      </c>
      <c r="N51" s="112">
        <f>KPI_Monthly!N638</f>
        <v>227</v>
      </c>
      <c r="O51" s="113">
        <f>KPI_Monthly!O638</f>
        <v>0.34202898550724636</v>
      </c>
    </row>
    <row r="52" spans="9:15" x14ac:dyDescent="0.25">
      <c r="I52" s="111" t="str">
        <f>KPI_Monthly!A639</f>
        <v>09 2025</v>
      </c>
      <c r="J52" s="112">
        <f>KPI_Monthly!K639</f>
        <v>12</v>
      </c>
      <c r="K52" s="112">
        <f>KPI_Monthly!J639</f>
        <v>10</v>
      </c>
      <c r="L52" s="113">
        <f>KPI_Monthly!L639</f>
        <v>0.16666666666666666</v>
      </c>
      <c r="M52" s="112">
        <f>KPI_Monthly!M639</f>
        <v>335</v>
      </c>
      <c r="N52" s="112">
        <f>KPI_Monthly!N639</f>
        <v>89</v>
      </c>
      <c r="O52" s="113">
        <f>KPI_Monthly!O639</f>
        <v>0.73432835820895526</v>
      </c>
    </row>
    <row r="53" spans="9:15" x14ac:dyDescent="0.25">
      <c r="I53" s="111" t="str">
        <f>KPI_Monthly!A640</f>
        <v>10 2025</v>
      </c>
      <c r="J53" s="112">
        <f>KPI_Monthly!K640</f>
        <v>10</v>
      </c>
      <c r="K53" s="112">
        <f>KPI_Monthly!J640</f>
        <v>6</v>
      </c>
      <c r="L53" s="113">
        <f>KPI_Monthly!L640</f>
        <v>0.4</v>
      </c>
      <c r="M53" s="112">
        <f>KPI_Monthly!M640</f>
        <v>328</v>
      </c>
      <c r="N53" s="112">
        <f>KPI_Monthly!N640</f>
        <v>60</v>
      </c>
      <c r="O53" s="113">
        <f>KPI_Monthly!O640</f>
        <v>0.81707317073170727</v>
      </c>
    </row>
    <row r="54" spans="9:15" x14ac:dyDescent="0.25">
      <c r="I54" s="111" t="str">
        <f>KPI_Monthly!A641</f>
        <v>11 2025</v>
      </c>
      <c r="J54" s="112">
        <f>KPI_Monthly!K641</f>
        <v>12</v>
      </c>
      <c r="K54" s="112">
        <f>KPI_Monthly!J641</f>
        <v>10</v>
      </c>
      <c r="L54" s="113">
        <f>KPI_Monthly!L641</f>
        <v>0.16666666666666666</v>
      </c>
      <c r="M54" s="112">
        <f>KPI_Monthly!M641</f>
        <v>325</v>
      </c>
      <c r="N54" s="112">
        <f>KPI_Monthly!N641</f>
        <v>86</v>
      </c>
      <c r="O54" s="113">
        <f>KPI_Monthly!O641</f>
        <v>0.73538461538461541</v>
      </c>
    </row>
    <row r="55" spans="9:15" x14ac:dyDescent="0.25">
      <c r="I55" s="111" t="str">
        <f>KPI_Monthly!A642</f>
        <v>12 2025</v>
      </c>
      <c r="J55" s="112">
        <f>KPI_Monthly!K642</f>
        <v>22</v>
      </c>
      <c r="K55" s="112">
        <f>KPI_Monthly!J642</f>
        <v>20</v>
      </c>
      <c r="L55" s="113">
        <f>KPI_Monthly!L642</f>
        <v>9.0909090909090912E-2</v>
      </c>
      <c r="M55" s="112">
        <f>KPI_Monthly!M642</f>
        <v>308</v>
      </c>
      <c r="N55" s="112">
        <f>KPI_Monthly!N642</f>
        <v>257</v>
      </c>
      <c r="O55" s="113">
        <f>KPI_Monthly!O642</f>
        <v>0.16558441558441558</v>
      </c>
    </row>
    <row r="56" spans="9:15" x14ac:dyDescent="0.25">
      <c r="I56" s="111" t="str">
        <f>KPI_Monthly!A643</f>
        <v>01 2026</v>
      </c>
      <c r="J56" s="112">
        <f>KPI_Monthly!K643</f>
        <v>13</v>
      </c>
      <c r="K56" s="112">
        <f>KPI_Monthly!J643</f>
        <v>5</v>
      </c>
      <c r="L56" s="113">
        <f>KPI_Monthly!L643</f>
        <v>0.61538461538461542</v>
      </c>
      <c r="M56" s="112">
        <f>KPI_Monthly!M643</f>
        <v>326</v>
      </c>
      <c r="N56" s="112">
        <f>KPI_Monthly!N643</f>
        <v>59</v>
      </c>
      <c r="O56" s="113">
        <f>KPI_Monthly!O643</f>
        <v>0.81901840490797551</v>
      </c>
    </row>
    <row r="57" spans="9:15" x14ac:dyDescent="0.25">
      <c r="I57" s="111" t="str">
        <f>KPI_Monthly!A644</f>
        <v>02 2026</v>
      </c>
      <c r="J57" s="112">
        <f>KPI_Monthly!K644</f>
        <v>13</v>
      </c>
      <c r="K57" s="112">
        <f>KPI_Monthly!J644</f>
        <v>10</v>
      </c>
      <c r="L57" s="113">
        <f>KPI_Monthly!L644</f>
        <v>0.23076923076923078</v>
      </c>
      <c r="M57" s="112">
        <f>KPI_Monthly!M644</f>
        <v>328</v>
      </c>
      <c r="N57" s="112">
        <f>KPI_Monthly!N644</f>
        <v>189</v>
      </c>
      <c r="O57" s="113">
        <f>KPI_Monthly!O644</f>
        <v>0.42378048780487804</v>
      </c>
    </row>
    <row r="58" spans="9:15" x14ac:dyDescent="0.25">
      <c r="I58" s="111" t="str">
        <f>KPI_Monthly!A645</f>
        <v>03 2026</v>
      </c>
      <c r="J58" s="112">
        <f>KPI_Monthly!K645</f>
        <v>25</v>
      </c>
      <c r="K58" s="112">
        <f>KPI_Monthly!J645</f>
        <v>16</v>
      </c>
      <c r="L58" s="113">
        <f>KPI_Monthly!L645</f>
        <v>0.36</v>
      </c>
      <c r="M58" s="112">
        <f>KPI_Monthly!M645</f>
        <v>344</v>
      </c>
      <c r="N58" s="112">
        <f>KPI_Monthly!N645</f>
        <v>206</v>
      </c>
      <c r="O58" s="113">
        <f>KPI_Monthly!O645</f>
        <v>0.40116279069767441</v>
      </c>
    </row>
    <row r="59" spans="9:15" x14ac:dyDescent="0.25">
      <c r="I59" s="111" t="str">
        <f>KPI_Monthly!A646</f>
        <v>04 2026</v>
      </c>
      <c r="J59" s="112">
        <f>KPI_Monthly!K646</f>
        <v>14</v>
      </c>
      <c r="K59" s="112">
        <f>KPI_Monthly!J646</f>
        <v>5</v>
      </c>
      <c r="L59" s="113">
        <f>KPI_Monthly!L646</f>
        <v>0.6428571428571429</v>
      </c>
      <c r="M59" s="112">
        <f>KPI_Monthly!M646</f>
        <v>345</v>
      </c>
      <c r="N59" s="112">
        <f>KPI_Monthly!N646</f>
        <v>71</v>
      </c>
      <c r="O59" s="113">
        <f>KPI_Monthly!O646</f>
        <v>0.79420289855072468</v>
      </c>
    </row>
    <row r="60" spans="9:15" x14ac:dyDescent="0.25">
      <c r="I60" s="111" t="str">
        <f>KPI_Monthly!A647</f>
        <v>05 2026</v>
      </c>
      <c r="J60" s="112">
        <f>KPI_Monthly!K647</f>
        <v>18</v>
      </c>
      <c r="K60" s="112">
        <f>KPI_Monthly!J647</f>
        <v>15</v>
      </c>
      <c r="L60" s="113">
        <f>KPI_Monthly!L647</f>
        <v>0.16666666666666666</v>
      </c>
      <c r="M60" s="112">
        <f>KPI_Monthly!M647</f>
        <v>352</v>
      </c>
      <c r="N60" s="112">
        <f>KPI_Monthly!N647</f>
        <v>138</v>
      </c>
      <c r="O60" s="113">
        <f>KPI_Monthly!O647</f>
        <v>0.60795454545454541</v>
      </c>
    </row>
    <row r="61" spans="9:15" x14ac:dyDescent="0.25">
      <c r="I61" s="111" t="str">
        <f>KPI_Monthly!A648</f>
        <v>06 2026</v>
      </c>
      <c r="J61" s="112">
        <f>KPI_Monthly!K648</f>
        <v>19</v>
      </c>
      <c r="K61" s="112">
        <f>KPI_Monthly!J648</f>
        <v>6</v>
      </c>
      <c r="L61" s="113">
        <f>KPI_Monthly!L648</f>
        <v>0.68421052631578949</v>
      </c>
      <c r="M61" s="112">
        <f>KPI_Monthly!M648</f>
        <v>321</v>
      </c>
      <c r="N61" s="112">
        <f>KPI_Monthly!N648</f>
        <v>147</v>
      </c>
      <c r="O61" s="113">
        <f>KPI_Monthly!O648</f>
        <v>0.54205607476635509</v>
      </c>
    </row>
    <row r="62" spans="9:15" x14ac:dyDescent="0.25">
      <c r="I62" s="111" t="str">
        <f>KPI_Monthly!A649</f>
        <v>07 2026</v>
      </c>
      <c r="J62" s="112">
        <f>KPI_Monthly!K649</f>
        <v>13</v>
      </c>
      <c r="K62" s="112">
        <f>KPI_Monthly!J649</f>
        <v>0</v>
      </c>
      <c r="L62" s="113">
        <f>KPI_Monthly!L649</f>
        <v>1</v>
      </c>
      <c r="M62" s="112">
        <f>KPI_Monthly!M649</f>
        <v>351</v>
      </c>
      <c r="N62" s="112">
        <f>KPI_Monthly!N649</f>
        <v>0</v>
      </c>
      <c r="O62" s="113">
        <f>KPI_Monthly!O649</f>
        <v>1</v>
      </c>
    </row>
    <row r="63" spans="9:15" ht="15.75" thickBot="1" x14ac:dyDescent="0.3">
      <c r="I63" s="105" t="str">
        <f>KPI_Monthly!A650</f>
        <v>08 2026</v>
      </c>
      <c r="J63" s="106">
        <f>KPI_Monthly!K650</f>
        <v>3</v>
      </c>
      <c r="K63" s="106">
        <f>KPI_Monthly!J650</f>
        <v>0</v>
      </c>
      <c r="L63" s="107">
        <f>KPI_Monthly!L650</f>
        <v>1</v>
      </c>
      <c r="M63" s="106">
        <f>KPI_Monthly!M650</f>
        <v>27</v>
      </c>
      <c r="N63" s="106">
        <f>KPI_Monthly!N650</f>
        <v>0</v>
      </c>
      <c r="O63" s="107">
        <f>KPI_Monthly!O650</f>
        <v>1</v>
      </c>
    </row>
    <row r="64" spans="9:15" ht="15.75" thickBot="1" x14ac:dyDescent="0.3">
      <c r="I64" s="114"/>
      <c r="J64" s="115">
        <f>KPI_Monthly!K651</f>
        <v>384</v>
      </c>
      <c r="K64" s="115">
        <f>KPI_Monthly!J651</f>
        <v>265</v>
      </c>
      <c r="L64" s="116">
        <f>KPI_Monthly!L651</f>
        <v>0.30989583333333331</v>
      </c>
      <c r="M64" s="115">
        <f>KPI_Monthly!M651</f>
        <v>8326</v>
      </c>
      <c r="N64" s="115">
        <f>KPI_Monthly!N651</f>
        <v>3292</v>
      </c>
      <c r="O64" s="117">
        <f>KPI_Monthly!O651</f>
        <v>0.60461205861157818</v>
      </c>
    </row>
    <row r="65" spans="9:15" x14ac:dyDescent="0.25">
      <c r="I65" s="2"/>
      <c r="J65" s="2"/>
      <c r="K65" s="2"/>
      <c r="L65" s="104"/>
      <c r="M65" s="2"/>
      <c r="N65" s="2"/>
      <c r="O65" s="10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CA72-9845-4B42-99B1-6EBD96EB993B}">
  <dimension ref="A1:S679"/>
  <sheetViews>
    <sheetView topLeftCell="A656" workbookViewId="0">
      <selection activeCell="A678" sqref="A678:O679"/>
    </sheetView>
  </sheetViews>
  <sheetFormatPr defaultRowHeight="15" x14ac:dyDescent="0.25"/>
  <cols>
    <col min="1" max="1" width="15.5703125" customWidth="1"/>
    <col min="2" max="2" width="12.7109375" customWidth="1"/>
    <col min="3" max="3" width="22" customWidth="1"/>
    <col min="4" max="4" width="19.7109375" hidden="1" customWidth="1"/>
    <col min="5" max="6" width="20.28515625" customWidth="1"/>
    <col min="7" max="7" width="16" customWidth="1"/>
    <col min="8" max="8" width="16" hidden="1" customWidth="1"/>
    <col min="9" max="9" width="16.5703125" customWidth="1"/>
    <col min="10" max="10" width="17.85546875" customWidth="1"/>
    <col min="11" max="11" width="13" customWidth="1"/>
    <col min="12" max="12" width="20.140625" customWidth="1"/>
    <col min="13" max="13" width="18.140625" customWidth="1"/>
    <col min="14" max="14" width="21.85546875" customWidth="1"/>
    <col min="15" max="15" width="22.140625" customWidth="1"/>
    <col min="16" max="16" width="13.28515625" hidden="1" customWidth="1"/>
    <col min="17" max="17" width="13" hidden="1" customWidth="1"/>
    <col min="18" max="19" width="13.28515625" hidden="1" customWidth="1"/>
  </cols>
  <sheetData>
    <row r="1" spans="1:19" ht="15.75" thickBot="1" x14ac:dyDescent="0.3"/>
    <row r="2" spans="1:19" x14ac:dyDescent="0.25">
      <c r="A2" s="9"/>
      <c r="B2" s="10"/>
      <c r="C2" s="11"/>
      <c r="D2" s="11"/>
      <c r="E2" s="11"/>
      <c r="F2" s="11"/>
      <c r="G2" s="11"/>
      <c r="H2" s="12"/>
      <c r="I2" s="11"/>
      <c r="J2" s="13"/>
      <c r="K2" s="13"/>
      <c r="L2" s="13"/>
      <c r="M2" s="13"/>
      <c r="N2" s="11"/>
      <c r="O2" s="14"/>
      <c r="P2" s="4"/>
      <c r="Q2" s="5"/>
      <c r="R2" s="4"/>
      <c r="S2" s="4"/>
    </row>
    <row r="3" spans="1:19" x14ac:dyDescent="0.25">
      <c r="A3" s="6" t="s">
        <v>1094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5"/>
      <c r="P3" s="3"/>
      <c r="Q3" s="3"/>
      <c r="R3" s="3"/>
      <c r="S3" s="3"/>
    </row>
    <row r="4" spans="1:19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5"/>
      <c r="P4" s="3"/>
      <c r="Q4" s="3"/>
      <c r="R4" s="3"/>
      <c r="S4" s="3"/>
    </row>
    <row r="5" spans="1:19" ht="15.75" thickBo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  <c r="P5" s="3"/>
      <c r="Q5" s="3"/>
      <c r="R5" s="3"/>
      <c r="S5" s="3"/>
    </row>
    <row r="6" spans="1:19" ht="17.25" customHeight="1" thickBot="1" x14ac:dyDescent="0.3">
      <c r="A6" s="19" t="s">
        <v>1068</v>
      </c>
      <c r="B6" s="24" t="s">
        <v>1069</v>
      </c>
      <c r="C6" s="26" t="s">
        <v>1070</v>
      </c>
      <c r="D6" s="29" t="s">
        <v>1071</v>
      </c>
      <c r="E6" s="26" t="s">
        <v>1072</v>
      </c>
      <c r="F6" s="31" t="s">
        <v>1073</v>
      </c>
      <c r="G6" s="31" t="s">
        <v>1074</v>
      </c>
      <c r="H6" s="31" t="s">
        <v>1075</v>
      </c>
      <c r="I6" s="29" t="s">
        <v>14</v>
      </c>
      <c r="J6" s="29" t="s">
        <v>1076</v>
      </c>
      <c r="K6" s="29" t="s">
        <v>1077</v>
      </c>
      <c r="L6" s="29" t="s">
        <v>1078</v>
      </c>
      <c r="M6" s="29" t="s">
        <v>1079</v>
      </c>
      <c r="N6" s="29" t="s">
        <v>1080</v>
      </c>
      <c r="O6" s="36" t="s">
        <v>1081</v>
      </c>
      <c r="P6" s="37" t="s">
        <v>1082</v>
      </c>
      <c r="Q6" s="38" t="s">
        <v>1083</v>
      </c>
      <c r="R6" s="38" t="s">
        <v>1084</v>
      </c>
      <c r="S6" s="39" t="s">
        <v>1085</v>
      </c>
    </row>
    <row r="7" spans="1:19" ht="12.75" customHeight="1" x14ac:dyDescent="0.25">
      <c r="A7" s="46" t="s">
        <v>497</v>
      </c>
      <c r="B7" s="40" t="s">
        <v>498</v>
      </c>
      <c r="C7" s="41">
        <v>45488</v>
      </c>
      <c r="D7" s="42" t="s">
        <v>2</v>
      </c>
      <c r="E7" s="41" t="s">
        <v>16</v>
      </c>
      <c r="F7" s="41" t="s">
        <v>13</v>
      </c>
      <c r="G7" s="41">
        <v>45498</v>
      </c>
      <c r="H7" s="40" t="s">
        <v>499</v>
      </c>
      <c r="I7" s="43" t="s">
        <v>14</v>
      </c>
      <c r="J7" s="40">
        <v>1</v>
      </c>
      <c r="K7" s="40">
        <v>1</v>
      </c>
      <c r="L7" s="44">
        <v>0</v>
      </c>
      <c r="M7" s="40">
        <v>2</v>
      </c>
      <c r="N7" s="40">
        <v>2</v>
      </c>
      <c r="O7" s="48">
        <v>0</v>
      </c>
      <c r="P7" s="45" t="s">
        <v>6</v>
      </c>
      <c r="Q7" s="23" t="s">
        <v>7</v>
      </c>
      <c r="R7" s="23" t="s">
        <v>8</v>
      </c>
      <c r="S7" s="22" t="s">
        <v>9</v>
      </c>
    </row>
    <row r="8" spans="1:19" ht="12.75" customHeight="1" x14ac:dyDescent="0.25">
      <c r="A8" s="47" t="s">
        <v>497</v>
      </c>
      <c r="B8" s="23" t="s">
        <v>500</v>
      </c>
      <c r="C8" s="28">
        <v>45488</v>
      </c>
      <c r="D8" s="30" t="s">
        <v>2</v>
      </c>
      <c r="E8" s="28" t="s">
        <v>16</v>
      </c>
      <c r="F8" s="28" t="s">
        <v>13</v>
      </c>
      <c r="G8" s="28">
        <v>45498</v>
      </c>
      <c r="H8" s="23" t="s">
        <v>499</v>
      </c>
      <c r="I8" s="33" t="s">
        <v>14</v>
      </c>
      <c r="J8" s="23">
        <v>1</v>
      </c>
      <c r="K8" s="23">
        <v>1</v>
      </c>
      <c r="L8" s="35">
        <v>0</v>
      </c>
      <c r="M8" s="23">
        <v>2</v>
      </c>
      <c r="N8" s="23">
        <v>2</v>
      </c>
      <c r="O8" s="49">
        <v>0</v>
      </c>
      <c r="P8" s="45" t="s">
        <v>6</v>
      </c>
      <c r="Q8" s="23" t="s">
        <v>7</v>
      </c>
      <c r="R8" s="23" t="s">
        <v>8</v>
      </c>
      <c r="S8" s="22" t="s">
        <v>9</v>
      </c>
    </row>
    <row r="9" spans="1:19" ht="12.75" customHeight="1" x14ac:dyDescent="0.25">
      <c r="A9" s="47" t="s">
        <v>497</v>
      </c>
      <c r="B9" s="23" t="s">
        <v>501</v>
      </c>
      <c r="C9" s="28">
        <v>45488</v>
      </c>
      <c r="D9" s="30" t="s">
        <v>2</v>
      </c>
      <c r="E9" s="28" t="s">
        <v>16</v>
      </c>
      <c r="F9" s="28" t="s">
        <v>502</v>
      </c>
      <c r="G9" s="28">
        <v>45498</v>
      </c>
      <c r="H9" s="23" t="s">
        <v>499</v>
      </c>
      <c r="I9" s="33" t="s">
        <v>14</v>
      </c>
      <c r="J9" s="23">
        <v>1</v>
      </c>
      <c r="K9" s="23">
        <v>1</v>
      </c>
      <c r="L9" s="35">
        <v>0</v>
      </c>
      <c r="M9" s="23">
        <v>3</v>
      </c>
      <c r="N9" s="23">
        <v>3</v>
      </c>
      <c r="O9" s="49">
        <v>0</v>
      </c>
      <c r="P9" s="45" t="s">
        <v>6</v>
      </c>
      <c r="Q9" s="23" t="s">
        <v>7</v>
      </c>
      <c r="R9" s="23" t="s">
        <v>8</v>
      </c>
      <c r="S9" s="22" t="s">
        <v>9</v>
      </c>
    </row>
    <row r="10" spans="1:19" ht="12.75" customHeight="1" x14ac:dyDescent="0.25">
      <c r="A10" s="47" t="s">
        <v>497</v>
      </c>
      <c r="B10" s="23" t="s">
        <v>503</v>
      </c>
      <c r="C10" s="28">
        <v>45488</v>
      </c>
      <c r="D10" s="30" t="s">
        <v>2</v>
      </c>
      <c r="E10" s="28" t="s">
        <v>504</v>
      </c>
      <c r="F10" s="28" t="s">
        <v>505</v>
      </c>
      <c r="G10" s="28">
        <v>45498</v>
      </c>
      <c r="H10" s="23" t="s">
        <v>499</v>
      </c>
      <c r="I10" s="33" t="s">
        <v>14</v>
      </c>
      <c r="J10" s="23">
        <v>1</v>
      </c>
      <c r="K10" s="23">
        <v>1</v>
      </c>
      <c r="L10" s="35">
        <v>0</v>
      </c>
      <c r="M10" s="23">
        <v>4</v>
      </c>
      <c r="N10" s="23">
        <v>4</v>
      </c>
      <c r="O10" s="49">
        <v>0</v>
      </c>
      <c r="P10" s="45" t="s">
        <v>6</v>
      </c>
      <c r="Q10" s="23" t="s">
        <v>7</v>
      </c>
      <c r="R10" s="23" t="s">
        <v>8</v>
      </c>
      <c r="S10" s="22" t="s">
        <v>9</v>
      </c>
    </row>
    <row r="11" spans="1:19" ht="12.75" customHeight="1" x14ac:dyDescent="0.25">
      <c r="A11" s="47" t="s">
        <v>497</v>
      </c>
      <c r="B11" s="23" t="s">
        <v>506</v>
      </c>
      <c r="C11" s="28">
        <v>45490</v>
      </c>
      <c r="D11" s="30" t="s">
        <v>2</v>
      </c>
      <c r="E11" s="28" t="s">
        <v>4</v>
      </c>
      <c r="F11" s="28" t="s">
        <v>505</v>
      </c>
      <c r="G11" s="28">
        <v>45500</v>
      </c>
      <c r="H11" s="23" t="s">
        <v>499</v>
      </c>
      <c r="I11" s="33" t="s">
        <v>14</v>
      </c>
      <c r="J11" s="23">
        <v>1</v>
      </c>
      <c r="K11" s="23">
        <v>1</v>
      </c>
      <c r="L11" s="35">
        <v>0</v>
      </c>
      <c r="M11" s="23">
        <v>2</v>
      </c>
      <c r="N11" s="23">
        <v>2</v>
      </c>
      <c r="O11" s="49">
        <v>0</v>
      </c>
      <c r="P11" s="45" t="s">
        <v>6</v>
      </c>
      <c r="Q11" s="23" t="s">
        <v>7</v>
      </c>
      <c r="R11" s="23" t="s">
        <v>8</v>
      </c>
      <c r="S11" s="22" t="s">
        <v>9</v>
      </c>
    </row>
    <row r="12" spans="1:19" ht="12.75" customHeight="1" x14ac:dyDescent="0.25">
      <c r="A12" s="47" t="s">
        <v>497</v>
      </c>
      <c r="B12" s="23" t="s">
        <v>507</v>
      </c>
      <c r="C12" s="28">
        <v>45490</v>
      </c>
      <c r="D12" s="30" t="s">
        <v>2</v>
      </c>
      <c r="E12" s="28" t="s">
        <v>4</v>
      </c>
      <c r="F12" s="28" t="s">
        <v>505</v>
      </c>
      <c r="G12" s="28">
        <v>45500</v>
      </c>
      <c r="H12" s="23" t="s">
        <v>499</v>
      </c>
      <c r="I12" s="33" t="s">
        <v>14</v>
      </c>
      <c r="J12" s="23">
        <v>1</v>
      </c>
      <c r="K12" s="23">
        <v>1</v>
      </c>
      <c r="L12" s="35">
        <v>0</v>
      </c>
      <c r="M12" s="23">
        <v>2</v>
      </c>
      <c r="N12" s="23">
        <v>2</v>
      </c>
      <c r="O12" s="49">
        <v>0</v>
      </c>
      <c r="P12" s="45" t="s">
        <v>6</v>
      </c>
      <c r="Q12" s="23" t="s">
        <v>7</v>
      </c>
      <c r="R12" s="23" t="s">
        <v>8</v>
      </c>
      <c r="S12" s="22" t="s">
        <v>9</v>
      </c>
    </row>
    <row r="13" spans="1:19" ht="12.75" customHeight="1" x14ac:dyDescent="0.25">
      <c r="A13" s="47" t="s">
        <v>497</v>
      </c>
      <c r="B13" s="23" t="s">
        <v>508</v>
      </c>
      <c r="C13" s="28">
        <v>45502</v>
      </c>
      <c r="D13" s="30" t="s">
        <v>2</v>
      </c>
      <c r="E13" s="28" t="s">
        <v>509</v>
      </c>
      <c r="F13" s="28" t="s">
        <v>510</v>
      </c>
      <c r="G13" s="28">
        <v>45512</v>
      </c>
      <c r="H13" s="23" t="s">
        <v>499</v>
      </c>
      <c r="I13" s="33"/>
      <c r="J13" s="23">
        <v>0</v>
      </c>
      <c r="K13" s="23">
        <v>1</v>
      </c>
      <c r="L13" s="35">
        <v>1</v>
      </c>
      <c r="M13" s="23">
        <v>6</v>
      </c>
      <c r="N13" s="23">
        <v>0</v>
      </c>
      <c r="O13" s="49">
        <v>1</v>
      </c>
      <c r="P13" s="45" t="s">
        <v>6</v>
      </c>
      <c r="Q13" s="23" t="s">
        <v>7</v>
      </c>
      <c r="R13" s="23" t="s">
        <v>8</v>
      </c>
      <c r="S13" s="22" t="s">
        <v>9</v>
      </c>
    </row>
    <row r="14" spans="1:19" ht="12.75" customHeight="1" thickBot="1" x14ac:dyDescent="0.3">
      <c r="A14" s="51" t="s">
        <v>497</v>
      </c>
      <c r="B14" s="20" t="s">
        <v>511</v>
      </c>
      <c r="C14" s="25">
        <v>45504</v>
      </c>
      <c r="D14" s="27" t="s">
        <v>2</v>
      </c>
      <c r="E14" s="25" t="s">
        <v>504</v>
      </c>
      <c r="F14" s="25" t="s">
        <v>4</v>
      </c>
      <c r="G14" s="25">
        <v>45514</v>
      </c>
      <c r="H14" s="20" t="s">
        <v>499</v>
      </c>
      <c r="I14" s="32" t="s">
        <v>14</v>
      </c>
      <c r="J14" s="20">
        <v>1</v>
      </c>
      <c r="K14" s="20">
        <v>1</v>
      </c>
      <c r="L14" s="34">
        <v>0</v>
      </c>
      <c r="M14" s="20">
        <v>4</v>
      </c>
      <c r="N14" s="20">
        <v>4</v>
      </c>
      <c r="O14" s="54">
        <v>0</v>
      </c>
      <c r="P14" s="45" t="s">
        <v>6</v>
      </c>
      <c r="Q14" s="23" t="s">
        <v>7</v>
      </c>
      <c r="R14" s="23" t="s">
        <v>8</v>
      </c>
      <c r="S14" s="22" t="s">
        <v>9</v>
      </c>
    </row>
    <row r="15" spans="1:19" ht="17.25" customHeight="1" x14ac:dyDescent="0.25">
      <c r="A15" s="60"/>
      <c r="B15" s="50"/>
      <c r="C15" s="55"/>
      <c r="D15" s="56"/>
      <c r="E15" s="56"/>
      <c r="F15" s="57"/>
      <c r="G15" s="57"/>
      <c r="H15" s="57"/>
      <c r="I15" s="58" t="s">
        <v>1087</v>
      </c>
      <c r="J15" s="57">
        <f>SUM(J7:J14)</f>
        <v>7</v>
      </c>
      <c r="K15" s="57">
        <f>SUM(K7:K14)</f>
        <v>8</v>
      </c>
      <c r="L15" s="59">
        <f>(SUM(K7:K14) - SUM(J7:J14)) / SUM(K7:K14)</f>
        <v>0.125</v>
      </c>
      <c r="M15" s="57">
        <f>SUM(M7:M14)</f>
        <v>25</v>
      </c>
      <c r="N15" s="56">
        <f>SUM(N7:N14)</f>
        <v>19</v>
      </c>
      <c r="O15" s="61">
        <f>(SUM(M7:M14) - SUM(N7:N14)) / SUM(M7:M14)</f>
        <v>0.24</v>
      </c>
      <c r="P15" s="52"/>
      <c r="Q15" s="53"/>
      <c r="R15" s="52"/>
      <c r="S15" s="52"/>
    </row>
    <row r="16" spans="1:19" x14ac:dyDescent="0.25">
      <c r="A16" s="125"/>
      <c r="B16" s="121"/>
      <c r="C16" s="121"/>
      <c r="D16" s="121"/>
      <c r="E16" s="121"/>
      <c r="F16" s="121"/>
      <c r="G16" s="121"/>
      <c r="H16" s="121"/>
      <c r="I16" s="121"/>
      <c r="J16" s="121"/>
      <c r="K16" s="121"/>
      <c r="L16" s="122"/>
      <c r="M16" s="121"/>
      <c r="N16" s="121"/>
      <c r="O16" s="127"/>
      <c r="P16" s="120"/>
      <c r="Q16" s="120"/>
      <c r="R16" s="120"/>
      <c r="S16" s="120"/>
    </row>
    <row r="17" spans="1:19" ht="15.75" thickBot="1" x14ac:dyDescent="0.3">
      <c r="A17" s="126"/>
      <c r="B17" s="123"/>
      <c r="C17" s="124"/>
      <c r="D17" s="123"/>
      <c r="E17" s="123"/>
      <c r="F17" s="123"/>
      <c r="G17" s="124"/>
      <c r="H17" s="123"/>
      <c r="I17" s="123"/>
      <c r="J17" s="123"/>
      <c r="K17" s="123"/>
      <c r="L17" s="123"/>
      <c r="M17" s="123"/>
      <c r="N17" s="123"/>
      <c r="O17" s="128"/>
      <c r="P17" s="98"/>
      <c r="Q17" s="98"/>
      <c r="R17" s="98"/>
      <c r="S17" s="98"/>
    </row>
    <row r="18" spans="1:19" ht="15.75" thickBot="1" x14ac:dyDescent="0.3">
      <c r="C18" s="1"/>
      <c r="G18" s="1"/>
    </row>
    <row r="19" spans="1:19" x14ac:dyDescent="0.25">
      <c r="A19" s="9"/>
      <c r="B19" s="10"/>
      <c r="C19" s="11"/>
      <c r="D19" s="11"/>
      <c r="E19" s="11"/>
      <c r="F19" s="11"/>
      <c r="G19" s="11"/>
      <c r="H19" s="12"/>
      <c r="I19" s="11"/>
      <c r="J19" s="13"/>
      <c r="K19" s="13"/>
      <c r="L19" s="13"/>
      <c r="M19" s="13"/>
      <c r="N19" s="11"/>
      <c r="O19" s="14"/>
      <c r="P19" s="4"/>
      <c r="Q19" s="5"/>
      <c r="R19" s="4"/>
      <c r="S19" s="4"/>
    </row>
    <row r="20" spans="1:19" x14ac:dyDescent="0.25">
      <c r="A20" s="6" t="s">
        <v>1094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15"/>
      <c r="P20" s="3"/>
      <c r="Q20" s="3"/>
      <c r="R20" s="3"/>
      <c r="S20" s="3"/>
    </row>
    <row r="21" spans="1:19" x14ac:dyDescent="0.25">
      <c r="A21" s="7" t="s">
        <v>24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15"/>
      <c r="P21" s="3"/>
      <c r="Q21" s="3"/>
      <c r="R21" s="3"/>
      <c r="S21" s="3"/>
    </row>
    <row r="22" spans="1:19" ht="15.75" thickBot="1" x14ac:dyDescent="0.3">
      <c r="A22" s="8"/>
      <c r="B22" s="8"/>
      <c r="C22" s="74"/>
      <c r="D22" s="8"/>
      <c r="E22" s="8"/>
      <c r="F22" s="8"/>
      <c r="G22" s="74"/>
      <c r="H22" s="8"/>
      <c r="I22" s="8"/>
      <c r="J22" s="8"/>
      <c r="K22" s="8"/>
      <c r="L22" s="8"/>
      <c r="M22" s="8"/>
      <c r="N22" s="8"/>
      <c r="O22" s="16"/>
      <c r="P22" s="3"/>
      <c r="Q22" s="3"/>
      <c r="R22" s="3"/>
      <c r="S22" s="3"/>
    </row>
    <row r="23" spans="1:19" ht="17.25" customHeight="1" thickBot="1" x14ac:dyDescent="0.3">
      <c r="A23" s="19" t="s">
        <v>1068</v>
      </c>
      <c r="B23" s="24" t="s">
        <v>1069</v>
      </c>
      <c r="C23" s="26" t="s">
        <v>1070</v>
      </c>
      <c r="D23" s="29" t="s">
        <v>1071</v>
      </c>
      <c r="E23" s="26" t="s">
        <v>1072</v>
      </c>
      <c r="F23" s="31" t="s">
        <v>1073</v>
      </c>
      <c r="G23" s="31" t="s">
        <v>1074</v>
      </c>
      <c r="H23" s="31" t="s">
        <v>1075</v>
      </c>
      <c r="I23" s="29" t="s">
        <v>14</v>
      </c>
      <c r="J23" s="29" t="s">
        <v>1076</v>
      </c>
      <c r="K23" s="29" t="s">
        <v>1077</v>
      </c>
      <c r="L23" s="29" t="s">
        <v>1078</v>
      </c>
      <c r="M23" s="29" t="s">
        <v>1079</v>
      </c>
      <c r="N23" s="29" t="s">
        <v>1080</v>
      </c>
      <c r="O23" s="36" t="s">
        <v>1081</v>
      </c>
      <c r="P23" s="37" t="s">
        <v>1082</v>
      </c>
      <c r="Q23" s="38" t="s">
        <v>1083</v>
      </c>
      <c r="R23" s="38" t="s">
        <v>1084</v>
      </c>
      <c r="S23" s="39" t="s">
        <v>1085</v>
      </c>
    </row>
    <row r="24" spans="1:19" ht="12.75" customHeight="1" x14ac:dyDescent="0.25">
      <c r="A24" s="46" t="s">
        <v>497</v>
      </c>
      <c r="B24" s="40" t="s">
        <v>512</v>
      </c>
      <c r="C24" s="41">
        <v>45507</v>
      </c>
      <c r="D24" s="42" t="s">
        <v>21</v>
      </c>
      <c r="E24" s="41" t="s">
        <v>16</v>
      </c>
      <c r="F24" s="41" t="s">
        <v>509</v>
      </c>
      <c r="G24" s="41">
        <v>45517</v>
      </c>
      <c r="H24" s="40" t="s">
        <v>499</v>
      </c>
      <c r="I24" s="43"/>
      <c r="J24" s="40">
        <v>0</v>
      </c>
      <c r="K24" s="40">
        <v>1</v>
      </c>
      <c r="L24" s="44">
        <v>1</v>
      </c>
      <c r="M24" s="40">
        <v>2</v>
      </c>
      <c r="N24" s="40">
        <v>0</v>
      </c>
      <c r="O24" s="48">
        <v>1</v>
      </c>
      <c r="P24" s="45" t="s">
        <v>6</v>
      </c>
      <c r="Q24" s="23" t="s">
        <v>24</v>
      </c>
      <c r="R24" s="23" t="s">
        <v>25</v>
      </c>
      <c r="S24" s="22" t="s">
        <v>9</v>
      </c>
    </row>
    <row r="25" spans="1:19" ht="12.75" customHeight="1" x14ac:dyDescent="0.25">
      <c r="A25" s="47" t="s">
        <v>497</v>
      </c>
      <c r="B25" s="23" t="s">
        <v>513</v>
      </c>
      <c r="C25" s="28">
        <v>45511</v>
      </c>
      <c r="D25" s="30" t="s">
        <v>21</v>
      </c>
      <c r="E25" s="28" t="s">
        <v>514</v>
      </c>
      <c r="F25" s="28" t="s">
        <v>515</v>
      </c>
      <c r="G25" s="28">
        <v>45521</v>
      </c>
      <c r="H25" s="23" t="s">
        <v>499</v>
      </c>
      <c r="I25" s="33" t="s">
        <v>14</v>
      </c>
      <c r="J25" s="23">
        <v>1</v>
      </c>
      <c r="K25" s="23">
        <v>1</v>
      </c>
      <c r="L25" s="35">
        <v>0</v>
      </c>
      <c r="M25" s="23">
        <v>4</v>
      </c>
      <c r="N25" s="23">
        <v>4</v>
      </c>
      <c r="O25" s="49">
        <v>0</v>
      </c>
      <c r="P25" s="45" t="s">
        <v>6</v>
      </c>
      <c r="Q25" s="23" t="s">
        <v>24</v>
      </c>
      <c r="R25" s="23" t="s">
        <v>25</v>
      </c>
      <c r="S25" s="22" t="s">
        <v>9</v>
      </c>
    </row>
    <row r="26" spans="1:19" ht="12.75" customHeight="1" x14ac:dyDescent="0.25">
      <c r="A26" s="47" t="s">
        <v>497</v>
      </c>
      <c r="B26" s="23" t="s">
        <v>516</v>
      </c>
      <c r="C26" s="28">
        <v>45512</v>
      </c>
      <c r="D26" s="30" t="s">
        <v>21</v>
      </c>
      <c r="E26" s="28" t="s">
        <v>22</v>
      </c>
      <c r="F26" s="28" t="s">
        <v>32</v>
      </c>
      <c r="G26" s="28">
        <v>45522</v>
      </c>
      <c r="H26" s="23" t="s">
        <v>499</v>
      </c>
      <c r="I26" s="33" t="s">
        <v>14</v>
      </c>
      <c r="J26" s="23">
        <v>1</v>
      </c>
      <c r="K26" s="23">
        <v>1</v>
      </c>
      <c r="L26" s="35">
        <v>0</v>
      </c>
      <c r="M26" s="23">
        <v>3</v>
      </c>
      <c r="N26" s="23">
        <v>3</v>
      </c>
      <c r="O26" s="49">
        <v>0</v>
      </c>
      <c r="P26" s="45" t="s">
        <v>6</v>
      </c>
      <c r="Q26" s="23" t="s">
        <v>24</v>
      </c>
      <c r="R26" s="23" t="s">
        <v>25</v>
      </c>
      <c r="S26" s="22" t="s">
        <v>9</v>
      </c>
    </row>
    <row r="27" spans="1:19" ht="12.75" customHeight="1" x14ac:dyDescent="0.25">
      <c r="A27" s="47" t="s">
        <v>497</v>
      </c>
      <c r="B27" s="23" t="s">
        <v>517</v>
      </c>
      <c r="C27" s="28">
        <v>45512</v>
      </c>
      <c r="D27" s="30" t="s">
        <v>21</v>
      </c>
      <c r="E27" s="28" t="s">
        <v>518</v>
      </c>
      <c r="F27" s="28" t="s">
        <v>48</v>
      </c>
      <c r="G27" s="28">
        <v>45522</v>
      </c>
      <c r="H27" s="23" t="s">
        <v>499</v>
      </c>
      <c r="I27" s="33" t="s">
        <v>14</v>
      </c>
      <c r="J27" s="23">
        <v>1</v>
      </c>
      <c r="K27" s="23">
        <v>1</v>
      </c>
      <c r="L27" s="35">
        <v>0</v>
      </c>
      <c r="M27" s="23">
        <v>2</v>
      </c>
      <c r="N27" s="23">
        <v>2</v>
      </c>
      <c r="O27" s="49">
        <v>0</v>
      </c>
      <c r="P27" s="45" t="s">
        <v>6</v>
      </c>
      <c r="Q27" s="23" t="s">
        <v>24</v>
      </c>
      <c r="R27" s="23" t="s">
        <v>25</v>
      </c>
      <c r="S27" s="22" t="s">
        <v>9</v>
      </c>
    </row>
    <row r="28" spans="1:19" ht="12.75" customHeight="1" x14ac:dyDescent="0.25">
      <c r="A28" s="47" t="s">
        <v>497</v>
      </c>
      <c r="B28" s="23" t="s">
        <v>519</v>
      </c>
      <c r="C28" s="28">
        <v>45512</v>
      </c>
      <c r="D28" s="30" t="s">
        <v>21</v>
      </c>
      <c r="E28" s="28" t="s">
        <v>518</v>
      </c>
      <c r="F28" s="28" t="s">
        <v>32</v>
      </c>
      <c r="G28" s="28">
        <v>45522</v>
      </c>
      <c r="H28" s="23" t="s">
        <v>499</v>
      </c>
      <c r="I28" s="33" t="s">
        <v>14</v>
      </c>
      <c r="J28" s="23">
        <v>1</v>
      </c>
      <c r="K28" s="23">
        <v>1</v>
      </c>
      <c r="L28" s="35">
        <v>0</v>
      </c>
      <c r="M28" s="23">
        <v>2</v>
      </c>
      <c r="N28" s="23">
        <v>2</v>
      </c>
      <c r="O28" s="49">
        <v>0</v>
      </c>
      <c r="P28" s="45" t="s">
        <v>6</v>
      </c>
      <c r="Q28" s="23" t="s">
        <v>24</v>
      </c>
      <c r="R28" s="23" t="s">
        <v>25</v>
      </c>
      <c r="S28" s="22" t="s">
        <v>9</v>
      </c>
    </row>
    <row r="29" spans="1:19" ht="12.75" customHeight="1" x14ac:dyDescent="0.25">
      <c r="A29" s="47" t="s">
        <v>497</v>
      </c>
      <c r="B29" s="23" t="s">
        <v>520</v>
      </c>
      <c r="C29" s="28">
        <v>45515</v>
      </c>
      <c r="D29" s="30" t="s">
        <v>21</v>
      </c>
      <c r="E29" s="28" t="s">
        <v>514</v>
      </c>
      <c r="F29" s="28" t="s">
        <v>515</v>
      </c>
      <c r="G29" s="28">
        <v>45525</v>
      </c>
      <c r="H29" s="23" t="s">
        <v>499</v>
      </c>
      <c r="I29" s="33" t="s">
        <v>14</v>
      </c>
      <c r="J29" s="23">
        <v>1</v>
      </c>
      <c r="K29" s="23">
        <v>1</v>
      </c>
      <c r="L29" s="35">
        <v>0</v>
      </c>
      <c r="M29" s="23">
        <v>1</v>
      </c>
      <c r="N29" s="23">
        <v>1</v>
      </c>
      <c r="O29" s="49">
        <v>0</v>
      </c>
      <c r="P29" s="45" t="s">
        <v>6</v>
      </c>
      <c r="Q29" s="23" t="s">
        <v>24</v>
      </c>
      <c r="R29" s="23" t="s">
        <v>25</v>
      </c>
      <c r="S29" s="22" t="s">
        <v>9</v>
      </c>
    </row>
    <row r="30" spans="1:19" ht="12.75" customHeight="1" x14ac:dyDescent="0.25">
      <c r="A30" s="47" t="s">
        <v>497</v>
      </c>
      <c r="B30" s="23" t="s">
        <v>521</v>
      </c>
      <c r="C30" s="28">
        <v>45515</v>
      </c>
      <c r="D30" s="30" t="s">
        <v>21</v>
      </c>
      <c r="E30" s="28" t="s">
        <v>504</v>
      </c>
      <c r="F30" s="28" t="s">
        <v>39</v>
      </c>
      <c r="G30" s="28">
        <v>45525</v>
      </c>
      <c r="H30" s="23" t="s">
        <v>499</v>
      </c>
      <c r="I30" s="33"/>
      <c r="J30" s="23">
        <v>0</v>
      </c>
      <c r="K30" s="23">
        <v>1</v>
      </c>
      <c r="L30" s="35">
        <v>1</v>
      </c>
      <c r="M30" s="23">
        <v>1</v>
      </c>
      <c r="N30" s="23">
        <v>0</v>
      </c>
      <c r="O30" s="49">
        <v>1</v>
      </c>
      <c r="P30" s="45" t="s">
        <v>6</v>
      </c>
      <c r="Q30" s="23" t="s">
        <v>24</v>
      </c>
      <c r="R30" s="23" t="s">
        <v>25</v>
      </c>
      <c r="S30" s="22" t="s">
        <v>9</v>
      </c>
    </row>
    <row r="31" spans="1:19" ht="12.75" customHeight="1" x14ac:dyDescent="0.25">
      <c r="A31" s="47" t="s">
        <v>497</v>
      </c>
      <c r="B31" s="23" t="s">
        <v>522</v>
      </c>
      <c r="C31" s="28">
        <v>45519</v>
      </c>
      <c r="D31" s="30" t="s">
        <v>21</v>
      </c>
      <c r="E31" s="28" t="s">
        <v>514</v>
      </c>
      <c r="F31" s="28" t="s">
        <v>515</v>
      </c>
      <c r="G31" s="28">
        <v>45529</v>
      </c>
      <c r="H31" s="23" t="s">
        <v>499</v>
      </c>
      <c r="I31" s="33" t="s">
        <v>14</v>
      </c>
      <c r="J31" s="23">
        <v>1</v>
      </c>
      <c r="K31" s="23">
        <v>1</v>
      </c>
      <c r="L31" s="35">
        <v>0</v>
      </c>
      <c r="M31" s="23">
        <v>2</v>
      </c>
      <c r="N31" s="23">
        <v>2</v>
      </c>
      <c r="O31" s="49">
        <v>0</v>
      </c>
      <c r="P31" s="45" t="s">
        <v>6</v>
      </c>
      <c r="Q31" s="23" t="s">
        <v>24</v>
      </c>
      <c r="R31" s="23" t="s">
        <v>25</v>
      </c>
      <c r="S31" s="22" t="s">
        <v>9</v>
      </c>
    </row>
    <row r="32" spans="1:19" ht="12.75" customHeight="1" x14ac:dyDescent="0.25">
      <c r="A32" s="47" t="s">
        <v>497</v>
      </c>
      <c r="B32" s="23" t="s">
        <v>523</v>
      </c>
      <c r="C32" s="28">
        <v>45519</v>
      </c>
      <c r="D32" s="30" t="s">
        <v>21</v>
      </c>
      <c r="E32" s="28" t="s">
        <v>514</v>
      </c>
      <c r="F32" s="28" t="s">
        <v>515</v>
      </c>
      <c r="G32" s="28">
        <v>45529</v>
      </c>
      <c r="H32" s="23" t="s">
        <v>499</v>
      </c>
      <c r="I32" s="33" t="s">
        <v>14</v>
      </c>
      <c r="J32" s="23">
        <v>1</v>
      </c>
      <c r="K32" s="23">
        <v>1</v>
      </c>
      <c r="L32" s="35">
        <v>0</v>
      </c>
      <c r="M32" s="23">
        <v>2</v>
      </c>
      <c r="N32" s="23">
        <v>2</v>
      </c>
      <c r="O32" s="49">
        <v>0</v>
      </c>
      <c r="P32" s="45" t="s">
        <v>6</v>
      </c>
      <c r="Q32" s="23" t="s">
        <v>24</v>
      </c>
      <c r="R32" s="23" t="s">
        <v>25</v>
      </c>
      <c r="S32" s="22" t="s">
        <v>9</v>
      </c>
    </row>
    <row r="33" spans="1:19" ht="12.75" customHeight="1" x14ac:dyDescent="0.25">
      <c r="A33" s="47" t="s">
        <v>497</v>
      </c>
      <c r="B33" s="23" t="s">
        <v>524</v>
      </c>
      <c r="C33" s="28">
        <v>45530</v>
      </c>
      <c r="D33" s="30" t="s">
        <v>21</v>
      </c>
      <c r="E33" s="28" t="s">
        <v>71</v>
      </c>
      <c r="F33" s="28" t="s">
        <v>38</v>
      </c>
      <c r="G33" s="28">
        <v>45540</v>
      </c>
      <c r="H33" s="23" t="s">
        <v>499</v>
      </c>
      <c r="I33" s="33" t="s">
        <v>14</v>
      </c>
      <c r="J33" s="23">
        <v>1</v>
      </c>
      <c r="K33" s="23">
        <v>1</v>
      </c>
      <c r="L33" s="35">
        <v>0</v>
      </c>
      <c r="M33" s="23">
        <v>2</v>
      </c>
      <c r="N33" s="23">
        <v>2</v>
      </c>
      <c r="O33" s="49">
        <v>0</v>
      </c>
      <c r="P33" s="45" t="s">
        <v>6</v>
      </c>
      <c r="Q33" s="23" t="s">
        <v>24</v>
      </c>
      <c r="R33" s="23" t="s">
        <v>25</v>
      </c>
      <c r="S33" s="22" t="s">
        <v>9</v>
      </c>
    </row>
    <row r="34" spans="1:19" ht="12.75" customHeight="1" thickBot="1" x14ac:dyDescent="0.3">
      <c r="A34" s="51" t="s">
        <v>497</v>
      </c>
      <c r="B34" s="20" t="s">
        <v>525</v>
      </c>
      <c r="C34" s="25">
        <v>45535</v>
      </c>
      <c r="D34" s="27" t="s">
        <v>21</v>
      </c>
      <c r="E34" s="25" t="s">
        <v>504</v>
      </c>
      <c r="F34" s="25" t="s">
        <v>526</v>
      </c>
      <c r="G34" s="25">
        <v>45545</v>
      </c>
      <c r="H34" s="20" t="s">
        <v>499</v>
      </c>
      <c r="I34" s="32"/>
      <c r="J34" s="20">
        <v>0</v>
      </c>
      <c r="K34" s="20">
        <v>1</v>
      </c>
      <c r="L34" s="34">
        <v>1</v>
      </c>
      <c r="M34" s="20">
        <v>4</v>
      </c>
      <c r="N34" s="20">
        <v>0</v>
      </c>
      <c r="O34" s="54">
        <v>1</v>
      </c>
      <c r="P34" s="45" t="s">
        <v>6</v>
      </c>
      <c r="Q34" s="23" t="s">
        <v>24</v>
      </c>
      <c r="R34" s="23" t="s">
        <v>25</v>
      </c>
      <c r="S34" s="22" t="s">
        <v>9</v>
      </c>
    </row>
    <row r="35" spans="1:19" ht="17.25" customHeight="1" x14ac:dyDescent="0.25">
      <c r="A35" s="60"/>
      <c r="B35" s="50"/>
      <c r="C35" s="55"/>
      <c r="D35" s="56"/>
      <c r="E35" s="56"/>
      <c r="F35" s="57"/>
      <c r="G35" s="57"/>
      <c r="H35" s="57"/>
      <c r="I35" s="58" t="s">
        <v>1087</v>
      </c>
      <c r="J35" s="57">
        <f>SUM(J24:J34)</f>
        <v>8</v>
      </c>
      <c r="K35" s="57">
        <f>SUM(K24:K34)</f>
        <v>11</v>
      </c>
      <c r="L35" s="59">
        <f>(SUM(K24:K34) - SUM(J24:J34)) / SUM(K24:K34)</f>
        <v>0.27272727272727271</v>
      </c>
      <c r="M35" s="57">
        <f>SUM(M24:M34)</f>
        <v>25</v>
      </c>
      <c r="N35" s="56">
        <f>SUM(N24:N34)</f>
        <v>18</v>
      </c>
      <c r="O35" s="61">
        <f>(SUM(M24:M34) - SUM(N24:N34)) / SUM(M24:M34)</f>
        <v>0.28000000000000003</v>
      </c>
      <c r="P35" s="52"/>
      <c r="Q35" s="53"/>
      <c r="R35" s="52"/>
      <c r="S35" s="52"/>
    </row>
    <row r="36" spans="1:19" x14ac:dyDescent="0.25">
      <c r="A36" s="125"/>
      <c r="B36" s="121"/>
      <c r="C36" s="121"/>
      <c r="D36" s="121"/>
      <c r="E36" s="121"/>
      <c r="F36" s="121"/>
      <c r="G36" s="121"/>
      <c r="H36" s="121"/>
      <c r="I36" s="121"/>
      <c r="J36" s="121"/>
      <c r="K36" s="121"/>
      <c r="L36" s="122"/>
      <c r="M36" s="121"/>
      <c r="N36" s="121"/>
      <c r="O36" s="127"/>
      <c r="P36" s="120"/>
      <c r="Q36" s="120"/>
      <c r="R36" s="120"/>
      <c r="S36" s="120"/>
    </row>
    <row r="37" spans="1:19" ht="15.75" thickBot="1" x14ac:dyDescent="0.3">
      <c r="A37" s="126"/>
      <c r="B37" s="123"/>
      <c r="C37" s="124"/>
      <c r="D37" s="123"/>
      <c r="E37" s="123"/>
      <c r="F37" s="123"/>
      <c r="G37" s="124"/>
      <c r="H37" s="123"/>
      <c r="I37" s="123"/>
      <c r="J37" s="123"/>
      <c r="K37" s="123"/>
      <c r="L37" s="123"/>
      <c r="M37" s="123"/>
      <c r="N37" s="123"/>
      <c r="O37" s="128"/>
      <c r="P37" s="98"/>
      <c r="Q37" s="98"/>
      <c r="R37" s="98"/>
      <c r="S37" s="98"/>
    </row>
    <row r="38" spans="1:19" ht="15.75" thickBot="1" x14ac:dyDescent="0.3">
      <c r="C38" s="1"/>
      <c r="G38" s="1"/>
    </row>
    <row r="39" spans="1:19" x14ac:dyDescent="0.25">
      <c r="A39" s="9"/>
      <c r="B39" s="10"/>
      <c r="C39" s="11"/>
      <c r="D39" s="11"/>
      <c r="E39" s="11"/>
      <c r="F39" s="11"/>
      <c r="G39" s="11"/>
      <c r="H39" s="12"/>
      <c r="I39" s="11"/>
      <c r="J39" s="13"/>
      <c r="K39" s="13"/>
      <c r="L39" s="13"/>
      <c r="M39" s="13"/>
      <c r="N39" s="11"/>
      <c r="O39" s="14"/>
      <c r="P39" s="4"/>
      <c r="Q39" s="5"/>
      <c r="R39" s="4"/>
      <c r="S39" s="4"/>
    </row>
    <row r="40" spans="1:19" x14ac:dyDescent="0.25">
      <c r="A40" s="6" t="s">
        <v>1094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15"/>
      <c r="P40" s="3"/>
      <c r="Q40" s="3"/>
      <c r="R40" s="3"/>
      <c r="S40" s="3"/>
    </row>
    <row r="41" spans="1:19" x14ac:dyDescent="0.25">
      <c r="A41" s="7" t="s">
        <v>55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15"/>
      <c r="P41" s="3"/>
      <c r="Q41" s="3"/>
      <c r="R41" s="3"/>
      <c r="S41" s="3"/>
    </row>
    <row r="42" spans="1:19" ht="15.75" thickBot="1" x14ac:dyDescent="0.3">
      <c r="A42" s="8"/>
      <c r="B42" s="8"/>
      <c r="C42" s="74"/>
      <c r="D42" s="8"/>
      <c r="E42" s="8"/>
      <c r="F42" s="8"/>
      <c r="G42" s="74"/>
      <c r="H42" s="8"/>
      <c r="I42" s="8"/>
      <c r="J42" s="8"/>
      <c r="K42" s="8"/>
      <c r="L42" s="8"/>
      <c r="M42" s="8"/>
      <c r="N42" s="8"/>
      <c r="O42" s="16"/>
      <c r="P42" s="3"/>
      <c r="Q42" s="3"/>
      <c r="R42" s="3"/>
      <c r="S42" s="3"/>
    </row>
    <row r="43" spans="1:19" ht="17.25" customHeight="1" thickBot="1" x14ac:dyDescent="0.3">
      <c r="A43" s="19" t="s">
        <v>1068</v>
      </c>
      <c r="B43" s="24" t="s">
        <v>1069</v>
      </c>
      <c r="C43" s="26" t="s">
        <v>1070</v>
      </c>
      <c r="D43" s="29" t="s">
        <v>1071</v>
      </c>
      <c r="E43" s="26" t="s">
        <v>1072</v>
      </c>
      <c r="F43" s="31" t="s">
        <v>1073</v>
      </c>
      <c r="G43" s="31" t="s">
        <v>1074</v>
      </c>
      <c r="H43" s="31" t="s">
        <v>1075</v>
      </c>
      <c r="I43" s="29" t="s">
        <v>14</v>
      </c>
      <c r="J43" s="29" t="s">
        <v>1076</v>
      </c>
      <c r="K43" s="29" t="s">
        <v>1077</v>
      </c>
      <c r="L43" s="29" t="s">
        <v>1078</v>
      </c>
      <c r="M43" s="29" t="s">
        <v>1079</v>
      </c>
      <c r="N43" s="29" t="s">
        <v>1080</v>
      </c>
      <c r="O43" s="36" t="s">
        <v>1081</v>
      </c>
      <c r="P43" s="37" t="s">
        <v>1082</v>
      </c>
      <c r="Q43" s="38" t="s">
        <v>1083</v>
      </c>
      <c r="R43" s="38" t="s">
        <v>1084</v>
      </c>
      <c r="S43" s="39" t="s">
        <v>1085</v>
      </c>
    </row>
    <row r="44" spans="1:19" ht="12.75" customHeight="1" x14ac:dyDescent="0.25">
      <c r="A44" s="46" t="s">
        <v>497</v>
      </c>
      <c r="B44" s="40" t="s">
        <v>527</v>
      </c>
      <c r="C44" s="41">
        <v>45538</v>
      </c>
      <c r="D44" s="42" t="s">
        <v>52</v>
      </c>
      <c r="E44" s="41" t="s">
        <v>71</v>
      </c>
      <c r="F44" s="41" t="s">
        <v>67</v>
      </c>
      <c r="G44" s="41">
        <v>45548</v>
      </c>
      <c r="H44" s="40" t="s">
        <v>499</v>
      </c>
      <c r="I44" s="43" t="s">
        <v>14</v>
      </c>
      <c r="J44" s="40">
        <v>1</v>
      </c>
      <c r="K44" s="40">
        <v>1</v>
      </c>
      <c r="L44" s="44">
        <v>0</v>
      </c>
      <c r="M44" s="40">
        <v>1</v>
      </c>
      <c r="N44" s="40">
        <v>1</v>
      </c>
      <c r="O44" s="48">
        <v>0</v>
      </c>
      <c r="P44" s="45" t="s">
        <v>6</v>
      </c>
      <c r="Q44" s="23" t="s">
        <v>55</v>
      </c>
      <c r="R44" s="23" t="s">
        <v>56</v>
      </c>
      <c r="S44" s="22" t="s">
        <v>9</v>
      </c>
    </row>
    <row r="45" spans="1:19" ht="12.75" customHeight="1" x14ac:dyDescent="0.25">
      <c r="A45" s="47" t="s">
        <v>497</v>
      </c>
      <c r="B45" s="23" t="s">
        <v>528</v>
      </c>
      <c r="C45" s="28">
        <v>45538</v>
      </c>
      <c r="D45" s="30" t="s">
        <v>52</v>
      </c>
      <c r="E45" s="28" t="s">
        <v>529</v>
      </c>
      <c r="F45" s="28" t="s">
        <v>34</v>
      </c>
      <c r="G45" s="28">
        <v>45548</v>
      </c>
      <c r="H45" s="23" t="s">
        <v>499</v>
      </c>
      <c r="I45" s="33" t="s">
        <v>14</v>
      </c>
      <c r="J45" s="23">
        <v>1</v>
      </c>
      <c r="K45" s="23">
        <v>1</v>
      </c>
      <c r="L45" s="35">
        <v>0</v>
      </c>
      <c r="M45" s="23">
        <v>4</v>
      </c>
      <c r="N45" s="23">
        <v>4</v>
      </c>
      <c r="O45" s="49">
        <v>0</v>
      </c>
      <c r="P45" s="45" t="s">
        <v>6</v>
      </c>
      <c r="Q45" s="23" t="s">
        <v>55</v>
      </c>
      <c r="R45" s="23" t="s">
        <v>56</v>
      </c>
      <c r="S45" s="22" t="s">
        <v>9</v>
      </c>
    </row>
    <row r="46" spans="1:19" ht="12.75" customHeight="1" x14ac:dyDescent="0.25">
      <c r="A46" s="47" t="s">
        <v>497</v>
      </c>
      <c r="B46" s="23" t="s">
        <v>530</v>
      </c>
      <c r="C46" s="28">
        <v>45539</v>
      </c>
      <c r="D46" s="30" t="s">
        <v>52</v>
      </c>
      <c r="E46" s="28" t="s">
        <v>71</v>
      </c>
      <c r="F46" s="28" t="s">
        <v>22</v>
      </c>
      <c r="G46" s="28">
        <v>45549</v>
      </c>
      <c r="H46" s="23" t="s">
        <v>499</v>
      </c>
      <c r="I46" s="33" t="s">
        <v>14</v>
      </c>
      <c r="J46" s="23">
        <v>1</v>
      </c>
      <c r="K46" s="23">
        <v>1</v>
      </c>
      <c r="L46" s="35">
        <v>0</v>
      </c>
      <c r="M46" s="23">
        <v>2</v>
      </c>
      <c r="N46" s="23">
        <v>2</v>
      </c>
      <c r="O46" s="49">
        <v>0</v>
      </c>
      <c r="P46" s="45" t="s">
        <v>6</v>
      </c>
      <c r="Q46" s="23" t="s">
        <v>55</v>
      </c>
      <c r="R46" s="23" t="s">
        <v>56</v>
      </c>
      <c r="S46" s="22" t="s">
        <v>9</v>
      </c>
    </row>
    <row r="47" spans="1:19" ht="12.75" customHeight="1" x14ac:dyDescent="0.25">
      <c r="A47" s="47" t="s">
        <v>497</v>
      </c>
      <c r="B47" s="23" t="s">
        <v>531</v>
      </c>
      <c r="C47" s="28">
        <v>45545</v>
      </c>
      <c r="D47" s="30" t="s">
        <v>52</v>
      </c>
      <c r="E47" s="28" t="s">
        <v>532</v>
      </c>
      <c r="F47" s="28" t="s">
        <v>22</v>
      </c>
      <c r="G47" s="28">
        <v>45555</v>
      </c>
      <c r="H47" s="23" t="s">
        <v>499</v>
      </c>
      <c r="I47" s="33" t="s">
        <v>14</v>
      </c>
      <c r="J47" s="23">
        <v>1</v>
      </c>
      <c r="K47" s="23">
        <v>1</v>
      </c>
      <c r="L47" s="35">
        <v>0</v>
      </c>
      <c r="M47" s="23">
        <v>6</v>
      </c>
      <c r="N47" s="23">
        <v>6</v>
      </c>
      <c r="O47" s="49">
        <v>0</v>
      </c>
      <c r="P47" s="45" t="s">
        <v>6</v>
      </c>
      <c r="Q47" s="23" t="s">
        <v>55</v>
      </c>
      <c r="R47" s="23" t="s">
        <v>56</v>
      </c>
      <c r="S47" s="22" t="s">
        <v>9</v>
      </c>
    </row>
    <row r="48" spans="1:19" ht="12.75" customHeight="1" x14ac:dyDescent="0.25">
      <c r="A48" s="47" t="s">
        <v>497</v>
      </c>
      <c r="B48" s="23" t="s">
        <v>533</v>
      </c>
      <c r="C48" s="28">
        <v>45545</v>
      </c>
      <c r="D48" s="30" t="s">
        <v>52</v>
      </c>
      <c r="E48" s="28" t="s">
        <v>534</v>
      </c>
      <c r="F48" s="28" t="s">
        <v>34</v>
      </c>
      <c r="G48" s="28">
        <v>45555</v>
      </c>
      <c r="H48" s="23" t="s">
        <v>499</v>
      </c>
      <c r="I48" s="33" t="s">
        <v>14</v>
      </c>
      <c r="J48" s="23">
        <v>1</v>
      </c>
      <c r="K48" s="23">
        <v>1</v>
      </c>
      <c r="L48" s="35">
        <v>0</v>
      </c>
      <c r="M48" s="23">
        <v>1</v>
      </c>
      <c r="N48" s="23">
        <v>1</v>
      </c>
      <c r="O48" s="49">
        <v>0</v>
      </c>
      <c r="P48" s="45" t="s">
        <v>6</v>
      </c>
      <c r="Q48" s="23" t="s">
        <v>55</v>
      </c>
      <c r="R48" s="23" t="s">
        <v>56</v>
      </c>
      <c r="S48" s="22" t="s">
        <v>9</v>
      </c>
    </row>
    <row r="49" spans="1:19" ht="12.75" customHeight="1" x14ac:dyDescent="0.25">
      <c r="A49" s="47" t="s">
        <v>497</v>
      </c>
      <c r="B49" s="23" t="s">
        <v>528</v>
      </c>
      <c r="C49" s="28">
        <v>45545</v>
      </c>
      <c r="D49" s="30" t="s">
        <v>52</v>
      </c>
      <c r="E49" s="28" t="s">
        <v>529</v>
      </c>
      <c r="F49" s="28" t="s">
        <v>34</v>
      </c>
      <c r="G49" s="28">
        <v>45555</v>
      </c>
      <c r="H49" s="23" t="s">
        <v>499</v>
      </c>
      <c r="I49" s="33" t="s">
        <v>14</v>
      </c>
      <c r="J49" s="23">
        <v>1</v>
      </c>
      <c r="K49" s="23">
        <v>1</v>
      </c>
      <c r="L49" s="35">
        <v>0</v>
      </c>
      <c r="M49" s="23">
        <v>5</v>
      </c>
      <c r="N49" s="23">
        <v>5</v>
      </c>
      <c r="O49" s="49">
        <v>0</v>
      </c>
      <c r="P49" s="45" t="s">
        <v>6</v>
      </c>
      <c r="Q49" s="23" t="s">
        <v>55</v>
      </c>
      <c r="R49" s="23" t="s">
        <v>56</v>
      </c>
      <c r="S49" s="22" t="s">
        <v>9</v>
      </c>
    </row>
    <row r="50" spans="1:19" ht="12.75" customHeight="1" x14ac:dyDescent="0.25">
      <c r="A50" s="47" t="s">
        <v>497</v>
      </c>
      <c r="B50" s="23" t="s">
        <v>535</v>
      </c>
      <c r="C50" s="28">
        <v>45550</v>
      </c>
      <c r="D50" s="30" t="s">
        <v>52</v>
      </c>
      <c r="E50" s="28" t="s">
        <v>59</v>
      </c>
      <c r="F50" s="28" t="s">
        <v>74</v>
      </c>
      <c r="G50" s="28">
        <v>45560</v>
      </c>
      <c r="H50" s="23" t="s">
        <v>499</v>
      </c>
      <c r="I50" s="33" t="s">
        <v>14</v>
      </c>
      <c r="J50" s="23">
        <v>1</v>
      </c>
      <c r="K50" s="23">
        <v>1</v>
      </c>
      <c r="L50" s="35">
        <v>0</v>
      </c>
      <c r="M50" s="23">
        <v>12</v>
      </c>
      <c r="N50" s="23">
        <v>12</v>
      </c>
      <c r="O50" s="49">
        <v>0</v>
      </c>
      <c r="P50" s="45" t="s">
        <v>6</v>
      </c>
      <c r="Q50" s="23" t="s">
        <v>55</v>
      </c>
      <c r="R50" s="23" t="s">
        <v>56</v>
      </c>
      <c r="S50" s="22" t="s">
        <v>9</v>
      </c>
    </row>
    <row r="51" spans="1:19" ht="12.75" customHeight="1" x14ac:dyDescent="0.25">
      <c r="A51" s="47" t="s">
        <v>497</v>
      </c>
      <c r="B51" s="23" t="s">
        <v>536</v>
      </c>
      <c r="C51" s="28">
        <v>45550</v>
      </c>
      <c r="D51" s="30" t="s">
        <v>52</v>
      </c>
      <c r="E51" s="28" t="s">
        <v>529</v>
      </c>
      <c r="F51" s="28" t="s">
        <v>71</v>
      </c>
      <c r="G51" s="28">
        <v>45560</v>
      </c>
      <c r="H51" s="23" t="s">
        <v>499</v>
      </c>
      <c r="I51" s="33" t="s">
        <v>14</v>
      </c>
      <c r="J51" s="23">
        <v>1</v>
      </c>
      <c r="K51" s="23">
        <v>1</v>
      </c>
      <c r="L51" s="35">
        <v>0</v>
      </c>
      <c r="M51" s="23">
        <v>2</v>
      </c>
      <c r="N51" s="23">
        <v>2</v>
      </c>
      <c r="O51" s="49">
        <v>0</v>
      </c>
      <c r="P51" s="45" t="s">
        <v>6</v>
      </c>
      <c r="Q51" s="23" t="s">
        <v>55</v>
      </c>
      <c r="R51" s="23" t="s">
        <v>56</v>
      </c>
      <c r="S51" s="22" t="s">
        <v>9</v>
      </c>
    </row>
    <row r="52" spans="1:19" ht="12.75" customHeight="1" x14ac:dyDescent="0.25">
      <c r="A52" s="47" t="s">
        <v>497</v>
      </c>
      <c r="B52" s="23" t="s">
        <v>537</v>
      </c>
      <c r="C52" s="28">
        <v>45550</v>
      </c>
      <c r="D52" s="30" t="s">
        <v>52</v>
      </c>
      <c r="E52" s="28" t="s">
        <v>59</v>
      </c>
      <c r="F52" s="28" t="s">
        <v>74</v>
      </c>
      <c r="G52" s="28">
        <v>45560</v>
      </c>
      <c r="H52" s="23" t="s">
        <v>499</v>
      </c>
      <c r="I52" s="33" t="s">
        <v>14</v>
      </c>
      <c r="J52" s="23">
        <v>1</v>
      </c>
      <c r="K52" s="23">
        <v>1</v>
      </c>
      <c r="L52" s="35">
        <v>0</v>
      </c>
      <c r="M52" s="23">
        <v>2</v>
      </c>
      <c r="N52" s="23">
        <v>2</v>
      </c>
      <c r="O52" s="49">
        <v>0</v>
      </c>
      <c r="P52" s="45" t="s">
        <v>6</v>
      </c>
      <c r="Q52" s="23" t="s">
        <v>55</v>
      </c>
      <c r="R52" s="23" t="s">
        <v>56</v>
      </c>
      <c r="S52" s="22" t="s">
        <v>9</v>
      </c>
    </row>
    <row r="53" spans="1:19" ht="12.75" customHeight="1" x14ac:dyDescent="0.25">
      <c r="A53" s="47" t="s">
        <v>497</v>
      </c>
      <c r="B53" s="23" t="s">
        <v>538</v>
      </c>
      <c r="C53" s="28">
        <v>45550</v>
      </c>
      <c r="D53" s="30" t="s">
        <v>52</v>
      </c>
      <c r="E53" s="28" t="s">
        <v>529</v>
      </c>
      <c r="F53" s="28" t="s">
        <v>539</v>
      </c>
      <c r="G53" s="28">
        <v>45560</v>
      </c>
      <c r="H53" s="23" t="s">
        <v>499</v>
      </c>
      <c r="I53" s="33" t="s">
        <v>14</v>
      </c>
      <c r="J53" s="23">
        <v>1</v>
      </c>
      <c r="K53" s="23">
        <v>1</v>
      </c>
      <c r="L53" s="35">
        <v>0</v>
      </c>
      <c r="M53" s="23">
        <v>2</v>
      </c>
      <c r="N53" s="23">
        <v>2</v>
      </c>
      <c r="O53" s="49">
        <v>0</v>
      </c>
      <c r="P53" s="45" t="s">
        <v>6</v>
      </c>
      <c r="Q53" s="23" t="s">
        <v>55</v>
      </c>
      <c r="R53" s="23" t="s">
        <v>56</v>
      </c>
      <c r="S53" s="22" t="s">
        <v>9</v>
      </c>
    </row>
    <row r="54" spans="1:19" ht="12.75" customHeight="1" x14ac:dyDescent="0.25">
      <c r="A54" s="47" t="s">
        <v>497</v>
      </c>
      <c r="B54" s="23" t="s">
        <v>540</v>
      </c>
      <c r="C54" s="28">
        <v>45551</v>
      </c>
      <c r="D54" s="30" t="s">
        <v>52</v>
      </c>
      <c r="E54" s="28" t="s">
        <v>529</v>
      </c>
      <c r="F54" s="28" t="s">
        <v>34</v>
      </c>
      <c r="G54" s="28">
        <v>45561</v>
      </c>
      <c r="H54" s="23" t="s">
        <v>499</v>
      </c>
      <c r="I54" s="33" t="s">
        <v>14</v>
      </c>
      <c r="J54" s="23">
        <v>1</v>
      </c>
      <c r="K54" s="23">
        <v>1</v>
      </c>
      <c r="L54" s="35">
        <v>0</v>
      </c>
      <c r="M54" s="23">
        <v>3</v>
      </c>
      <c r="N54" s="23">
        <v>3</v>
      </c>
      <c r="O54" s="49">
        <v>0</v>
      </c>
      <c r="P54" s="45" t="s">
        <v>6</v>
      </c>
      <c r="Q54" s="23" t="s">
        <v>55</v>
      </c>
      <c r="R54" s="23" t="s">
        <v>56</v>
      </c>
      <c r="S54" s="22" t="s">
        <v>9</v>
      </c>
    </row>
    <row r="55" spans="1:19" ht="12.75" customHeight="1" x14ac:dyDescent="0.25">
      <c r="A55" s="47" t="s">
        <v>497</v>
      </c>
      <c r="B55" s="23" t="s">
        <v>541</v>
      </c>
      <c r="C55" s="28">
        <v>45551</v>
      </c>
      <c r="D55" s="30" t="s">
        <v>52</v>
      </c>
      <c r="E55" s="28" t="s">
        <v>59</v>
      </c>
      <c r="F55" s="28" t="s">
        <v>542</v>
      </c>
      <c r="G55" s="28">
        <v>45561</v>
      </c>
      <c r="H55" s="23" t="s">
        <v>499</v>
      </c>
      <c r="I55" s="33" t="s">
        <v>14</v>
      </c>
      <c r="J55" s="23">
        <v>1</v>
      </c>
      <c r="K55" s="23">
        <v>1</v>
      </c>
      <c r="L55" s="35">
        <v>0</v>
      </c>
      <c r="M55" s="23">
        <v>2</v>
      </c>
      <c r="N55" s="23">
        <v>2</v>
      </c>
      <c r="O55" s="49">
        <v>0</v>
      </c>
      <c r="P55" s="45" t="s">
        <v>6</v>
      </c>
      <c r="Q55" s="23" t="s">
        <v>55</v>
      </c>
      <c r="R55" s="23" t="s">
        <v>56</v>
      </c>
      <c r="S55" s="22" t="s">
        <v>9</v>
      </c>
    </row>
    <row r="56" spans="1:19" ht="12.75" customHeight="1" x14ac:dyDescent="0.25">
      <c r="A56" s="47" t="s">
        <v>497</v>
      </c>
      <c r="B56" s="23" t="s">
        <v>543</v>
      </c>
      <c r="C56" s="28">
        <v>45551</v>
      </c>
      <c r="D56" s="30" t="s">
        <v>52</v>
      </c>
      <c r="E56" s="28" t="s">
        <v>544</v>
      </c>
      <c r="F56" s="28" t="s">
        <v>63</v>
      </c>
      <c r="G56" s="28">
        <v>45561</v>
      </c>
      <c r="H56" s="23" t="s">
        <v>499</v>
      </c>
      <c r="I56" s="33" t="s">
        <v>14</v>
      </c>
      <c r="J56" s="23">
        <v>1</v>
      </c>
      <c r="K56" s="23">
        <v>1</v>
      </c>
      <c r="L56" s="35">
        <v>0</v>
      </c>
      <c r="M56" s="23">
        <v>2</v>
      </c>
      <c r="N56" s="23">
        <v>2</v>
      </c>
      <c r="O56" s="49">
        <v>0</v>
      </c>
      <c r="P56" s="45" t="s">
        <v>6</v>
      </c>
      <c r="Q56" s="23" t="s">
        <v>55</v>
      </c>
      <c r="R56" s="23" t="s">
        <v>56</v>
      </c>
      <c r="S56" s="22" t="s">
        <v>9</v>
      </c>
    </row>
    <row r="57" spans="1:19" ht="12.75" customHeight="1" x14ac:dyDescent="0.25">
      <c r="A57" s="47" t="s">
        <v>497</v>
      </c>
      <c r="B57" s="23" t="s">
        <v>545</v>
      </c>
      <c r="C57" s="28">
        <v>45555</v>
      </c>
      <c r="D57" s="30" t="s">
        <v>52</v>
      </c>
      <c r="E57" s="28" t="s">
        <v>59</v>
      </c>
      <c r="F57" s="28" t="s">
        <v>532</v>
      </c>
      <c r="G57" s="28">
        <v>45565</v>
      </c>
      <c r="H57" s="23" t="s">
        <v>499</v>
      </c>
      <c r="I57" s="33" t="s">
        <v>14</v>
      </c>
      <c r="J57" s="23">
        <v>1</v>
      </c>
      <c r="K57" s="23">
        <v>1</v>
      </c>
      <c r="L57" s="35">
        <v>0</v>
      </c>
      <c r="M57" s="23">
        <v>8</v>
      </c>
      <c r="N57" s="23">
        <v>8</v>
      </c>
      <c r="O57" s="49">
        <v>0</v>
      </c>
      <c r="P57" s="45" t="s">
        <v>6</v>
      </c>
      <c r="Q57" s="23" t="s">
        <v>55</v>
      </c>
      <c r="R57" s="23" t="s">
        <v>56</v>
      </c>
      <c r="S57" s="22" t="s">
        <v>9</v>
      </c>
    </row>
    <row r="58" spans="1:19" ht="12.75" customHeight="1" thickBot="1" x14ac:dyDescent="0.3">
      <c r="A58" s="51" t="s">
        <v>497</v>
      </c>
      <c r="B58" s="20" t="s">
        <v>546</v>
      </c>
      <c r="C58" s="25">
        <v>45557</v>
      </c>
      <c r="D58" s="27" t="s">
        <v>52</v>
      </c>
      <c r="E58" s="25" t="s">
        <v>544</v>
      </c>
      <c r="F58" s="25" t="s">
        <v>534</v>
      </c>
      <c r="G58" s="25">
        <v>45567</v>
      </c>
      <c r="H58" s="20" t="s">
        <v>499</v>
      </c>
      <c r="I58" s="32" t="s">
        <v>14</v>
      </c>
      <c r="J58" s="20">
        <v>1</v>
      </c>
      <c r="K58" s="20">
        <v>1</v>
      </c>
      <c r="L58" s="34">
        <v>0</v>
      </c>
      <c r="M58" s="20">
        <v>3</v>
      </c>
      <c r="N58" s="20">
        <v>3</v>
      </c>
      <c r="O58" s="54">
        <v>0</v>
      </c>
      <c r="P58" s="45" t="s">
        <v>6</v>
      </c>
      <c r="Q58" s="23" t="s">
        <v>55</v>
      </c>
      <c r="R58" s="23" t="s">
        <v>56</v>
      </c>
      <c r="S58" s="22" t="s">
        <v>9</v>
      </c>
    </row>
    <row r="59" spans="1:19" ht="17.25" customHeight="1" x14ac:dyDescent="0.25">
      <c r="A59" s="60"/>
      <c r="B59" s="50"/>
      <c r="C59" s="55"/>
      <c r="D59" s="56"/>
      <c r="E59" s="56"/>
      <c r="F59" s="57"/>
      <c r="G59" s="57"/>
      <c r="H59" s="57"/>
      <c r="I59" s="58" t="s">
        <v>1087</v>
      </c>
      <c r="J59" s="57">
        <f>SUM(J44:J58)</f>
        <v>15</v>
      </c>
      <c r="K59" s="57">
        <f>SUM(K44:K58)</f>
        <v>15</v>
      </c>
      <c r="L59" s="59">
        <f>(SUM(K44:K58) - SUM(J44:J58)) / SUM(K44:K58)</f>
        <v>0</v>
      </c>
      <c r="M59" s="57">
        <f>SUM(M44:M58)</f>
        <v>55</v>
      </c>
      <c r="N59" s="56">
        <f>SUM(N44:N58)</f>
        <v>55</v>
      </c>
      <c r="O59" s="61">
        <f>(SUM(M44:M58) - SUM(N44:N58)) / SUM(M44:M58)</f>
        <v>0</v>
      </c>
      <c r="P59" s="52"/>
      <c r="Q59" s="53"/>
      <c r="R59" s="52"/>
      <c r="S59" s="52"/>
    </row>
    <row r="60" spans="1:19" x14ac:dyDescent="0.25">
      <c r="A60" s="125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2"/>
      <c r="M60" s="121"/>
      <c r="N60" s="121"/>
      <c r="O60" s="127"/>
      <c r="P60" s="120"/>
      <c r="Q60" s="120"/>
      <c r="R60" s="120"/>
      <c r="S60" s="120"/>
    </row>
    <row r="61" spans="1:19" ht="15.75" thickBot="1" x14ac:dyDescent="0.3">
      <c r="A61" s="126"/>
      <c r="B61" s="123"/>
      <c r="C61" s="124"/>
      <c r="D61" s="123"/>
      <c r="E61" s="123"/>
      <c r="F61" s="123"/>
      <c r="G61" s="124"/>
      <c r="H61" s="123"/>
      <c r="I61" s="123"/>
      <c r="J61" s="123"/>
      <c r="K61" s="123"/>
      <c r="L61" s="123"/>
      <c r="M61" s="123"/>
      <c r="N61" s="123"/>
      <c r="O61" s="128"/>
      <c r="P61" s="98"/>
      <c r="Q61" s="98"/>
      <c r="R61" s="98"/>
      <c r="S61" s="98"/>
    </row>
    <row r="62" spans="1:19" ht="15.75" thickBot="1" x14ac:dyDescent="0.3">
      <c r="C62" s="1"/>
      <c r="G62" s="1"/>
    </row>
    <row r="63" spans="1:19" x14ac:dyDescent="0.25">
      <c r="A63" s="9"/>
      <c r="B63" s="10"/>
      <c r="C63" s="11"/>
      <c r="D63" s="11"/>
      <c r="E63" s="11"/>
      <c r="F63" s="11"/>
      <c r="G63" s="11"/>
      <c r="H63" s="12"/>
      <c r="I63" s="11"/>
      <c r="J63" s="13"/>
      <c r="K63" s="13"/>
      <c r="L63" s="13"/>
      <c r="M63" s="13"/>
      <c r="N63" s="11"/>
      <c r="O63" s="14"/>
      <c r="P63" s="4"/>
      <c r="Q63" s="5"/>
      <c r="R63" s="4"/>
      <c r="S63" s="4"/>
    </row>
    <row r="64" spans="1:19" x14ac:dyDescent="0.25">
      <c r="A64" s="6" t="s">
        <v>1094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15"/>
      <c r="P64" s="3"/>
      <c r="Q64" s="3"/>
      <c r="R64" s="3"/>
      <c r="S64" s="3"/>
    </row>
    <row r="65" spans="1:19" x14ac:dyDescent="0.25">
      <c r="A65" s="7" t="s">
        <v>81</v>
      </c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15"/>
      <c r="P65" s="3"/>
      <c r="Q65" s="3"/>
      <c r="R65" s="3"/>
      <c r="S65" s="3"/>
    </row>
    <row r="66" spans="1:19" ht="15.75" thickBot="1" x14ac:dyDescent="0.3">
      <c r="A66" s="8"/>
      <c r="B66" s="8"/>
      <c r="C66" s="74"/>
      <c r="D66" s="8"/>
      <c r="E66" s="8"/>
      <c r="F66" s="8"/>
      <c r="G66" s="74"/>
      <c r="H66" s="8"/>
      <c r="I66" s="8"/>
      <c r="J66" s="8"/>
      <c r="K66" s="8"/>
      <c r="L66" s="8"/>
      <c r="M66" s="8"/>
      <c r="N66" s="8"/>
      <c r="O66" s="16"/>
      <c r="P66" s="3"/>
      <c r="Q66" s="3"/>
      <c r="R66" s="3"/>
      <c r="S66" s="3"/>
    </row>
    <row r="67" spans="1:19" ht="17.25" customHeight="1" thickBot="1" x14ac:dyDescent="0.3">
      <c r="A67" s="19" t="s">
        <v>1068</v>
      </c>
      <c r="B67" s="24" t="s">
        <v>1069</v>
      </c>
      <c r="C67" s="26" t="s">
        <v>1070</v>
      </c>
      <c r="D67" s="29" t="s">
        <v>1071</v>
      </c>
      <c r="E67" s="26" t="s">
        <v>1072</v>
      </c>
      <c r="F67" s="31" t="s">
        <v>1073</v>
      </c>
      <c r="G67" s="31" t="s">
        <v>1074</v>
      </c>
      <c r="H67" s="31" t="s">
        <v>1075</v>
      </c>
      <c r="I67" s="29" t="s">
        <v>14</v>
      </c>
      <c r="J67" s="29" t="s">
        <v>1076</v>
      </c>
      <c r="K67" s="29" t="s">
        <v>1077</v>
      </c>
      <c r="L67" s="29" t="s">
        <v>1078</v>
      </c>
      <c r="M67" s="29" t="s">
        <v>1079</v>
      </c>
      <c r="N67" s="29" t="s">
        <v>1080</v>
      </c>
      <c r="O67" s="36" t="s">
        <v>1081</v>
      </c>
      <c r="P67" s="37" t="s">
        <v>1082</v>
      </c>
      <c r="Q67" s="38" t="s">
        <v>1083</v>
      </c>
      <c r="R67" s="38" t="s">
        <v>1084</v>
      </c>
      <c r="S67" s="39" t="s">
        <v>1085</v>
      </c>
    </row>
    <row r="68" spans="1:19" ht="12.75" customHeight="1" x14ac:dyDescent="0.25">
      <c r="A68" s="46" t="s">
        <v>497</v>
      </c>
      <c r="B68" s="40" t="s">
        <v>547</v>
      </c>
      <c r="C68" s="41">
        <v>45569</v>
      </c>
      <c r="D68" s="42" t="s">
        <v>78</v>
      </c>
      <c r="E68" s="41" t="s">
        <v>544</v>
      </c>
      <c r="F68" s="41" t="s">
        <v>59</v>
      </c>
      <c r="G68" s="41">
        <v>45579</v>
      </c>
      <c r="H68" s="40" t="s">
        <v>499</v>
      </c>
      <c r="I68" s="43" t="s">
        <v>14</v>
      </c>
      <c r="J68" s="40">
        <v>1</v>
      </c>
      <c r="K68" s="40">
        <v>1</v>
      </c>
      <c r="L68" s="44">
        <v>0</v>
      </c>
      <c r="M68" s="40">
        <v>2</v>
      </c>
      <c r="N68" s="40">
        <v>2</v>
      </c>
      <c r="O68" s="48">
        <v>0</v>
      </c>
      <c r="P68" s="45" t="s">
        <v>6</v>
      </c>
      <c r="Q68" s="23" t="s">
        <v>81</v>
      </c>
      <c r="R68" s="23" t="s">
        <v>82</v>
      </c>
      <c r="S68" s="22" t="s">
        <v>9</v>
      </c>
    </row>
    <row r="69" spans="1:19" ht="12.75" customHeight="1" x14ac:dyDescent="0.25">
      <c r="A69" s="47" t="s">
        <v>497</v>
      </c>
      <c r="B69" s="23" t="s">
        <v>548</v>
      </c>
      <c r="C69" s="28">
        <v>45569</v>
      </c>
      <c r="D69" s="30" t="s">
        <v>78</v>
      </c>
      <c r="E69" s="28" t="s">
        <v>544</v>
      </c>
      <c r="F69" s="28" t="s">
        <v>549</v>
      </c>
      <c r="G69" s="28">
        <v>45579</v>
      </c>
      <c r="H69" s="23" t="s">
        <v>499</v>
      </c>
      <c r="I69" s="33" t="s">
        <v>14</v>
      </c>
      <c r="J69" s="23">
        <v>1</v>
      </c>
      <c r="K69" s="23">
        <v>1</v>
      </c>
      <c r="L69" s="35">
        <v>0</v>
      </c>
      <c r="M69" s="23">
        <v>2</v>
      </c>
      <c r="N69" s="23">
        <v>2</v>
      </c>
      <c r="O69" s="49">
        <v>0</v>
      </c>
      <c r="P69" s="45" t="s">
        <v>6</v>
      </c>
      <c r="Q69" s="23" t="s">
        <v>81</v>
      </c>
      <c r="R69" s="23" t="s">
        <v>82</v>
      </c>
      <c r="S69" s="22" t="s">
        <v>9</v>
      </c>
    </row>
    <row r="70" spans="1:19" ht="12.75" customHeight="1" x14ac:dyDescent="0.25">
      <c r="A70" s="47" t="s">
        <v>497</v>
      </c>
      <c r="B70" s="23" t="s">
        <v>550</v>
      </c>
      <c r="C70" s="28">
        <v>45569</v>
      </c>
      <c r="D70" s="30" t="s">
        <v>78</v>
      </c>
      <c r="E70" s="28" t="s">
        <v>551</v>
      </c>
      <c r="F70" s="28" t="s">
        <v>54</v>
      </c>
      <c r="G70" s="28">
        <v>45579</v>
      </c>
      <c r="H70" s="23" t="s">
        <v>499</v>
      </c>
      <c r="I70" s="33" t="s">
        <v>14</v>
      </c>
      <c r="J70" s="23">
        <v>1</v>
      </c>
      <c r="K70" s="23">
        <v>1</v>
      </c>
      <c r="L70" s="35">
        <v>0</v>
      </c>
      <c r="M70" s="23">
        <v>33</v>
      </c>
      <c r="N70" s="23">
        <v>33</v>
      </c>
      <c r="O70" s="49">
        <v>0</v>
      </c>
      <c r="P70" s="45" t="s">
        <v>6</v>
      </c>
      <c r="Q70" s="23" t="s">
        <v>81</v>
      </c>
      <c r="R70" s="23" t="s">
        <v>82</v>
      </c>
      <c r="S70" s="22" t="s">
        <v>9</v>
      </c>
    </row>
    <row r="71" spans="1:19" ht="12.75" customHeight="1" x14ac:dyDescent="0.25">
      <c r="A71" s="47" t="s">
        <v>497</v>
      </c>
      <c r="B71" s="23" t="s">
        <v>552</v>
      </c>
      <c r="C71" s="28">
        <v>45570</v>
      </c>
      <c r="D71" s="30" t="s">
        <v>78</v>
      </c>
      <c r="E71" s="28"/>
      <c r="F71" s="28"/>
      <c r="G71" s="28">
        <v>45580</v>
      </c>
      <c r="H71" s="23" t="s">
        <v>499</v>
      </c>
      <c r="I71" s="33" t="s">
        <v>113</v>
      </c>
      <c r="J71" s="23">
        <v>0</v>
      </c>
      <c r="K71" s="23">
        <v>1</v>
      </c>
      <c r="L71" s="35">
        <v>1</v>
      </c>
      <c r="M71" s="23">
        <v>2</v>
      </c>
      <c r="N71" s="23">
        <v>0</v>
      </c>
      <c r="O71" s="49">
        <v>1</v>
      </c>
      <c r="P71" s="45" t="s">
        <v>6</v>
      </c>
      <c r="Q71" s="23" t="s">
        <v>81</v>
      </c>
      <c r="R71" s="23" t="s">
        <v>82</v>
      </c>
      <c r="S71" s="22" t="s">
        <v>9</v>
      </c>
    </row>
    <row r="72" spans="1:19" ht="12.75" customHeight="1" x14ac:dyDescent="0.25">
      <c r="A72" s="47" t="s">
        <v>497</v>
      </c>
      <c r="B72" s="23" t="s">
        <v>553</v>
      </c>
      <c r="C72" s="28">
        <v>45570</v>
      </c>
      <c r="D72" s="30" t="s">
        <v>78</v>
      </c>
      <c r="E72" s="28" t="s">
        <v>544</v>
      </c>
      <c r="F72" s="28" t="s">
        <v>554</v>
      </c>
      <c r="G72" s="28">
        <v>45580</v>
      </c>
      <c r="H72" s="23" t="s">
        <v>499</v>
      </c>
      <c r="I72" s="33" t="s">
        <v>14</v>
      </c>
      <c r="J72" s="23">
        <v>1</v>
      </c>
      <c r="K72" s="23">
        <v>1</v>
      </c>
      <c r="L72" s="35">
        <v>0</v>
      </c>
      <c r="M72" s="23">
        <v>2</v>
      </c>
      <c r="N72" s="23">
        <v>2</v>
      </c>
      <c r="O72" s="49">
        <v>0</v>
      </c>
      <c r="P72" s="45" t="s">
        <v>6</v>
      </c>
      <c r="Q72" s="23" t="s">
        <v>81</v>
      </c>
      <c r="R72" s="23" t="s">
        <v>82</v>
      </c>
      <c r="S72" s="22" t="s">
        <v>9</v>
      </c>
    </row>
    <row r="73" spans="1:19" ht="12.75" customHeight="1" x14ac:dyDescent="0.25">
      <c r="A73" s="47" t="s">
        <v>497</v>
      </c>
      <c r="B73" s="23" t="s">
        <v>555</v>
      </c>
      <c r="C73" s="28">
        <v>45570</v>
      </c>
      <c r="D73" s="30" t="s">
        <v>78</v>
      </c>
      <c r="E73" s="28" t="s">
        <v>87</v>
      </c>
      <c r="F73" s="28" t="s">
        <v>556</v>
      </c>
      <c r="G73" s="28">
        <v>45580</v>
      </c>
      <c r="H73" s="23" t="s">
        <v>499</v>
      </c>
      <c r="I73" s="33" t="s">
        <v>14</v>
      </c>
      <c r="J73" s="23">
        <v>1</v>
      </c>
      <c r="K73" s="23">
        <v>1</v>
      </c>
      <c r="L73" s="35">
        <v>0</v>
      </c>
      <c r="M73" s="23">
        <v>6</v>
      </c>
      <c r="N73" s="23">
        <v>6</v>
      </c>
      <c r="O73" s="49">
        <v>0</v>
      </c>
      <c r="P73" s="45" t="s">
        <v>6</v>
      </c>
      <c r="Q73" s="23" t="s">
        <v>81</v>
      </c>
      <c r="R73" s="23" t="s">
        <v>82</v>
      </c>
      <c r="S73" s="22" t="s">
        <v>9</v>
      </c>
    </row>
    <row r="74" spans="1:19" ht="12.75" customHeight="1" x14ac:dyDescent="0.25">
      <c r="A74" s="47" t="s">
        <v>497</v>
      </c>
      <c r="B74" s="23" t="s">
        <v>557</v>
      </c>
      <c r="C74" s="28">
        <v>45575</v>
      </c>
      <c r="D74" s="30" t="s">
        <v>78</v>
      </c>
      <c r="E74" s="28" t="s">
        <v>79</v>
      </c>
      <c r="F74" s="28" t="s">
        <v>558</v>
      </c>
      <c r="G74" s="28">
        <v>45585</v>
      </c>
      <c r="H74" s="23" t="s">
        <v>499</v>
      </c>
      <c r="I74" s="33" t="s">
        <v>14</v>
      </c>
      <c r="J74" s="23">
        <v>1</v>
      </c>
      <c r="K74" s="23">
        <v>1</v>
      </c>
      <c r="L74" s="35">
        <v>0</v>
      </c>
      <c r="M74" s="23">
        <v>3</v>
      </c>
      <c r="N74" s="23">
        <v>3</v>
      </c>
      <c r="O74" s="49">
        <v>0</v>
      </c>
      <c r="P74" s="45" t="s">
        <v>6</v>
      </c>
      <c r="Q74" s="23" t="s">
        <v>81</v>
      </c>
      <c r="R74" s="23" t="s">
        <v>82</v>
      </c>
      <c r="S74" s="22" t="s">
        <v>9</v>
      </c>
    </row>
    <row r="75" spans="1:19" ht="12.75" customHeight="1" x14ac:dyDescent="0.25">
      <c r="A75" s="47" t="s">
        <v>497</v>
      </c>
      <c r="B75" s="23" t="s">
        <v>559</v>
      </c>
      <c r="C75" s="28">
        <v>45575</v>
      </c>
      <c r="D75" s="30" t="s">
        <v>78</v>
      </c>
      <c r="E75" s="28" t="s">
        <v>84</v>
      </c>
      <c r="F75" s="28" t="s">
        <v>53</v>
      </c>
      <c r="G75" s="28">
        <v>45585</v>
      </c>
      <c r="H75" s="23" t="s">
        <v>499</v>
      </c>
      <c r="I75" s="33" t="s">
        <v>14</v>
      </c>
      <c r="J75" s="23">
        <v>1</v>
      </c>
      <c r="K75" s="23">
        <v>1</v>
      </c>
      <c r="L75" s="35">
        <v>0</v>
      </c>
      <c r="M75" s="23">
        <v>2</v>
      </c>
      <c r="N75" s="23">
        <v>2</v>
      </c>
      <c r="O75" s="49">
        <v>0</v>
      </c>
      <c r="P75" s="45" t="s">
        <v>6</v>
      </c>
      <c r="Q75" s="23" t="s">
        <v>81</v>
      </c>
      <c r="R75" s="23" t="s">
        <v>82</v>
      </c>
      <c r="S75" s="22" t="s">
        <v>9</v>
      </c>
    </row>
    <row r="76" spans="1:19" ht="12.75" customHeight="1" x14ac:dyDescent="0.25">
      <c r="A76" s="47" t="s">
        <v>497</v>
      </c>
      <c r="B76" s="23" t="s">
        <v>560</v>
      </c>
      <c r="C76" s="28">
        <v>45575</v>
      </c>
      <c r="D76" s="30" t="s">
        <v>78</v>
      </c>
      <c r="E76" s="28" t="s">
        <v>84</v>
      </c>
      <c r="F76" s="28" t="s">
        <v>76</v>
      </c>
      <c r="G76" s="28">
        <v>45585</v>
      </c>
      <c r="H76" s="23" t="s">
        <v>499</v>
      </c>
      <c r="I76" s="33" t="s">
        <v>14</v>
      </c>
      <c r="J76" s="23">
        <v>1</v>
      </c>
      <c r="K76" s="23">
        <v>1</v>
      </c>
      <c r="L76" s="35">
        <v>0</v>
      </c>
      <c r="M76" s="23">
        <v>2</v>
      </c>
      <c r="N76" s="23">
        <v>2</v>
      </c>
      <c r="O76" s="49">
        <v>0</v>
      </c>
      <c r="P76" s="45" t="s">
        <v>6</v>
      </c>
      <c r="Q76" s="23" t="s">
        <v>81</v>
      </c>
      <c r="R76" s="23" t="s">
        <v>82</v>
      </c>
      <c r="S76" s="22" t="s">
        <v>9</v>
      </c>
    </row>
    <row r="77" spans="1:19" ht="12.75" customHeight="1" x14ac:dyDescent="0.25">
      <c r="A77" s="47" t="s">
        <v>497</v>
      </c>
      <c r="B77" s="23" t="s">
        <v>561</v>
      </c>
      <c r="C77" s="28">
        <v>45575</v>
      </c>
      <c r="D77" s="30" t="s">
        <v>78</v>
      </c>
      <c r="E77" s="28" t="s">
        <v>544</v>
      </c>
      <c r="F77" s="28" t="s">
        <v>549</v>
      </c>
      <c r="G77" s="28">
        <v>45585</v>
      </c>
      <c r="H77" s="23" t="s">
        <v>499</v>
      </c>
      <c r="I77" s="33" t="s">
        <v>14</v>
      </c>
      <c r="J77" s="23">
        <v>1</v>
      </c>
      <c r="K77" s="23">
        <v>1</v>
      </c>
      <c r="L77" s="35">
        <v>0</v>
      </c>
      <c r="M77" s="23">
        <v>3</v>
      </c>
      <c r="N77" s="23">
        <v>3</v>
      </c>
      <c r="O77" s="49">
        <v>0</v>
      </c>
      <c r="P77" s="45" t="s">
        <v>6</v>
      </c>
      <c r="Q77" s="23" t="s">
        <v>81</v>
      </c>
      <c r="R77" s="23" t="s">
        <v>82</v>
      </c>
      <c r="S77" s="22" t="s">
        <v>9</v>
      </c>
    </row>
    <row r="78" spans="1:19" ht="12.75" customHeight="1" x14ac:dyDescent="0.25">
      <c r="A78" s="47" t="s">
        <v>497</v>
      </c>
      <c r="B78" s="23" t="s">
        <v>562</v>
      </c>
      <c r="C78" s="28">
        <v>45576</v>
      </c>
      <c r="D78" s="30" t="s">
        <v>78</v>
      </c>
      <c r="E78" s="28" t="s">
        <v>563</v>
      </c>
      <c r="F78" s="28" t="s">
        <v>558</v>
      </c>
      <c r="G78" s="28">
        <v>45586</v>
      </c>
      <c r="H78" s="23" t="s">
        <v>499</v>
      </c>
      <c r="I78" s="33" t="s">
        <v>14</v>
      </c>
      <c r="J78" s="23">
        <v>1</v>
      </c>
      <c r="K78" s="23">
        <v>1</v>
      </c>
      <c r="L78" s="35">
        <v>0</v>
      </c>
      <c r="M78" s="23">
        <v>3</v>
      </c>
      <c r="N78" s="23">
        <v>3</v>
      </c>
      <c r="O78" s="49">
        <v>0</v>
      </c>
      <c r="P78" s="45" t="s">
        <v>6</v>
      </c>
      <c r="Q78" s="23" t="s">
        <v>81</v>
      </c>
      <c r="R78" s="23" t="s">
        <v>82</v>
      </c>
      <c r="S78" s="22" t="s">
        <v>9</v>
      </c>
    </row>
    <row r="79" spans="1:19" ht="12.75" customHeight="1" x14ac:dyDescent="0.25">
      <c r="A79" s="47" t="s">
        <v>497</v>
      </c>
      <c r="B79" s="23" t="s">
        <v>564</v>
      </c>
      <c r="C79" s="28">
        <v>45578</v>
      </c>
      <c r="D79" s="30" t="s">
        <v>78</v>
      </c>
      <c r="E79" s="28" t="s">
        <v>544</v>
      </c>
      <c r="F79" s="28" t="s">
        <v>556</v>
      </c>
      <c r="G79" s="28">
        <v>45588</v>
      </c>
      <c r="H79" s="23" t="s">
        <v>499</v>
      </c>
      <c r="I79" s="33"/>
      <c r="J79" s="23">
        <v>0</v>
      </c>
      <c r="K79" s="23">
        <v>1</v>
      </c>
      <c r="L79" s="35">
        <v>1</v>
      </c>
      <c r="M79" s="23">
        <v>8</v>
      </c>
      <c r="N79" s="23">
        <v>0</v>
      </c>
      <c r="O79" s="49">
        <v>1</v>
      </c>
      <c r="P79" s="45" t="s">
        <v>6</v>
      </c>
      <c r="Q79" s="23" t="s">
        <v>81</v>
      </c>
      <c r="R79" s="23" t="s">
        <v>82</v>
      </c>
      <c r="S79" s="22" t="s">
        <v>9</v>
      </c>
    </row>
    <row r="80" spans="1:19" ht="12.75" customHeight="1" x14ac:dyDescent="0.25">
      <c r="A80" s="47" t="s">
        <v>497</v>
      </c>
      <c r="B80" s="23" t="s">
        <v>555</v>
      </c>
      <c r="C80" s="28">
        <v>45578</v>
      </c>
      <c r="D80" s="30" t="s">
        <v>78</v>
      </c>
      <c r="E80" s="28" t="s">
        <v>87</v>
      </c>
      <c r="F80" s="28" t="s">
        <v>556</v>
      </c>
      <c r="G80" s="28">
        <v>45588</v>
      </c>
      <c r="H80" s="23" t="s">
        <v>499</v>
      </c>
      <c r="I80" s="33"/>
      <c r="J80" s="23">
        <v>0</v>
      </c>
      <c r="K80" s="23">
        <v>1</v>
      </c>
      <c r="L80" s="35">
        <v>1</v>
      </c>
      <c r="M80" s="23">
        <v>22</v>
      </c>
      <c r="N80" s="23">
        <v>0</v>
      </c>
      <c r="O80" s="49">
        <v>1</v>
      </c>
      <c r="P80" s="45" t="s">
        <v>6</v>
      </c>
      <c r="Q80" s="23" t="s">
        <v>81</v>
      </c>
      <c r="R80" s="23" t="s">
        <v>82</v>
      </c>
      <c r="S80" s="22" t="s">
        <v>9</v>
      </c>
    </row>
    <row r="81" spans="1:19" ht="12.75" customHeight="1" x14ac:dyDescent="0.25">
      <c r="A81" s="47" t="s">
        <v>497</v>
      </c>
      <c r="B81" s="23" t="s">
        <v>565</v>
      </c>
      <c r="C81" s="28">
        <v>45578</v>
      </c>
      <c r="D81" s="30" t="s">
        <v>78</v>
      </c>
      <c r="E81" s="28" t="s">
        <v>76</v>
      </c>
      <c r="F81" s="28" t="s">
        <v>558</v>
      </c>
      <c r="G81" s="28">
        <v>45588</v>
      </c>
      <c r="H81" s="23" t="s">
        <v>499</v>
      </c>
      <c r="I81" s="33" t="s">
        <v>14</v>
      </c>
      <c r="J81" s="23">
        <v>1</v>
      </c>
      <c r="K81" s="23">
        <v>1</v>
      </c>
      <c r="L81" s="35">
        <v>0</v>
      </c>
      <c r="M81" s="23">
        <v>1</v>
      </c>
      <c r="N81" s="23">
        <v>1</v>
      </c>
      <c r="O81" s="49">
        <v>0</v>
      </c>
      <c r="P81" s="45" t="s">
        <v>6</v>
      </c>
      <c r="Q81" s="23" t="s">
        <v>81</v>
      </c>
      <c r="R81" s="23" t="s">
        <v>82</v>
      </c>
      <c r="S81" s="22" t="s">
        <v>9</v>
      </c>
    </row>
    <row r="82" spans="1:19" ht="12.75" customHeight="1" x14ac:dyDescent="0.25">
      <c r="A82" s="47" t="s">
        <v>497</v>
      </c>
      <c r="B82" s="23" t="s">
        <v>566</v>
      </c>
      <c r="C82" s="28">
        <v>45578</v>
      </c>
      <c r="D82" s="30" t="s">
        <v>78</v>
      </c>
      <c r="E82" s="28" t="s">
        <v>84</v>
      </c>
      <c r="F82" s="28" t="s">
        <v>99</v>
      </c>
      <c r="G82" s="28">
        <v>45588</v>
      </c>
      <c r="H82" s="23" t="s">
        <v>499</v>
      </c>
      <c r="I82" s="33" t="s">
        <v>14</v>
      </c>
      <c r="J82" s="23">
        <v>1</v>
      </c>
      <c r="K82" s="23">
        <v>1</v>
      </c>
      <c r="L82" s="35">
        <v>0</v>
      </c>
      <c r="M82" s="23">
        <v>6</v>
      </c>
      <c r="N82" s="23">
        <v>6</v>
      </c>
      <c r="O82" s="49">
        <v>0</v>
      </c>
      <c r="P82" s="45" t="s">
        <v>6</v>
      </c>
      <c r="Q82" s="23" t="s">
        <v>81</v>
      </c>
      <c r="R82" s="23" t="s">
        <v>82</v>
      </c>
      <c r="S82" s="22" t="s">
        <v>9</v>
      </c>
    </row>
    <row r="83" spans="1:19" ht="12.75" customHeight="1" x14ac:dyDescent="0.25">
      <c r="A83" s="47" t="s">
        <v>497</v>
      </c>
      <c r="B83" s="23" t="s">
        <v>567</v>
      </c>
      <c r="C83" s="28">
        <v>45584</v>
      </c>
      <c r="D83" s="30" t="s">
        <v>78</v>
      </c>
      <c r="E83" s="28" t="s">
        <v>568</v>
      </c>
      <c r="F83" s="28" t="s">
        <v>563</v>
      </c>
      <c r="G83" s="28">
        <v>45594</v>
      </c>
      <c r="H83" s="23" t="s">
        <v>499</v>
      </c>
      <c r="I83" s="33" t="s">
        <v>14</v>
      </c>
      <c r="J83" s="23">
        <v>1</v>
      </c>
      <c r="K83" s="23">
        <v>1</v>
      </c>
      <c r="L83" s="35">
        <v>0</v>
      </c>
      <c r="M83" s="23">
        <v>2</v>
      </c>
      <c r="N83" s="23">
        <v>2</v>
      </c>
      <c r="O83" s="49">
        <v>0</v>
      </c>
      <c r="P83" s="45" t="s">
        <v>6</v>
      </c>
      <c r="Q83" s="23" t="s">
        <v>81</v>
      </c>
      <c r="R83" s="23" t="s">
        <v>82</v>
      </c>
      <c r="S83" s="22" t="s">
        <v>9</v>
      </c>
    </row>
    <row r="84" spans="1:19" ht="12.75" customHeight="1" x14ac:dyDescent="0.25">
      <c r="A84" s="47" t="s">
        <v>497</v>
      </c>
      <c r="B84" s="23" t="s">
        <v>569</v>
      </c>
      <c r="C84" s="28">
        <v>45588</v>
      </c>
      <c r="D84" s="30" t="s">
        <v>78</v>
      </c>
      <c r="E84" s="28" t="s">
        <v>570</v>
      </c>
      <c r="F84" s="28" t="s">
        <v>571</v>
      </c>
      <c r="G84" s="28">
        <v>45598</v>
      </c>
      <c r="H84" s="23" t="s">
        <v>499</v>
      </c>
      <c r="I84" s="33" t="s">
        <v>14</v>
      </c>
      <c r="J84" s="23">
        <v>1</v>
      </c>
      <c r="K84" s="23">
        <v>1</v>
      </c>
      <c r="L84" s="35">
        <v>0</v>
      </c>
      <c r="M84" s="23">
        <v>2</v>
      </c>
      <c r="N84" s="23">
        <v>2</v>
      </c>
      <c r="O84" s="49">
        <v>0</v>
      </c>
      <c r="P84" s="45" t="s">
        <v>6</v>
      </c>
      <c r="Q84" s="23" t="s">
        <v>81</v>
      </c>
      <c r="R84" s="23" t="s">
        <v>82</v>
      </c>
      <c r="S84" s="22" t="s">
        <v>9</v>
      </c>
    </row>
    <row r="85" spans="1:19" ht="12.75" customHeight="1" thickBot="1" x14ac:dyDescent="0.3">
      <c r="A85" s="51" t="s">
        <v>497</v>
      </c>
      <c r="B85" s="20" t="s">
        <v>572</v>
      </c>
      <c r="C85" s="25">
        <v>45592</v>
      </c>
      <c r="D85" s="27" t="s">
        <v>78</v>
      </c>
      <c r="E85" s="25" t="s">
        <v>95</v>
      </c>
      <c r="F85" s="25" t="s">
        <v>563</v>
      </c>
      <c r="G85" s="25">
        <v>45602</v>
      </c>
      <c r="H85" s="20" t="s">
        <v>499</v>
      </c>
      <c r="I85" s="32" t="s">
        <v>14</v>
      </c>
      <c r="J85" s="20">
        <v>1</v>
      </c>
      <c r="K85" s="20">
        <v>1</v>
      </c>
      <c r="L85" s="34">
        <v>0</v>
      </c>
      <c r="M85" s="20">
        <v>1</v>
      </c>
      <c r="N85" s="20">
        <v>1</v>
      </c>
      <c r="O85" s="54">
        <v>0</v>
      </c>
      <c r="P85" s="45" t="s">
        <v>6</v>
      </c>
      <c r="Q85" s="23" t="s">
        <v>81</v>
      </c>
      <c r="R85" s="23" t="s">
        <v>82</v>
      </c>
      <c r="S85" s="22" t="s">
        <v>9</v>
      </c>
    </row>
    <row r="86" spans="1:19" ht="17.25" customHeight="1" x14ac:dyDescent="0.25">
      <c r="A86" s="60"/>
      <c r="B86" s="50"/>
      <c r="C86" s="55"/>
      <c r="D86" s="56"/>
      <c r="E86" s="56"/>
      <c r="F86" s="57"/>
      <c r="G86" s="57"/>
      <c r="H86" s="57"/>
      <c r="I86" s="58" t="s">
        <v>1087</v>
      </c>
      <c r="J86" s="57">
        <f>SUM(J68:J85)</f>
        <v>15</v>
      </c>
      <c r="K86" s="57">
        <f>SUM(K68:K85)</f>
        <v>18</v>
      </c>
      <c r="L86" s="59">
        <f>(SUM(K68:K85) - SUM(J68:J85)) / SUM(K68:K85)</f>
        <v>0.16666666666666666</v>
      </c>
      <c r="M86" s="57">
        <f>SUM(M68:M85)</f>
        <v>102</v>
      </c>
      <c r="N86" s="56">
        <f>SUM(N68:N85)</f>
        <v>70</v>
      </c>
      <c r="O86" s="61">
        <f>(SUM(M68:M85) - SUM(N68:N85)) / SUM(M68:M85)</f>
        <v>0.31372549019607843</v>
      </c>
      <c r="P86" s="52"/>
      <c r="Q86" s="53"/>
      <c r="R86" s="52"/>
      <c r="S86" s="52"/>
    </row>
    <row r="87" spans="1:19" x14ac:dyDescent="0.25">
      <c r="A87" s="125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2"/>
      <c r="M87" s="121"/>
      <c r="N87" s="121"/>
      <c r="O87" s="127"/>
      <c r="P87" s="120"/>
      <c r="Q87" s="120"/>
      <c r="R87" s="120"/>
      <c r="S87" s="120"/>
    </row>
    <row r="88" spans="1:19" ht="15.75" thickBot="1" x14ac:dyDescent="0.3">
      <c r="A88" s="126"/>
      <c r="B88" s="123"/>
      <c r="C88" s="124"/>
      <c r="D88" s="123"/>
      <c r="E88" s="123"/>
      <c r="F88" s="123"/>
      <c r="G88" s="124"/>
      <c r="H88" s="123"/>
      <c r="I88" s="123"/>
      <c r="J88" s="123"/>
      <c r="K88" s="123"/>
      <c r="L88" s="123"/>
      <c r="M88" s="123"/>
      <c r="N88" s="123"/>
      <c r="O88" s="128"/>
      <c r="P88" s="98"/>
      <c r="Q88" s="98"/>
      <c r="R88" s="98"/>
      <c r="S88" s="98"/>
    </row>
    <row r="89" spans="1:19" ht="15.75" thickBot="1" x14ac:dyDescent="0.3">
      <c r="C89" s="1"/>
      <c r="G89" s="1"/>
    </row>
    <row r="90" spans="1:19" x14ac:dyDescent="0.25">
      <c r="A90" s="9"/>
      <c r="B90" s="10"/>
      <c r="C90" s="11"/>
      <c r="D90" s="11"/>
      <c r="E90" s="11"/>
      <c r="F90" s="11"/>
      <c r="G90" s="11"/>
      <c r="H90" s="12"/>
      <c r="I90" s="11"/>
      <c r="J90" s="13"/>
      <c r="K90" s="13"/>
      <c r="L90" s="13"/>
      <c r="M90" s="13"/>
      <c r="N90" s="11"/>
      <c r="O90" s="14"/>
      <c r="P90" s="4"/>
      <c r="Q90" s="5"/>
      <c r="R90" s="4"/>
      <c r="S90" s="4"/>
    </row>
    <row r="91" spans="1:19" x14ac:dyDescent="0.25">
      <c r="A91" s="6" t="s">
        <v>1094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15"/>
      <c r="P91" s="3"/>
      <c r="Q91" s="3"/>
      <c r="R91" s="3"/>
      <c r="S91" s="3"/>
    </row>
    <row r="92" spans="1:19" x14ac:dyDescent="0.25">
      <c r="A92" s="7" t="s">
        <v>107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15"/>
      <c r="P92" s="3"/>
      <c r="Q92" s="3"/>
      <c r="R92" s="3"/>
      <c r="S92" s="3"/>
    </row>
    <row r="93" spans="1:19" ht="15.75" thickBot="1" x14ac:dyDescent="0.3">
      <c r="A93" s="8"/>
      <c r="B93" s="8"/>
      <c r="C93" s="74"/>
      <c r="D93" s="8"/>
      <c r="E93" s="8"/>
      <c r="F93" s="8"/>
      <c r="G93" s="74"/>
      <c r="H93" s="8"/>
      <c r="I93" s="8"/>
      <c r="J93" s="8"/>
      <c r="K93" s="8"/>
      <c r="L93" s="8"/>
      <c r="M93" s="8"/>
      <c r="N93" s="8"/>
      <c r="O93" s="16"/>
      <c r="P93" s="3"/>
      <c r="Q93" s="3"/>
      <c r="R93" s="3"/>
      <c r="S93" s="3"/>
    </row>
    <row r="94" spans="1:19" ht="17.25" customHeight="1" thickBot="1" x14ac:dyDescent="0.3">
      <c r="A94" s="19" t="s">
        <v>1068</v>
      </c>
      <c r="B94" s="24" t="s">
        <v>1069</v>
      </c>
      <c r="C94" s="26" t="s">
        <v>1070</v>
      </c>
      <c r="D94" s="29" t="s">
        <v>1071</v>
      </c>
      <c r="E94" s="26" t="s">
        <v>1072</v>
      </c>
      <c r="F94" s="31" t="s">
        <v>1073</v>
      </c>
      <c r="G94" s="31" t="s">
        <v>1074</v>
      </c>
      <c r="H94" s="31" t="s">
        <v>1075</v>
      </c>
      <c r="I94" s="29" t="s">
        <v>14</v>
      </c>
      <c r="J94" s="29" t="s">
        <v>1076</v>
      </c>
      <c r="K94" s="29" t="s">
        <v>1077</v>
      </c>
      <c r="L94" s="29" t="s">
        <v>1078</v>
      </c>
      <c r="M94" s="29" t="s">
        <v>1079</v>
      </c>
      <c r="N94" s="29" t="s">
        <v>1080</v>
      </c>
      <c r="O94" s="36" t="s">
        <v>1081</v>
      </c>
      <c r="P94" s="37" t="s">
        <v>1082</v>
      </c>
      <c r="Q94" s="38" t="s">
        <v>1083</v>
      </c>
      <c r="R94" s="38" t="s">
        <v>1084</v>
      </c>
      <c r="S94" s="39" t="s">
        <v>1085</v>
      </c>
    </row>
    <row r="95" spans="1:19" ht="12.75" customHeight="1" x14ac:dyDescent="0.25">
      <c r="A95" s="46" t="s">
        <v>497</v>
      </c>
      <c r="B95" s="40" t="s">
        <v>573</v>
      </c>
      <c r="C95" s="41">
        <v>45606</v>
      </c>
      <c r="D95" s="42" t="s">
        <v>105</v>
      </c>
      <c r="E95" s="41" t="s">
        <v>574</v>
      </c>
      <c r="F95" s="41" t="s">
        <v>575</v>
      </c>
      <c r="G95" s="41">
        <v>45616</v>
      </c>
      <c r="H95" s="40" t="s">
        <v>499</v>
      </c>
      <c r="I95" s="43" t="s">
        <v>14</v>
      </c>
      <c r="J95" s="40">
        <v>1</v>
      </c>
      <c r="K95" s="40">
        <v>1</v>
      </c>
      <c r="L95" s="44">
        <v>0</v>
      </c>
      <c r="M95" s="40">
        <v>2</v>
      </c>
      <c r="N95" s="40">
        <v>2</v>
      </c>
      <c r="O95" s="48">
        <v>0</v>
      </c>
      <c r="P95" s="45" t="s">
        <v>6</v>
      </c>
      <c r="Q95" s="23" t="s">
        <v>107</v>
      </c>
      <c r="R95" s="23" t="s">
        <v>108</v>
      </c>
      <c r="S95" s="22" t="s">
        <v>9</v>
      </c>
    </row>
    <row r="96" spans="1:19" ht="12.75" customHeight="1" x14ac:dyDescent="0.25">
      <c r="A96" s="47" t="s">
        <v>497</v>
      </c>
      <c r="B96" s="23" t="s">
        <v>576</v>
      </c>
      <c r="C96" s="28">
        <v>45606</v>
      </c>
      <c r="D96" s="30" t="s">
        <v>105</v>
      </c>
      <c r="E96" s="28" t="s">
        <v>551</v>
      </c>
      <c r="F96" s="28" t="s">
        <v>127</v>
      </c>
      <c r="G96" s="28">
        <v>45616</v>
      </c>
      <c r="H96" s="23" t="s">
        <v>499</v>
      </c>
      <c r="I96" s="33" t="s">
        <v>14</v>
      </c>
      <c r="J96" s="23">
        <v>1</v>
      </c>
      <c r="K96" s="23">
        <v>1</v>
      </c>
      <c r="L96" s="35">
        <v>0</v>
      </c>
      <c r="M96" s="23">
        <v>1</v>
      </c>
      <c r="N96" s="23">
        <v>1</v>
      </c>
      <c r="O96" s="49">
        <v>0</v>
      </c>
      <c r="P96" s="45" t="s">
        <v>6</v>
      </c>
      <c r="Q96" s="23" t="s">
        <v>107</v>
      </c>
      <c r="R96" s="23" t="s">
        <v>108</v>
      </c>
      <c r="S96" s="22" t="s">
        <v>9</v>
      </c>
    </row>
    <row r="97" spans="1:19" ht="12.75" customHeight="1" x14ac:dyDescent="0.25">
      <c r="A97" s="47" t="s">
        <v>497</v>
      </c>
      <c r="B97" s="23" t="s">
        <v>577</v>
      </c>
      <c r="C97" s="28">
        <v>45606</v>
      </c>
      <c r="D97" s="30" t="s">
        <v>105</v>
      </c>
      <c r="E97" s="28" t="s">
        <v>578</v>
      </c>
      <c r="F97" s="28" t="s">
        <v>579</v>
      </c>
      <c r="G97" s="28">
        <v>45616</v>
      </c>
      <c r="H97" s="23" t="s">
        <v>499</v>
      </c>
      <c r="I97" s="33" t="s">
        <v>14</v>
      </c>
      <c r="J97" s="23">
        <v>1</v>
      </c>
      <c r="K97" s="23">
        <v>1</v>
      </c>
      <c r="L97" s="35">
        <v>0</v>
      </c>
      <c r="M97" s="23">
        <v>3</v>
      </c>
      <c r="N97" s="23">
        <v>3</v>
      </c>
      <c r="O97" s="49">
        <v>0</v>
      </c>
      <c r="P97" s="45" t="s">
        <v>6</v>
      </c>
      <c r="Q97" s="23" t="s">
        <v>107</v>
      </c>
      <c r="R97" s="23" t="s">
        <v>108</v>
      </c>
      <c r="S97" s="22" t="s">
        <v>9</v>
      </c>
    </row>
    <row r="98" spans="1:19" ht="12.75" customHeight="1" x14ac:dyDescent="0.25">
      <c r="A98" s="47" t="s">
        <v>497</v>
      </c>
      <c r="B98" s="23" t="s">
        <v>580</v>
      </c>
      <c r="C98" s="28">
        <v>45606</v>
      </c>
      <c r="D98" s="30" t="s">
        <v>105</v>
      </c>
      <c r="E98" s="28" t="s">
        <v>574</v>
      </c>
      <c r="F98" s="28" t="s">
        <v>140</v>
      </c>
      <c r="G98" s="28">
        <v>45616</v>
      </c>
      <c r="H98" s="23" t="s">
        <v>499</v>
      </c>
      <c r="I98" s="33" t="s">
        <v>14</v>
      </c>
      <c r="J98" s="23">
        <v>1</v>
      </c>
      <c r="K98" s="23">
        <v>1</v>
      </c>
      <c r="L98" s="35">
        <v>0</v>
      </c>
      <c r="M98" s="23">
        <v>2</v>
      </c>
      <c r="N98" s="23">
        <v>2</v>
      </c>
      <c r="O98" s="49">
        <v>0</v>
      </c>
      <c r="P98" s="45" t="s">
        <v>6</v>
      </c>
      <c r="Q98" s="23" t="s">
        <v>107</v>
      </c>
      <c r="R98" s="23" t="s">
        <v>108</v>
      </c>
      <c r="S98" s="22" t="s">
        <v>9</v>
      </c>
    </row>
    <row r="99" spans="1:19" ht="12.75" customHeight="1" x14ac:dyDescent="0.25">
      <c r="A99" s="47" t="s">
        <v>497</v>
      </c>
      <c r="B99" s="23" t="s">
        <v>581</v>
      </c>
      <c r="C99" s="28">
        <v>45606</v>
      </c>
      <c r="D99" s="30" t="s">
        <v>105</v>
      </c>
      <c r="E99" s="28" t="s">
        <v>574</v>
      </c>
      <c r="F99" s="28" t="s">
        <v>582</v>
      </c>
      <c r="G99" s="28">
        <v>45616</v>
      </c>
      <c r="H99" s="23" t="s">
        <v>499</v>
      </c>
      <c r="I99" s="33" t="s">
        <v>14</v>
      </c>
      <c r="J99" s="23">
        <v>1</v>
      </c>
      <c r="K99" s="23">
        <v>1</v>
      </c>
      <c r="L99" s="35">
        <v>0</v>
      </c>
      <c r="M99" s="23">
        <v>1</v>
      </c>
      <c r="N99" s="23">
        <v>1</v>
      </c>
      <c r="O99" s="49">
        <v>0</v>
      </c>
      <c r="P99" s="45" t="s">
        <v>6</v>
      </c>
      <c r="Q99" s="23" t="s">
        <v>107</v>
      </c>
      <c r="R99" s="23" t="s">
        <v>108</v>
      </c>
      <c r="S99" s="22" t="s">
        <v>9</v>
      </c>
    </row>
    <row r="100" spans="1:19" ht="12.75" customHeight="1" x14ac:dyDescent="0.25">
      <c r="A100" s="47" t="s">
        <v>497</v>
      </c>
      <c r="B100" s="23" t="s">
        <v>583</v>
      </c>
      <c r="C100" s="28">
        <v>45609</v>
      </c>
      <c r="D100" s="30" t="s">
        <v>105</v>
      </c>
      <c r="E100" s="28" t="s">
        <v>551</v>
      </c>
      <c r="F100" s="28" t="s">
        <v>127</v>
      </c>
      <c r="G100" s="28">
        <v>45619</v>
      </c>
      <c r="H100" s="23" t="s">
        <v>499</v>
      </c>
      <c r="I100" s="33" t="s">
        <v>14</v>
      </c>
      <c r="J100" s="23">
        <v>1</v>
      </c>
      <c r="K100" s="23">
        <v>1</v>
      </c>
      <c r="L100" s="35">
        <v>0</v>
      </c>
      <c r="M100" s="23">
        <v>3</v>
      </c>
      <c r="N100" s="23">
        <v>3</v>
      </c>
      <c r="O100" s="49">
        <v>0</v>
      </c>
      <c r="P100" s="45" t="s">
        <v>6</v>
      </c>
      <c r="Q100" s="23" t="s">
        <v>107</v>
      </c>
      <c r="R100" s="23" t="s">
        <v>108</v>
      </c>
      <c r="S100" s="22" t="s">
        <v>9</v>
      </c>
    </row>
    <row r="101" spans="1:19" ht="12.75" customHeight="1" x14ac:dyDescent="0.25">
      <c r="A101" s="47" t="s">
        <v>497</v>
      </c>
      <c r="B101" s="23" t="s">
        <v>584</v>
      </c>
      <c r="C101" s="28">
        <v>45613</v>
      </c>
      <c r="D101" s="30" t="s">
        <v>105</v>
      </c>
      <c r="E101" s="28" t="s">
        <v>551</v>
      </c>
      <c r="F101" s="28" t="s">
        <v>125</v>
      </c>
      <c r="G101" s="28">
        <v>45623</v>
      </c>
      <c r="H101" s="23" t="s">
        <v>499</v>
      </c>
      <c r="I101" s="33" t="s">
        <v>14</v>
      </c>
      <c r="J101" s="23">
        <v>1</v>
      </c>
      <c r="K101" s="23">
        <v>1</v>
      </c>
      <c r="L101" s="35">
        <v>0</v>
      </c>
      <c r="M101" s="23">
        <v>3</v>
      </c>
      <c r="N101" s="23">
        <v>3</v>
      </c>
      <c r="O101" s="49">
        <v>0</v>
      </c>
      <c r="P101" s="45" t="s">
        <v>6</v>
      </c>
      <c r="Q101" s="23" t="s">
        <v>107</v>
      </c>
      <c r="R101" s="23" t="s">
        <v>108</v>
      </c>
      <c r="S101" s="22" t="s">
        <v>9</v>
      </c>
    </row>
    <row r="102" spans="1:19" ht="12.75" customHeight="1" x14ac:dyDescent="0.25">
      <c r="A102" s="47" t="s">
        <v>497</v>
      </c>
      <c r="B102" s="23" t="s">
        <v>585</v>
      </c>
      <c r="C102" s="28">
        <v>45614</v>
      </c>
      <c r="D102" s="30" t="s">
        <v>105</v>
      </c>
      <c r="E102" s="28" t="s">
        <v>551</v>
      </c>
      <c r="F102" s="28" t="s">
        <v>125</v>
      </c>
      <c r="G102" s="28">
        <v>45624</v>
      </c>
      <c r="H102" s="23" t="s">
        <v>499</v>
      </c>
      <c r="I102" s="33" t="s">
        <v>14</v>
      </c>
      <c r="J102" s="23">
        <v>1</v>
      </c>
      <c r="K102" s="23">
        <v>1</v>
      </c>
      <c r="L102" s="35">
        <v>0</v>
      </c>
      <c r="M102" s="23">
        <v>2</v>
      </c>
      <c r="N102" s="23">
        <v>2</v>
      </c>
      <c r="O102" s="49">
        <v>0</v>
      </c>
      <c r="P102" s="45" t="s">
        <v>6</v>
      </c>
      <c r="Q102" s="23" t="s">
        <v>107</v>
      </c>
      <c r="R102" s="23" t="s">
        <v>108</v>
      </c>
      <c r="S102" s="22" t="s">
        <v>9</v>
      </c>
    </row>
    <row r="103" spans="1:19" ht="12.75" customHeight="1" x14ac:dyDescent="0.25">
      <c r="A103" s="47" t="s">
        <v>497</v>
      </c>
      <c r="B103" s="23" t="s">
        <v>586</v>
      </c>
      <c r="C103" s="28">
        <v>45616</v>
      </c>
      <c r="D103" s="30" t="s">
        <v>105</v>
      </c>
      <c r="E103" s="28" t="s">
        <v>574</v>
      </c>
      <c r="F103" s="28" t="s">
        <v>110</v>
      </c>
      <c r="G103" s="28">
        <v>45626</v>
      </c>
      <c r="H103" s="23" t="s">
        <v>499</v>
      </c>
      <c r="I103" s="33" t="s">
        <v>14</v>
      </c>
      <c r="J103" s="23">
        <v>1</v>
      </c>
      <c r="K103" s="23">
        <v>1</v>
      </c>
      <c r="L103" s="35">
        <v>0</v>
      </c>
      <c r="M103" s="23">
        <v>4</v>
      </c>
      <c r="N103" s="23">
        <v>4</v>
      </c>
      <c r="O103" s="49">
        <v>0</v>
      </c>
      <c r="P103" s="45" t="s">
        <v>6</v>
      </c>
      <c r="Q103" s="23" t="s">
        <v>107</v>
      </c>
      <c r="R103" s="23" t="s">
        <v>108</v>
      </c>
      <c r="S103" s="22" t="s">
        <v>9</v>
      </c>
    </row>
    <row r="104" spans="1:19" ht="12.75" customHeight="1" x14ac:dyDescent="0.25">
      <c r="A104" s="47" t="s">
        <v>497</v>
      </c>
      <c r="B104" s="23" t="s">
        <v>587</v>
      </c>
      <c r="C104" s="28">
        <v>45616</v>
      </c>
      <c r="D104" s="30" t="s">
        <v>105</v>
      </c>
      <c r="E104" s="28" t="s">
        <v>578</v>
      </c>
      <c r="F104" s="28" t="s">
        <v>575</v>
      </c>
      <c r="G104" s="28">
        <v>45626</v>
      </c>
      <c r="H104" s="23" t="s">
        <v>499</v>
      </c>
      <c r="I104" s="33"/>
      <c r="J104" s="23">
        <v>0</v>
      </c>
      <c r="K104" s="23">
        <v>1</v>
      </c>
      <c r="L104" s="35">
        <v>1</v>
      </c>
      <c r="M104" s="23">
        <v>1</v>
      </c>
      <c r="N104" s="23">
        <v>0</v>
      </c>
      <c r="O104" s="49">
        <v>1</v>
      </c>
      <c r="P104" s="45" t="s">
        <v>6</v>
      </c>
      <c r="Q104" s="23" t="s">
        <v>107</v>
      </c>
      <c r="R104" s="23" t="s">
        <v>108</v>
      </c>
      <c r="S104" s="22" t="s">
        <v>9</v>
      </c>
    </row>
    <row r="105" spans="1:19" ht="12.75" customHeight="1" x14ac:dyDescent="0.25">
      <c r="A105" s="47" t="s">
        <v>497</v>
      </c>
      <c r="B105" s="23" t="s">
        <v>588</v>
      </c>
      <c r="C105" s="28">
        <v>45616</v>
      </c>
      <c r="D105" s="30" t="s">
        <v>105</v>
      </c>
      <c r="E105" s="28" t="s">
        <v>551</v>
      </c>
      <c r="F105" s="28" t="s">
        <v>575</v>
      </c>
      <c r="G105" s="28">
        <v>45626</v>
      </c>
      <c r="H105" s="23" t="s">
        <v>499</v>
      </c>
      <c r="I105" s="33" t="s">
        <v>14</v>
      </c>
      <c r="J105" s="23">
        <v>1</v>
      </c>
      <c r="K105" s="23">
        <v>1</v>
      </c>
      <c r="L105" s="35">
        <v>0</v>
      </c>
      <c r="M105" s="23">
        <v>6</v>
      </c>
      <c r="N105" s="23">
        <v>6</v>
      </c>
      <c r="O105" s="49">
        <v>0</v>
      </c>
      <c r="P105" s="45" t="s">
        <v>6</v>
      </c>
      <c r="Q105" s="23" t="s">
        <v>107</v>
      </c>
      <c r="R105" s="23" t="s">
        <v>108</v>
      </c>
      <c r="S105" s="22" t="s">
        <v>9</v>
      </c>
    </row>
    <row r="106" spans="1:19" ht="12.75" customHeight="1" x14ac:dyDescent="0.25">
      <c r="A106" s="47" t="s">
        <v>497</v>
      </c>
      <c r="B106" s="23" t="s">
        <v>589</v>
      </c>
      <c r="C106" s="28">
        <v>45621</v>
      </c>
      <c r="D106" s="30" t="s">
        <v>105</v>
      </c>
      <c r="E106" s="28"/>
      <c r="F106" s="28"/>
      <c r="G106" s="28">
        <v>45631</v>
      </c>
      <c r="H106" s="23" t="s">
        <v>499</v>
      </c>
      <c r="I106" s="33" t="s">
        <v>113</v>
      </c>
      <c r="J106" s="23">
        <v>0</v>
      </c>
      <c r="K106" s="23">
        <v>1</v>
      </c>
      <c r="L106" s="35">
        <v>1</v>
      </c>
      <c r="M106" s="23">
        <v>1</v>
      </c>
      <c r="N106" s="23">
        <v>0</v>
      </c>
      <c r="O106" s="49">
        <v>1</v>
      </c>
      <c r="P106" s="45" t="s">
        <v>6</v>
      </c>
      <c r="Q106" s="23" t="s">
        <v>107</v>
      </c>
      <c r="R106" s="23" t="s">
        <v>108</v>
      </c>
      <c r="S106" s="22" t="s">
        <v>9</v>
      </c>
    </row>
    <row r="107" spans="1:19" ht="12.75" customHeight="1" x14ac:dyDescent="0.25">
      <c r="A107" s="47" t="s">
        <v>497</v>
      </c>
      <c r="B107" s="23" t="s">
        <v>590</v>
      </c>
      <c r="C107" s="28">
        <v>45621</v>
      </c>
      <c r="D107" s="30" t="s">
        <v>105</v>
      </c>
      <c r="E107" s="28" t="s">
        <v>574</v>
      </c>
      <c r="F107" s="28" t="s">
        <v>140</v>
      </c>
      <c r="G107" s="28">
        <v>45631</v>
      </c>
      <c r="H107" s="23" t="s">
        <v>499</v>
      </c>
      <c r="I107" s="33" t="s">
        <v>14</v>
      </c>
      <c r="J107" s="23">
        <v>1</v>
      </c>
      <c r="K107" s="23">
        <v>1</v>
      </c>
      <c r="L107" s="35">
        <v>0</v>
      </c>
      <c r="M107" s="23">
        <v>1</v>
      </c>
      <c r="N107" s="23">
        <v>1</v>
      </c>
      <c r="O107" s="49">
        <v>0</v>
      </c>
      <c r="P107" s="45" t="s">
        <v>6</v>
      </c>
      <c r="Q107" s="23" t="s">
        <v>107</v>
      </c>
      <c r="R107" s="23" t="s">
        <v>108</v>
      </c>
      <c r="S107" s="22" t="s">
        <v>9</v>
      </c>
    </row>
    <row r="108" spans="1:19" ht="12.75" customHeight="1" x14ac:dyDescent="0.25">
      <c r="A108" s="47" t="s">
        <v>497</v>
      </c>
      <c r="B108" s="23" t="s">
        <v>591</v>
      </c>
      <c r="C108" s="28">
        <v>45621</v>
      </c>
      <c r="D108" s="30" t="s">
        <v>105</v>
      </c>
      <c r="E108" s="28" t="s">
        <v>574</v>
      </c>
      <c r="F108" s="28" t="s">
        <v>140</v>
      </c>
      <c r="G108" s="28">
        <v>45631</v>
      </c>
      <c r="H108" s="23" t="s">
        <v>499</v>
      </c>
      <c r="I108" s="33" t="s">
        <v>14</v>
      </c>
      <c r="J108" s="23">
        <v>1</v>
      </c>
      <c r="K108" s="23">
        <v>1</v>
      </c>
      <c r="L108" s="35">
        <v>0</v>
      </c>
      <c r="M108" s="23">
        <v>2</v>
      </c>
      <c r="N108" s="23">
        <v>2</v>
      </c>
      <c r="O108" s="49">
        <v>0</v>
      </c>
      <c r="P108" s="45" t="s">
        <v>6</v>
      </c>
      <c r="Q108" s="23" t="s">
        <v>107</v>
      </c>
      <c r="R108" s="23" t="s">
        <v>108</v>
      </c>
      <c r="S108" s="22" t="s">
        <v>9</v>
      </c>
    </row>
    <row r="109" spans="1:19" ht="12.75" customHeight="1" x14ac:dyDescent="0.25">
      <c r="A109" s="47" t="s">
        <v>497</v>
      </c>
      <c r="B109" s="23" t="s">
        <v>592</v>
      </c>
      <c r="C109" s="28">
        <v>45621</v>
      </c>
      <c r="D109" s="30" t="s">
        <v>105</v>
      </c>
      <c r="E109" s="28" t="s">
        <v>574</v>
      </c>
      <c r="F109" s="28" t="s">
        <v>140</v>
      </c>
      <c r="G109" s="28">
        <v>45631</v>
      </c>
      <c r="H109" s="23" t="s">
        <v>499</v>
      </c>
      <c r="I109" s="33" t="s">
        <v>14</v>
      </c>
      <c r="J109" s="23">
        <v>1</v>
      </c>
      <c r="K109" s="23">
        <v>1</v>
      </c>
      <c r="L109" s="35">
        <v>0</v>
      </c>
      <c r="M109" s="23">
        <v>4</v>
      </c>
      <c r="N109" s="23">
        <v>4</v>
      </c>
      <c r="O109" s="49">
        <v>0</v>
      </c>
      <c r="P109" s="45" t="s">
        <v>6</v>
      </c>
      <c r="Q109" s="23" t="s">
        <v>107</v>
      </c>
      <c r="R109" s="23" t="s">
        <v>108</v>
      </c>
      <c r="S109" s="22" t="s">
        <v>9</v>
      </c>
    </row>
    <row r="110" spans="1:19" ht="12.75" customHeight="1" x14ac:dyDescent="0.25">
      <c r="A110" s="47" t="s">
        <v>497</v>
      </c>
      <c r="B110" s="23" t="s">
        <v>593</v>
      </c>
      <c r="C110" s="28">
        <v>45621</v>
      </c>
      <c r="D110" s="30" t="s">
        <v>105</v>
      </c>
      <c r="E110" s="28" t="s">
        <v>574</v>
      </c>
      <c r="F110" s="28" t="s">
        <v>140</v>
      </c>
      <c r="G110" s="28">
        <v>45631</v>
      </c>
      <c r="H110" s="23" t="s">
        <v>499</v>
      </c>
      <c r="I110" s="33" t="s">
        <v>14</v>
      </c>
      <c r="J110" s="23">
        <v>1</v>
      </c>
      <c r="K110" s="23">
        <v>1</v>
      </c>
      <c r="L110" s="35">
        <v>0</v>
      </c>
      <c r="M110" s="23">
        <v>4</v>
      </c>
      <c r="N110" s="23">
        <v>4</v>
      </c>
      <c r="O110" s="49">
        <v>0</v>
      </c>
      <c r="P110" s="45" t="s">
        <v>6</v>
      </c>
      <c r="Q110" s="23" t="s">
        <v>107</v>
      </c>
      <c r="R110" s="23" t="s">
        <v>108</v>
      </c>
      <c r="S110" s="22" t="s">
        <v>9</v>
      </c>
    </row>
    <row r="111" spans="1:19" ht="12.75" customHeight="1" x14ac:dyDescent="0.25">
      <c r="A111" s="47" t="s">
        <v>497</v>
      </c>
      <c r="B111" s="23" t="s">
        <v>594</v>
      </c>
      <c r="C111" s="28">
        <v>45621</v>
      </c>
      <c r="D111" s="30" t="s">
        <v>105</v>
      </c>
      <c r="E111" s="28" t="s">
        <v>574</v>
      </c>
      <c r="F111" s="28" t="s">
        <v>110</v>
      </c>
      <c r="G111" s="28">
        <v>45631</v>
      </c>
      <c r="H111" s="23" t="s">
        <v>499</v>
      </c>
      <c r="I111" s="33" t="s">
        <v>14</v>
      </c>
      <c r="J111" s="23">
        <v>1</v>
      </c>
      <c r="K111" s="23">
        <v>1</v>
      </c>
      <c r="L111" s="35">
        <v>0</v>
      </c>
      <c r="M111" s="23">
        <v>1</v>
      </c>
      <c r="N111" s="23">
        <v>1</v>
      </c>
      <c r="O111" s="49">
        <v>0</v>
      </c>
      <c r="P111" s="45" t="s">
        <v>6</v>
      </c>
      <c r="Q111" s="23" t="s">
        <v>107</v>
      </c>
      <c r="R111" s="23" t="s">
        <v>108</v>
      </c>
      <c r="S111" s="22" t="s">
        <v>9</v>
      </c>
    </row>
    <row r="112" spans="1:19" ht="12.75" customHeight="1" x14ac:dyDescent="0.25">
      <c r="A112" s="47" t="s">
        <v>497</v>
      </c>
      <c r="B112" s="23" t="s">
        <v>595</v>
      </c>
      <c r="C112" s="28">
        <v>45621</v>
      </c>
      <c r="D112" s="30" t="s">
        <v>105</v>
      </c>
      <c r="E112" s="28" t="s">
        <v>574</v>
      </c>
      <c r="F112" s="28" t="s">
        <v>110</v>
      </c>
      <c r="G112" s="28">
        <v>45631</v>
      </c>
      <c r="H112" s="23" t="s">
        <v>499</v>
      </c>
      <c r="I112" s="33" t="s">
        <v>14</v>
      </c>
      <c r="J112" s="23">
        <v>1</v>
      </c>
      <c r="K112" s="23">
        <v>1</v>
      </c>
      <c r="L112" s="35">
        <v>0</v>
      </c>
      <c r="M112" s="23">
        <v>2</v>
      </c>
      <c r="N112" s="23">
        <v>2</v>
      </c>
      <c r="O112" s="49">
        <v>0</v>
      </c>
      <c r="P112" s="45" t="s">
        <v>6</v>
      </c>
      <c r="Q112" s="23" t="s">
        <v>107</v>
      </c>
      <c r="R112" s="23" t="s">
        <v>108</v>
      </c>
      <c r="S112" s="22" t="s">
        <v>9</v>
      </c>
    </row>
    <row r="113" spans="1:19" ht="12.75" customHeight="1" x14ac:dyDescent="0.25">
      <c r="A113" s="47" t="s">
        <v>497</v>
      </c>
      <c r="B113" s="23" t="s">
        <v>596</v>
      </c>
      <c r="C113" s="28">
        <v>45621</v>
      </c>
      <c r="D113" s="30" t="s">
        <v>105</v>
      </c>
      <c r="E113" s="28" t="s">
        <v>574</v>
      </c>
      <c r="F113" s="28" t="s">
        <v>140</v>
      </c>
      <c r="G113" s="28">
        <v>45631</v>
      </c>
      <c r="H113" s="23" t="s">
        <v>499</v>
      </c>
      <c r="I113" s="33" t="s">
        <v>14</v>
      </c>
      <c r="J113" s="23">
        <v>1</v>
      </c>
      <c r="K113" s="23">
        <v>1</v>
      </c>
      <c r="L113" s="35">
        <v>0</v>
      </c>
      <c r="M113" s="23">
        <v>2</v>
      </c>
      <c r="N113" s="23">
        <v>2</v>
      </c>
      <c r="O113" s="49">
        <v>0</v>
      </c>
      <c r="P113" s="45" t="s">
        <v>6</v>
      </c>
      <c r="Q113" s="23" t="s">
        <v>107</v>
      </c>
      <c r="R113" s="23" t="s">
        <v>108</v>
      </c>
      <c r="S113" s="22" t="s">
        <v>9</v>
      </c>
    </row>
    <row r="114" spans="1:19" ht="12.75" customHeight="1" x14ac:dyDescent="0.25">
      <c r="A114" s="47" t="s">
        <v>497</v>
      </c>
      <c r="B114" s="23" t="s">
        <v>597</v>
      </c>
      <c r="C114" s="28">
        <v>45622</v>
      </c>
      <c r="D114" s="30" t="s">
        <v>105</v>
      </c>
      <c r="E114" s="28" t="s">
        <v>574</v>
      </c>
      <c r="F114" s="28" t="s">
        <v>140</v>
      </c>
      <c r="G114" s="28">
        <v>45632</v>
      </c>
      <c r="H114" s="23" t="s">
        <v>499</v>
      </c>
      <c r="I114" s="33" t="s">
        <v>14</v>
      </c>
      <c r="J114" s="23">
        <v>1</v>
      </c>
      <c r="K114" s="23">
        <v>1</v>
      </c>
      <c r="L114" s="35">
        <v>0</v>
      </c>
      <c r="M114" s="23">
        <v>4</v>
      </c>
      <c r="N114" s="23">
        <v>4</v>
      </c>
      <c r="O114" s="49">
        <v>0</v>
      </c>
      <c r="P114" s="45" t="s">
        <v>6</v>
      </c>
      <c r="Q114" s="23" t="s">
        <v>107</v>
      </c>
      <c r="R114" s="23" t="s">
        <v>108</v>
      </c>
      <c r="S114" s="22" t="s">
        <v>9</v>
      </c>
    </row>
    <row r="115" spans="1:19" ht="12.75" customHeight="1" x14ac:dyDescent="0.25">
      <c r="A115" s="47" t="s">
        <v>497</v>
      </c>
      <c r="B115" s="23" t="s">
        <v>598</v>
      </c>
      <c r="C115" s="28">
        <v>45622</v>
      </c>
      <c r="D115" s="30" t="s">
        <v>105</v>
      </c>
      <c r="E115" s="28" t="s">
        <v>574</v>
      </c>
      <c r="F115" s="28" t="s">
        <v>140</v>
      </c>
      <c r="G115" s="28">
        <v>45632</v>
      </c>
      <c r="H115" s="23" t="s">
        <v>499</v>
      </c>
      <c r="I115" s="33" t="s">
        <v>14</v>
      </c>
      <c r="J115" s="23">
        <v>1</v>
      </c>
      <c r="K115" s="23">
        <v>1</v>
      </c>
      <c r="L115" s="35">
        <v>0</v>
      </c>
      <c r="M115" s="23">
        <v>1</v>
      </c>
      <c r="N115" s="23">
        <v>1</v>
      </c>
      <c r="O115" s="49">
        <v>0</v>
      </c>
      <c r="P115" s="45" t="s">
        <v>6</v>
      </c>
      <c r="Q115" s="23" t="s">
        <v>107</v>
      </c>
      <c r="R115" s="23" t="s">
        <v>108</v>
      </c>
      <c r="S115" s="22" t="s">
        <v>9</v>
      </c>
    </row>
    <row r="116" spans="1:19" ht="12.75" customHeight="1" x14ac:dyDescent="0.25">
      <c r="A116" s="47" t="s">
        <v>497</v>
      </c>
      <c r="B116" s="23" t="s">
        <v>599</v>
      </c>
      <c r="C116" s="28">
        <v>45622</v>
      </c>
      <c r="D116" s="30" t="s">
        <v>105</v>
      </c>
      <c r="E116" s="28" t="s">
        <v>574</v>
      </c>
      <c r="F116" s="28" t="s">
        <v>140</v>
      </c>
      <c r="G116" s="28">
        <v>45632</v>
      </c>
      <c r="H116" s="23" t="s">
        <v>499</v>
      </c>
      <c r="I116" s="33" t="s">
        <v>14</v>
      </c>
      <c r="J116" s="23">
        <v>1</v>
      </c>
      <c r="K116" s="23">
        <v>1</v>
      </c>
      <c r="L116" s="35">
        <v>0</v>
      </c>
      <c r="M116" s="23">
        <v>2</v>
      </c>
      <c r="N116" s="23">
        <v>2</v>
      </c>
      <c r="O116" s="49">
        <v>0</v>
      </c>
      <c r="P116" s="45" t="s">
        <v>6</v>
      </c>
      <c r="Q116" s="23" t="s">
        <v>107</v>
      </c>
      <c r="R116" s="23" t="s">
        <v>108</v>
      </c>
      <c r="S116" s="22" t="s">
        <v>9</v>
      </c>
    </row>
    <row r="117" spans="1:19" ht="12.75" customHeight="1" x14ac:dyDescent="0.25">
      <c r="A117" s="47" t="s">
        <v>497</v>
      </c>
      <c r="B117" s="23" t="s">
        <v>600</v>
      </c>
      <c r="C117" s="28">
        <v>45622</v>
      </c>
      <c r="D117" s="30" t="s">
        <v>105</v>
      </c>
      <c r="E117" s="28" t="s">
        <v>574</v>
      </c>
      <c r="F117" s="28" t="s">
        <v>140</v>
      </c>
      <c r="G117" s="28">
        <v>45632</v>
      </c>
      <c r="H117" s="23" t="s">
        <v>499</v>
      </c>
      <c r="I117" s="33" t="s">
        <v>14</v>
      </c>
      <c r="J117" s="23">
        <v>1</v>
      </c>
      <c r="K117" s="23">
        <v>1</v>
      </c>
      <c r="L117" s="35">
        <v>0</v>
      </c>
      <c r="M117" s="23">
        <v>4</v>
      </c>
      <c r="N117" s="23">
        <v>4</v>
      </c>
      <c r="O117" s="49">
        <v>0</v>
      </c>
      <c r="P117" s="45" t="s">
        <v>6</v>
      </c>
      <c r="Q117" s="23" t="s">
        <v>107</v>
      </c>
      <c r="R117" s="23" t="s">
        <v>108</v>
      </c>
      <c r="S117" s="22" t="s">
        <v>9</v>
      </c>
    </row>
    <row r="118" spans="1:19" ht="12.75" customHeight="1" x14ac:dyDescent="0.25">
      <c r="A118" s="47" t="s">
        <v>497</v>
      </c>
      <c r="B118" s="23" t="s">
        <v>601</v>
      </c>
      <c r="C118" s="28">
        <v>45622</v>
      </c>
      <c r="D118" s="30" t="s">
        <v>105</v>
      </c>
      <c r="E118" s="28" t="s">
        <v>574</v>
      </c>
      <c r="F118" s="28" t="s">
        <v>602</v>
      </c>
      <c r="G118" s="28">
        <v>45632</v>
      </c>
      <c r="H118" s="23" t="s">
        <v>499</v>
      </c>
      <c r="I118" s="33" t="s">
        <v>14</v>
      </c>
      <c r="J118" s="23">
        <v>1</v>
      </c>
      <c r="K118" s="23">
        <v>1</v>
      </c>
      <c r="L118" s="35">
        <v>0</v>
      </c>
      <c r="M118" s="23">
        <v>2</v>
      </c>
      <c r="N118" s="23">
        <v>2</v>
      </c>
      <c r="O118" s="49">
        <v>0</v>
      </c>
      <c r="P118" s="45" t="s">
        <v>6</v>
      </c>
      <c r="Q118" s="23" t="s">
        <v>107</v>
      </c>
      <c r="R118" s="23" t="s">
        <v>108</v>
      </c>
      <c r="S118" s="22" t="s">
        <v>9</v>
      </c>
    </row>
    <row r="119" spans="1:19" ht="12.75" customHeight="1" x14ac:dyDescent="0.25">
      <c r="A119" s="47" t="s">
        <v>497</v>
      </c>
      <c r="B119" s="23" t="s">
        <v>603</v>
      </c>
      <c r="C119" s="28">
        <v>45622</v>
      </c>
      <c r="D119" s="30" t="s">
        <v>105</v>
      </c>
      <c r="E119" s="28" t="s">
        <v>574</v>
      </c>
      <c r="F119" s="28" t="s">
        <v>140</v>
      </c>
      <c r="G119" s="28">
        <v>45632</v>
      </c>
      <c r="H119" s="23" t="s">
        <v>499</v>
      </c>
      <c r="I119" s="33" t="s">
        <v>14</v>
      </c>
      <c r="J119" s="23">
        <v>1</v>
      </c>
      <c r="K119" s="23">
        <v>1</v>
      </c>
      <c r="L119" s="35">
        <v>0</v>
      </c>
      <c r="M119" s="23">
        <v>2</v>
      </c>
      <c r="N119" s="23">
        <v>2</v>
      </c>
      <c r="O119" s="49">
        <v>0</v>
      </c>
      <c r="P119" s="45" t="s">
        <v>6</v>
      </c>
      <c r="Q119" s="23" t="s">
        <v>107</v>
      </c>
      <c r="R119" s="23" t="s">
        <v>108</v>
      </c>
      <c r="S119" s="22" t="s">
        <v>9</v>
      </c>
    </row>
    <row r="120" spans="1:19" ht="12.75" customHeight="1" x14ac:dyDescent="0.25">
      <c r="A120" s="47" t="s">
        <v>497</v>
      </c>
      <c r="B120" s="23" t="s">
        <v>604</v>
      </c>
      <c r="C120" s="28">
        <v>45622</v>
      </c>
      <c r="D120" s="30" t="s">
        <v>105</v>
      </c>
      <c r="E120" s="28" t="s">
        <v>574</v>
      </c>
      <c r="F120" s="28" t="s">
        <v>140</v>
      </c>
      <c r="G120" s="28">
        <v>45632</v>
      </c>
      <c r="H120" s="23" t="s">
        <v>499</v>
      </c>
      <c r="I120" s="33" t="s">
        <v>14</v>
      </c>
      <c r="J120" s="23">
        <v>1</v>
      </c>
      <c r="K120" s="23">
        <v>1</v>
      </c>
      <c r="L120" s="35">
        <v>0</v>
      </c>
      <c r="M120" s="23">
        <v>2</v>
      </c>
      <c r="N120" s="23">
        <v>2</v>
      </c>
      <c r="O120" s="49">
        <v>0</v>
      </c>
      <c r="P120" s="45" t="s">
        <v>6</v>
      </c>
      <c r="Q120" s="23" t="s">
        <v>107</v>
      </c>
      <c r="R120" s="23" t="s">
        <v>108</v>
      </c>
      <c r="S120" s="22" t="s">
        <v>9</v>
      </c>
    </row>
    <row r="121" spans="1:19" ht="12.75" customHeight="1" x14ac:dyDescent="0.25">
      <c r="A121" s="47" t="s">
        <v>497</v>
      </c>
      <c r="B121" s="23" t="s">
        <v>605</v>
      </c>
      <c r="C121" s="28">
        <v>45622</v>
      </c>
      <c r="D121" s="30" t="s">
        <v>105</v>
      </c>
      <c r="E121" s="28" t="s">
        <v>574</v>
      </c>
      <c r="F121" s="28" t="s">
        <v>110</v>
      </c>
      <c r="G121" s="28">
        <v>45632</v>
      </c>
      <c r="H121" s="23" t="s">
        <v>499</v>
      </c>
      <c r="I121" s="33" t="s">
        <v>14</v>
      </c>
      <c r="J121" s="23">
        <v>1</v>
      </c>
      <c r="K121" s="23">
        <v>1</v>
      </c>
      <c r="L121" s="35">
        <v>0</v>
      </c>
      <c r="M121" s="23">
        <v>2</v>
      </c>
      <c r="N121" s="23">
        <v>2</v>
      </c>
      <c r="O121" s="49">
        <v>0</v>
      </c>
      <c r="P121" s="45" t="s">
        <v>6</v>
      </c>
      <c r="Q121" s="23" t="s">
        <v>107</v>
      </c>
      <c r="R121" s="23" t="s">
        <v>108</v>
      </c>
      <c r="S121" s="22" t="s">
        <v>9</v>
      </c>
    </row>
    <row r="122" spans="1:19" ht="12.75" customHeight="1" x14ac:dyDescent="0.25">
      <c r="A122" s="47" t="s">
        <v>497</v>
      </c>
      <c r="B122" s="23" t="s">
        <v>606</v>
      </c>
      <c r="C122" s="28">
        <v>45626</v>
      </c>
      <c r="D122" s="30" t="s">
        <v>105</v>
      </c>
      <c r="E122" s="28" t="s">
        <v>570</v>
      </c>
      <c r="F122" s="28" t="s">
        <v>607</v>
      </c>
      <c r="G122" s="28">
        <v>45636</v>
      </c>
      <c r="H122" s="23" t="s">
        <v>499</v>
      </c>
      <c r="I122" s="33" t="s">
        <v>14</v>
      </c>
      <c r="J122" s="23">
        <v>1</v>
      </c>
      <c r="K122" s="23">
        <v>1</v>
      </c>
      <c r="L122" s="35">
        <v>0</v>
      </c>
      <c r="M122" s="23">
        <v>4</v>
      </c>
      <c r="N122" s="23">
        <v>4</v>
      </c>
      <c r="O122" s="49">
        <v>0</v>
      </c>
      <c r="P122" s="45" t="s">
        <v>6</v>
      </c>
      <c r="Q122" s="23" t="s">
        <v>107</v>
      </c>
      <c r="R122" s="23" t="s">
        <v>108</v>
      </c>
      <c r="S122" s="22" t="s">
        <v>9</v>
      </c>
    </row>
    <row r="123" spans="1:19" ht="12.75" customHeight="1" x14ac:dyDescent="0.25">
      <c r="A123" s="47" t="s">
        <v>497</v>
      </c>
      <c r="B123" s="23" t="s">
        <v>608</v>
      </c>
      <c r="C123" s="28">
        <v>45626</v>
      </c>
      <c r="D123" s="30" t="s">
        <v>105</v>
      </c>
      <c r="E123" s="28" t="s">
        <v>570</v>
      </c>
      <c r="F123" s="28" t="s">
        <v>609</v>
      </c>
      <c r="G123" s="28">
        <v>45636</v>
      </c>
      <c r="H123" s="23" t="s">
        <v>499</v>
      </c>
      <c r="I123" s="33" t="s">
        <v>14</v>
      </c>
      <c r="J123" s="23">
        <v>1</v>
      </c>
      <c r="K123" s="23">
        <v>1</v>
      </c>
      <c r="L123" s="35">
        <v>0</v>
      </c>
      <c r="M123" s="23">
        <v>6</v>
      </c>
      <c r="N123" s="23">
        <v>6</v>
      </c>
      <c r="O123" s="49">
        <v>0</v>
      </c>
      <c r="P123" s="45" t="s">
        <v>6</v>
      </c>
      <c r="Q123" s="23" t="s">
        <v>107</v>
      </c>
      <c r="R123" s="23" t="s">
        <v>108</v>
      </c>
      <c r="S123" s="22" t="s">
        <v>9</v>
      </c>
    </row>
    <row r="124" spans="1:19" ht="12.75" customHeight="1" thickBot="1" x14ac:dyDescent="0.3">
      <c r="A124" s="51" t="s">
        <v>497</v>
      </c>
      <c r="B124" s="20" t="s">
        <v>610</v>
      </c>
      <c r="C124" s="25">
        <v>45626</v>
      </c>
      <c r="D124" s="27" t="s">
        <v>105</v>
      </c>
      <c r="E124" s="25" t="s">
        <v>570</v>
      </c>
      <c r="F124" s="25" t="s">
        <v>125</v>
      </c>
      <c r="G124" s="25">
        <v>45636</v>
      </c>
      <c r="H124" s="20" t="s">
        <v>499</v>
      </c>
      <c r="I124" s="32" t="s">
        <v>14</v>
      </c>
      <c r="J124" s="20">
        <v>1</v>
      </c>
      <c r="K124" s="20">
        <v>1</v>
      </c>
      <c r="L124" s="34">
        <v>0</v>
      </c>
      <c r="M124" s="20">
        <v>1</v>
      </c>
      <c r="N124" s="20">
        <v>1</v>
      </c>
      <c r="O124" s="54">
        <v>0</v>
      </c>
      <c r="P124" s="45" t="s">
        <v>6</v>
      </c>
      <c r="Q124" s="23" t="s">
        <v>107</v>
      </c>
      <c r="R124" s="23" t="s">
        <v>108</v>
      </c>
      <c r="S124" s="22" t="s">
        <v>9</v>
      </c>
    </row>
    <row r="125" spans="1:19" ht="17.25" customHeight="1" x14ac:dyDescent="0.25">
      <c r="A125" s="60"/>
      <c r="B125" s="50"/>
      <c r="C125" s="55"/>
      <c r="D125" s="56"/>
      <c r="E125" s="56"/>
      <c r="F125" s="57"/>
      <c r="G125" s="57"/>
      <c r="H125" s="57"/>
      <c r="I125" s="58" t="s">
        <v>1087</v>
      </c>
      <c r="J125" s="57">
        <f>SUM(J95:J124)</f>
        <v>28</v>
      </c>
      <c r="K125" s="57">
        <f>SUM(K95:K124)</f>
        <v>30</v>
      </c>
      <c r="L125" s="59">
        <f>(SUM(K95:K124) - SUM(J95:J124)) / SUM(K95:K124)</f>
        <v>6.6666666666666666E-2</v>
      </c>
      <c r="M125" s="57">
        <f>SUM(M95:M124)</f>
        <v>75</v>
      </c>
      <c r="N125" s="56">
        <f>SUM(N95:N124)</f>
        <v>73</v>
      </c>
      <c r="O125" s="61">
        <f>(SUM(M95:M124) - SUM(N95:N124)) / SUM(M95:M124)</f>
        <v>2.6666666666666668E-2</v>
      </c>
      <c r="P125" s="52"/>
      <c r="Q125" s="53"/>
      <c r="R125" s="52"/>
      <c r="S125" s="52"/>
    </row>
    <row r="126" spans="1:19" x14ac:dyDescent="0.25">
      <c r="A126" s="125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2"/>
      <c r="M126" s="121"/>
      <c r="N126" s="121"/>
      <c r="O126" s="127"/>
      <c r="P126" s="120"/>
      <c r="Q126" s="120"/>
      <c r="R126" s="120"/>
      <c r="S126" s="120"/>
    </row>
    <row r="127" spans="1:19" ht="15.75" thickBot="1" x14ac:dyDescent="0.3">
      <c r="A127" s="126"/>
      <c r="B127" s="123"/>
      <c r="C127" s="124"/>
      <c r="D127" s="123"/>
      <c r="E127" s="123"/>
      <c r="F127" s="123"/>
      <c r="G127" s="124"/>
      <c r="H127" s="123"/>
      <c r="I127" s="123"/>
      <c r="J127" s="123"/>
      <c r="K127" s="123"/>
      <c r="L127" s="123"/>
      <c r="M127" s="123"/>
      <c r="N127" s="123"/>
      <c r="O127" s="128"/>
      <c r="P127" s="98"/>
      <c r="Q127" s="98"/>
      <c r="R127" s="98"/>
      <c r="S127" s="98"/>
    </row>
    <row r="128" spans="1:19" ht="15.75" thickBot="1" x14ac:dyDescent="0.3">
      <c r="C128" s="1"/>
      <c r="G128" s="1"/>
    </row>
    <row r="129" spans="1:19" x14ac:dyDescent="0.25">
      <c r="A129" s="9"/>
      <c r="B129" s="10"/>
      <c r="C129" s="11"/>
      <c r="D129" s="11"/>
      <c r="E129" s="11"/>
      <c r="F129" s="11"/>
      <c r="G129" s="11"/>
      <c r="H129" s="12"/>
      <c r="I129" s="11"/>
      <c r="J129" s="13"/>
      <c r="K129" s="13"/>
      <c r="L129" s="13"/>
      <c r="M129" s="13"/>
      <c r="N129" s="11"/>
      <c r="O129" s="14"/>
      <c r="P129" s="4"/>
      <c r="Q129" s="5"/>
      <c r="R129" s="4"/>
      <c r="S129" s="4"/>
    </row>
    <row r="130" spans="1:19" x14ac:dyDescent="0.25">
      <c r="A130" s="6" t="s">
        <v>1094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5"/>
      <c r="P130" s="3"/>
      <c r="Q130" s="3"/>
      <c r="R130" s="3"/>
      <c r="S130" s="3"/>
    </row>
    <row r="131" spans="1:19" x14ac:dyDescent="0.25">
      <c r="A131" s="7" t="s">
        <v>132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5"/>
      <c r="P131" s="3"/>
      <c r="Q131" s="3"/>
      <c r="R131" s="3"/>
      <c r="S131" s="3"/>
    </row>
    <row r="132" spans="1:19" ht="15.75" thickBot="1" x14ac:dyDescent="0.3">
      <c r="A132" s="8"/>
      <c r="B132" s="8"/>
      <c r="C132" s="74"/>
      <c r="D132" s="8"/>
      <c r="E132" s="8"/>
      <c r="F132" s="8"/>
      <c r="G132" s="74"/>
      <c r="H132" s="8"/>
      <c r="I132" s="8"/>
      <c r="J132" s="8"/>
      <c r="K132" s="8"/>
      <c r="L132" s="8"/>
      <c r="M132" s="8"/>
      <c r="N132" s="8"/>
      <c r="O132" s="16"/>
      <c r="P132" s="3"/>
      <c r="Q132" s="3"/>
      <c r="R132" s="3"/>
      <c r="S132" s="3"/>
    </row>
    <row r="133" spans="1:19" ht="17.25" customHeight="1" thickBot="1" x14ac:dyDescent="0.3">
      <c r="A133" s="19" t="s">
        <v>1068</v>
      </c>
      <c r="B133" s="24" t="s">
        <v>1069</v>
      </c>
      <c r="C133" s="26" t="s">
        <v>1070</v>
      </c>
      <c r="D133" s="29" t="s">
        <v>1071</v>
      </c>
      <c r="E133" s="26" t="s">
        <v>1072</v>
      </c>
      <c r="F133" s="31" t="s">
        <v>1073</v>
      </c>
      <c r="G133" s="31" t="s">
        <v>1074</v>
      </c>
      <c r="H133" s="31" t="s">
        <v>1075</v>
      </c>
      <c r="I133" s="29" t="s">
        <v>14</v>
      </c>
      <c r="J133" s="29" t="s">
        <v>1076</v>
      </c>
      <c r="K133" s="29" t="s">
        <v>1077</v>
      </c>
      <c r="L133" s="29" t="s">
        <v>1078</v>
      </c>
      <c r="M133" s="29" t="s">
        <v>1079</v>
      </c>
      <c r="N133" s="29" t="s">
        <v>1080</v>
      </c>
      <c r="O133" s="36" t="s">
        <v>1081</v>
      </c>
      <c r="P133" s="37" t="s">
        <v>1082</v>
      </c>
      <c r="Q133" s="38" t="s">
        <v>1083</v>
      </c>
      <c r="R133" s="38" t="s">
        <v>1084</v>
      </c>
      <c r="S133" s="39" t="s">
        <v>1085</v>
      </c>
    </row>
    <row r="134" spans="1:19" ht="12.75" customHeight="1" x14ac:dyDescent="0.25">
      <c r="A134" s="46" t="s">
        <v>497</v>
      </c>
      <c r="B134" s="40" t="s">
        <v>611</v>
      </c>
      <c r="C134" s="41">
        <v>45629</v>
      </c>
      <c r="D134" s="42" t="s">
        <v>129</v>
      </c>
      <c r="E134" s="41" t="s">
        <v>612</v>
      </c>
      <c r="F134" s="41" t="s">
        <v>150</v>
      </c>
      <c r="G134" s="41">
        <v>45639</v>
      </c>
      <c r="H134" s="40" t="s">
        <v>499</v>
      </c>
      <c r="I134" s="43" t="s">
        <v>14</v>
      </c>
      <c r="J134" s="40">
        <v>1</v>
      </c>
      <c r="K134" s="40">
        <v>1</v>
      </c>
      <c r="L134" s="44">
        <v>0</v>
      </c>
      <c r="M134" s="40">
        <v>2</v>
      </c>
      <c r="N134" s="40">
        <v>2</v>
      </c>
      <c r="O134" s="48">
        <v>0</v>
      </c>
      <c r="P134" s="45" t="s">
        <v>6</v>
      </c>
      <c r="Q134" s="23" t="s">
        <v>132</v>
      </c>
      <c r="R134" s="23" t="s">
        <v>133</v>
      </c>
      <c r="S134" s="22" t="s">
        <v>9</v>
      </c>
    </row>
    <row r="135" spans="1:19" ht="12.75" customHeight="1" x14ac:dyDescent="0.25">
      <c r="A135" s="47" t="s">
        <v>497</v>
      </c>
      <c r="B135" s="23" t="s">
        <v>613</v>
      </c>
      <c r="C135" s="28">
        <v>45629</v>
      </c>
      <c r="D135" s="30" t="s">
        <v>129</v>
      </c>
      <c r="E135" s="28" t="s">
        <v>612</v>
      </c>
      <c r="F135" s="28" t="s">
        <v>614</v>
      </c>
      <c r="G135" s="28">
        <v>45639</v>
      </c>
      <c r="H135" s="23" t="s">
        <v>499</v>
      </c>
      <c r="I135" s="33" t="s">
        <v>14</v>
      </c>
      <c r="J135" s="23">
        <v>1</v>
      </c>
      <c r="K135" s="23">
        <v>1</v>
      </c>
      <c r="L135" s="35">
        <v>0</v>
      </c>
      <c r="M135" s="23">
        <v>2</v>
      </c>
      <c r="N135" s="23">
        <v>2</v>
      </c>
      <c r="O135" s="49">
        <v>0</v>
      </c>
      <c r="P135" s="45" t="s">
        <v>6</v>
      </c>
      <c r="Q135" s="23" t="s">
        <v>132</v>
      </c>
      <c r="R135" s="23" t="s">
        <v>133</v>
      </c>
      <c r="S135" s="22" t="s">
        <v>9</v>
      </c>
    </row>
    <row r="136" spans="1:19" ht="12.75" customHeight="1" x14ac:dyDescent="0.25">
      <c r="A136" s="47" t="s">
        <v>497</v>
      </c>
      <c r="B136" s="23" t="s">
        <v>615</v>
      </c>
      <c r="C136" s="28">
        <v>45629</v>
      </c>
      <c r="D136" s="30" t="s">
        <v>129</v>
      </c>
      <c r="E136" s="28" t="s">
        <v>612</v>
      </c>
      <c r="F136" s="28" t="s">
        <v>616</v>
      </c>
      <c r="G136" s="28">
        <v>45639</v>
      </c>
      <c r="H136" s="23" t="s">
        <v>499</v>
      </c>
      <c r="I136" s="33" t="s">
        <v>14</v>
      </c>
      <c r="J136" s="23">
        <v>1</v>
      </c>
      <c r="K136" s="23">
        <v>1</v>
      </c>
      <c r="L136" s="35">
        <v>0</v>
      </c>
      <c r="M136" s="23">
        <v>4</v>
      </c>
      <c r="N136" s="23">
        <v>4</v>
      </c>
      <c r="O136" s="49">
        <v>0</v>
      </c>
      <c r="P136" s="45" t="s">
        <v>6</v>
      </c>
      <c r="Q136" s="23" t="s">
        <v>132</v>
      </c>
      <c r="R136" s="23" t="s">
        <v>133</v>
      </c>
      <c r="S136" s="22" t="s">
        <v>9</v>
      </c>
    </row>
    <row r="137" spans="1:19" ht="12.75" customHeight="1" x14ac:dyDescent="0.25">
      <c r="A137" s="47" t="s">
        <v>497</v>
      </c>
      <c r="B137" s="23" t="s">
        <v>617</v>
      </c>
      <c r="C137" s="28">
        <v>45629</v>
      </c>
      <c r="D137" s="30" t="s">
        <v>129</v>
      </c>
      <c r="E137" s="28" t="s">
        <v>612</v>
      </c>
      <c r="F137" s="28" t="s">
        <v>616</v>
      </c>
      <c r="G137" s="28">
        <v>45639</v>
      </c>
      <c r="H137" s="23" t="s">
        <v>499</v>
      </c>
      <c r="I137" s="33" t="s">
        <v>14</v>
      </c>
      <c r="J137" s="23">
        <v>1</v>
      </c>
      <c r="K137" s="23">
        <v>1</v>
      </c>
      <c r="L137" s="35">
        <v>0</v>
      </c>
      <c r="M137" s="23">
        <v>2</v>
      </c>
      <c r="N137" s="23">
        <v>2</v>
      </c>
      <c r="O137" s="49">
        <v>0</v>
      </c>
      <c r="P137" s="45" t="s">
        <v>6</v>
      </c>
      <c r="Q137" s="23" t="s">
        <v>132</v>
      </c>
      <c r="R137" s="23" t="s">
        <v>133</v>
      </c>
      <c r="S137" s="22" t="s">
        <v>9</v>
      </c>
    </row>
    <row r="138" spans="1:19" ht="12.75" customHeight="1" x14ac:dyDescent="0.25">
      <c r="A138" s="47" t="s">
        <v>497</v>
      </c>
      <c r="B138" s="23" t="s">
        <v>618</v>
      </c>
      <c r="C138" s="28">
        <v>45637</v>
      </c>
      <c r="D138" s="30" t="s">
        <v>129</v>
      </c>
      <c r="E138" s="28" t="s">
        <v>619</v>
      </c>
      <c r="F138" s="28" t="s">
        <v>620</v>
      </c>
      <c r="G138" s="28">
        <v>45647</v>
      </c>
      <c r="H138" s="23" t="s">
        <v>499</v>
      </c>
      <c r="I138" s="33" t="s">
        <v>14</v>
      </c>
      <c r="J138" s="23">
        <v>1</v>
      </c>
      <c r="K138" s="23">
        <v>1</v>
      </c>
      <c r="L138" s="35">
        <v>0</v>
      </c>
      <c r="M138" s="23">
        <v>1</v>
      </c>
      <c r="N138" s="23">
        <v>1</v>
      </c>
      <c r="O138" s="49">
        <v>0</v>
      </c>
      <c r="P138" s="45" t="s">
        <v>6</v>
      </c>
      <c r="Q138" s="23" t="s">
        <v>132</v>
      </c>
      <c r="R138" s="23" t="s">
        <v>133</v>
      </c>
      <c r="S138" s="22" t="s">
        <v>9</v>
      </c>
    </row>
    <row r="139" spans="1:19" ht="12.75" customHeight="1" x14ac:dyDescent="0.25">
      <c r="A139" s="47" t="s">
        <v>497</v>
      </c>
      <c r="B139" s="23" t="s">
        <v>621</v>
      </c>
      <c r="C139" s="28">
        <v>45637</v>
      </c>
      <c r="D139" s="30" t="s">
        <v>129</v>
      </c>
      <c r="E139" s="28" t="s">
        <v>619</v>
      </c>
      <c r="F139" s="28" t="s">
        <v>120</v>
      </c>
      <c r="G139" s="28">
        <v>45647</v>
      </c>
      <c r="H139" s="23" t="s">
        <v>499</v>
      </c>
      <c r="I139" s="33" t="s">
        <v>14</v>
      </c>
      <c r="J139" s="23">
        <v>1</v>
      </c>
      <c r="K139" s="23">
        <v>1</v>
      </c>
      <c r="L139" s="35">
        <v>0</v>
      </c>
      <c r="M139" s="23">
        <v>1</v>
      </c>
      <c r="N139" s="23">
        <v>1</v>
      </c>
      <c r="O139" s="49">
        <v>0</v>
      </c>
      <c r="P139" s="45" t="s">
        <v>6</v>
      </c>
      <c r="Q139" s="23" t="s">
        <v>132</v>
      </c>
      <c r="R139" s="23" t="s">
        <v>133</v>
      </c>
      <c r="S139" s="22" t="s">
        <v>9</v>
      </c>
    </row>
    <row r="140" spans="1:19" ht="12.75" customHeight="1" x14ac:dyDescent="0.25">
      <c r="A140" s="47" t="s">
        <v>497</v>
      </c>
      <c r="B140" s="23" t="s">
        <v>622</v>
      </c>
      <c r="C140" s="28">
        <v>45638</v>
      </c>
      <c r="D140" s="30" t="s">
        <v>129</v>
      </c>
      <c r="E140" s="28" t="s">
        <v>144</v>
      </c>
      <c r="F140" s="28" t="s">
        <v>137</v>
      </c>
      <c r="G140" s="28">
        <v>45648</v>
      </c>
      <c r="H140" s="23" t="s">
        <v>499</v>
      </c>
      <c r="I140" s="33" t="s">
        <v>14</v>
      </c>
      <c r="J140" s="23">
        <v>1</v>
      </c>
      <c r="K140" s="23">
        <v>1</v>
      </c>
      <c r="L140" s="35">
        <v>0</v>
      </c>
      <c r="M140" s="23">
        <v>2</v>
      </c>
      <c r="N140" s="23">
        <v>2</v>
      </c>
      <c r="O140" s="49">
        <v>0</v>
      </c>
      <c r="P140" s="45" t="s">
        <v>6</v>
      </c>
      <c r="Q140" s="23" t="s">
        <v>132</v>
      </c>
      <c r="R140" s="23" t="s">
        <v>133</v>
      </c>
      <c r="S140" s="22" t="s">
        <v>9</v>
      </c>
    </row>
    <row r="141" spans="1:19" ht="12.75" customHeight="1" x14ac:dyDescent="0.25">
      <c r="A141" s="47" t="s">
        <v>497</v>
      </c>
      <c r="B141" s="23" t="s">
        <v>623</v>
      </c>
      <c r="C141" s="28">
        <v>45638</v>
      </c>
      <c r="D141" s="30" t="s">
        <v>129</v>
      </c>
      <c r="E141" s="28" t="s">
        <v>168</v>
      </c>
      <c r="F141" s="28" t="s">
        <v>131</v>
      </c>
      <c r="G141" s="28">
        <v>45648</v>
      </c>
      <c r="H141" s="23" t="s">
        <v>499</v>
      </c>
      <c r="I141" s="33" t="s">
        <v>14</v>
      </c>
      <c r="J141" s="23">
        <v>1</v>
      </c>
      <c r="K141" s="23">
        <v>1</v>
      </c>
      <c r="L141" s="35">
        <v>0</v>
      </c>
      <c r="M141" s="23">
        <v>2</v>
      </c>
      <c r="N141" s="23">
        <v>2</v>
      </c>
      <c r="O141" s="49">
        <v>0</v>
      </c>
      <c r="P141" s="45" t="s">
        <v>6</v>
      </c>
      <c r="Q141" s="23" t="s">
        <v>132</v>
      </c>
      <c r="R141" s="23" t="s">
        <v>133</v>
      </c>
      <c r="S141" s="22" t="s">
        <v>9</v>
      </c>
    </row>
    <row r="142" spans="1:19" ht="12.75" customHeight="1" x14ac:dyDescent="0.25">
      <c r="A142" s="47" t="s">
        <v>497</v>
      </c>
      <c r="B142" s="23" t="s">
        <v>624</v>
      </c>
      <c r="C142" s="28">
        <v>45638</v>
      </c>
      <c r="D142" s="30" t="s">
        <v>129</v>
      </c>
      <c r="E142" s="28" t="s">
        <v>625</v>
      </c>
      <c r="F142" s="28" t="s">
        <v>137</v>
      </c>
      <c r="G142" s="28">
        <v>45648</v>
      </c>
      <c r="H142" s="23" t="s">
        <v>499</v>
      </c>
      <c r="I142" s="33" t="s">
        <v>14</v>
      </c>
      <c r="J142" s="23">
        <v>1</v>
      </c>
      <c r="K142" s="23">
        <v>1</v>
      </c>
      <c r="L142" s="35">
        <v>0</v>
      </c>
      <c r="M142" s="23">
        <v>2</v>
      </c>
      <c r="N142" s="23">
        <v>2</v>
      </c>
      <c r="O142" s="49">
        <v>0</v>
      </c>
      <c r="P142" s="45" t="s">
        <v>6</v>
      </c>
      <c r="Q142" s="23" t="s">
        <v>132</v>
      </c>
      <c r="R142" s="23" t="s">
        <v>133</v>
      </c>
      <c r="S142" s="22" t="s">
        <v>9</v>
      </c>
    </row>
    <row r="143" spans="1:19" ht="12.75" customHeight="1" x14ac:dyDescent="0.25">
      <c r="A143" s="47" t="s">
        <v>497</v>
      </c>
      <c r="B143" s="23" t="s">
        <v>626</v>
      </c>
      <c r="C143" s="28">
        <v>45638</v>
      </c>
      <c r="D143" s="30" t="s">
        <v>129</v>
      </c>
      <c r="E143" s="28" t="s">
        <v>619</v>
      </c>
      <c r="F143" s="28" t="s">
        <v>101</v>
      </c>
      <c r="G143" s="28">
        <v>45648</v>
      </c>
      <c r="H143" s="23" t="s">
        <v>499</v>
      </c>
      <c r="I143" s="33" t="s">
        <v>14</v>
      </c>
      <c r="J143" s="23">
        <v>1</v>
      </c>
      <c r="K143" s="23">
        <v>1</v>
      </c>
      <c r="L143" s="35">
        <v>0</v>
      </c>
      <c r="M143" s="23">
        <v>3</v>
      </c>
      <c r="N143" s="23">
        <v>3</v>
      </c>
      <c r="O143" s="49">
        <v>0</v>
      </c>
      <c r="P143" s="45" t="s">
        <v>6</v>
      </c>
      <c r="Q143" s="23" t="s">
        <v>132</v>
      </c>
      <c r="R143" s="23" t="s">
        <v>133</v>
      </c>
      <c r="S143" s="22" t="s">
        <v>9</v>
      </c>
    </row>
    <row r="144" spans="1:19" ht="12.75" customHeight="1" x14ac:dyDescent="0.25">
      <c r="A144" s="47" t="s">
        <v>497</v>
      </c>
      <c r="B144" s="23" t="s">
        <v>627</v>
      </c>
      <c r="C144" s="28">
        <v>45638</v>
      </c>
      <c r="D144" s="30" t="s">
        <v>129</v>
      </c>
      <c r="E144" s="28" t="s">
        <v>628</v>
      </c>
      <c r="F144" s="28" t="s">
        <v>574</v>
      </c>
      <c r="G144" s="28">
        <v>45648</v>
      </c>
      <c r="H144" s="23" t="s">
        <v>499</v>
      </c>
      <c r="I144" s="33" t="s">
        <v>14</v>
      </c>
      <c r="J144" s="23">
        <v>1</v>
      </c>
      <c r="K144" s="23">
        <v>1</v>
      </c>
      <c r="L144" s="35">
        <v>0</v>
      </c>
      <c r="M144" s="23">
        <v>3</v>
      </c>
      <c r="N144" s="23">
        <v>3</v>
      </c>
      <c r="O144" s="49">
        <v>0</v>
      </c>
      <c r="P144" s="45" t="s">
        <v>6</v>
      </c>
      <c r="Q144" s="23" t="s">
        <v>132</v>
      </c>
      <c r="R144" s="23" t="s">
        <v>133</v>
      </c>
      <c r="S144" s="22" t="s">
        <v>9</v>
      </c>
    </row>
    <row r="145" spans="1:19" ht="12.75" customHeight="1" x14ac:dyDescent="0.25">
      <c r="A145" s="47" t="s">
        <v>497</v>
      </c>
      <c r="B145" s="23" t="s">
        <v>629</v>
      </c>
      <c r="C145" s="28">
        <v>45641</v>
      </c>
      <c r="D145" s="30" t="s">
        <v>129</v>
      </c>
      <c r="E145" s="28" t="s">
        <v>619</v>
      </c>
      <c r="F145" s="28" t="s">
        <v>131</v>
      </c>
      <c r="G145" s="28">
        <v>45651</v>
      </c>
      <c r="H145" s="23" t="s">
        <v>499</v>
      </c>
      <c r="I145" s="33" t="s">
        <v>14</v>
      </c>
      <c r="J145" s="23">
        <v>1</v>
      </c>
      <c r="K145" s="23">
        <v>1</v>
      </c>
      <c r="L145" s="35">
        <v>0</v>
      </c>
      <c r="M145" s="23">
        <v>2</v>
      </c>
      <c r="N145" s="23">
        <v>2</v>
      </c>
      <c r="O145" s="49">
        <v>0</v>
      </c>
      <c r="P145" s="45" t="s">
        <v>6</v>
      </c>
      <c r="Q145" s="23" t="s">
        <v>132</v>
      </c>
      <c r="R145" s="23" t="s">
        <v>133</v>
      </c>
      <c r="S145" s="22" t="s">
        <v>9</v>
      </c>
    </row>
    <row r="146" spans="1:19" ht="12.75" customHeight="1" x14ac:dyDescent="0.25">
      <c r="A146" s="47" t="s">
        <v>497</v>
      </c>
      <c r="B146" s="23" t="s">
        <v>630</v>
      </c>
      <c r="C146" s="28">
        <v>45641</v>
      </c>
      <c r="D146" s="30" t="s">
        <v>129</v>
      </c>
      <c r="E146" s="28" t="s">
        <v>619</v>
      </c>
      <c r="F146" s="28" t="s">
        <v>148</v>
      </c>
      <c r="G146" s="28">
        <v>45651</v>
      </c>
      <c r="H146" s="23" t="s">
        <v>499</v>
      </c>
      <c r="I146" s="33" t="s">
        <v>14</v>
      </c>
      <c r="J146" s="23">
        <v>1</v>
      </c>
      <c r="K146" s="23">
        <v>1</v>
      </c>
      <c r="L146" s="35">
        <v>0</v>
      </c>
      <c r="M146" s="23">
        <v>1</v>
      </c>
      <c r="N146" s="23">
        <v>1</v>
      </c>
      <c r="O146" s="49">
        <v>0</v>
      </c>
      <c r="P146" s="45" t="s">
        <v>6</v>
      </c>
      <c r="Q146" s="23" t="s">
        <v>132</v>
      </c>
      <c r="R146" s="23" t="s">
        <v>133</v>
      </c>
      <c r="S146" s="22" t="s">
        <v>9</v>
      </c>
    </row>
    <row r="147" spans="1:19" ht="12.75" customHeight="1" x14ac:dyDescent="0.25">
      <c r="A147" s="47" t="s">
        <v>497</v>
      </c>
      <c r="B147" s="23" t="s">
        <v>631</v>
      </c>
      <c r="C147" s="28">
        <v>45641</v>
      </c>
      <c r="D147" s="30" t="s">
        <v>129</v>
      </c>
      <c r="E147" s="28" t="s">
        <v>625</v>
      </c>
      <c r="F147" s="28" t="s">
        <v>137</v>
      </c>
      <c r="G147" s="28">
        <v>45651</v>
      </c>
      <c r="H147" s="23" t="s">
        <v>499</v>
      </c>
      <c r="I147" s="33" t="s">
        <v>14</v>
      </c>
      <c r="J147" s="23">
        <v>1</v>
      </c>
      <c r="K147" s="23">
        <v>1</v>
      </c>
      <c r="L147" s="35">
        <v>0</v>
      </c>
      <c r="M147" s="23">
        <v>2</v>
      </c>
      <c r="N147" s="23">
        <v>2</v>
      </c>
      <c r="O147" s="49">
        <v>0</v>
      </c>
      <c r="P147" s="45" t="s">
        <v>6</v>
      </c>
      <c r="Q147" s="23" t="s">
        <v>132</v>
      </c>
      <c r="R147" s="23" t="s">
        <v>133</v>
      </c>
      <c r="S147" s="22" t="s">
        <v>9</v>
      </c>
    </row>
    <row r="148" spans="1:19" ht="12.75" customHeight="1" x14ac:dyDescent="0.25">
      <c r="A148" s="47" t="s">
        <v>497</v>
      </c>
      <c r="B148" s="23" t="s">
        <v>632</v>
      </c>
      <c r="C148" s="28">
        <v>45641</v>
      </c>
      <c r="D148" s="30" t="s">
        <v>129</v>
      </c>
      <c r="E148" s="28" t="s">
        <v>633</v>
      </c>
      <c r="F148" s="28" t="s">
        <v>120</v>
      </c>
      <c r="G148" s="28">
        <v>45651</v>
      </c>
      <c r="H148" s="23" t="s">
        <v>499</v>
      </c>
      <c r="I148" s="33" t="s">
        <v>14</v>
      </c>
      <c r="J148" s="23">
        <v>1</v>
      </c>
      <c r="K148" s="23">
        <v>1</v>
      </c>
      <c r="L148" s="35">
        <v>0</v>
      </c>
      <c r="M148" s="23">
        <v>2</v>
      </c>
      <c r="N148" s="23">
        <v>2</v>
      </c>
      <c r="O148" s="49">
        <v>0</v>
      </c>
      <c r="P148" s="45" t="s">
        <v>6</v>
      </c>
      <c r="Q148" s="23" t="s">
        <v>132</v>
      </c>
      <c r="R148" s="23" t="s">
        <v>133</v>
      </c>
      <c r="S148" s="22" t="s">
        <v>9</v>
      </c>
    </row>
    <row r="149" spans="1:19" ht="12.75" customHeight="1" x14ac:dyDescent="0.25">
      <c r="A149" s="47" t="s">
        <v>497</v>
      </c>
      <c r="B149" s="23" t="s">
        <v>634</v>
      </c>
      <c r="C149" s="28">
        <v>45641</v>
      </c>
      <c r="D149" s="30" t="s">
        <v>129</v>
      </c>
      <c r="E149" s="28" t="s">
        <v>619</v>
      </c>
      <c r="F149" s="28" t="s">
        <v>101</v>
      </c>
      <c r="G149" s="28">
        <v>45651</v>
      </c>
      <c r="H149" s="23" t="s">
        <v>499</v>
      </c>
      <c r="I149" s="33" t="s">
        <v>14</v>
      </c>
      <c r="J149" s="23">
        <v>1</v>
      </c>
      <c r="K149" s="23">
        <v>1</v>
      </c>
      <c r="L149" s="35">
        <v>0</v>
      </c>
      <c r="M149" s="23">
        <v>4</v>
      </c>
      <c r="N149" s="23">
        <v>4</v>
      </c>
      <c r="O149" s="49">
        <v>0</v>
      </c>
      <c r="P149" s="45" t="s">
        <v>6</v>
      </c>
      <c r="Q149" s="23" t="s">
        <v>132</v>
      </c>
      <c r="R149" s="23" t="s">
        <v>133</v>
      </c>
      <c r="S149" s="22" t="s">
        <v>9</v>
      </c>
    </row>
    <row r="150" spans="1:19" ht="12.75" customHeight="1" x14ac:dyDescent="0.25">
      <c r="A150" s="47" t="s">
        <v>497</v>
      </c>
      <c r="B150" s="23" t="s">
        <v>635</v>
      </c>
      <c r="C150" s="28">
        <v>45641</v>
      </c>
      <c r="D150" s="30" t="s">
        <v>129</v>
      </c>
      <c r="E150" s="28" t="s">
        <v>619</v>
      </c>
      <c r="F150" s="28" t="s">
        <v>120</v>
      </c>
      <c r="G150" s="28">
        <v>45651</v>
      </c>
      <c r="H150" s="23" t="s">
        <v>499</v>
      </c>
      <c r="I150" s="33" t="s">
        <v>14</v>
      </c>
      <c r="J150" s="23">
        <v>1</v>
      </c>
      <c r="K150" s="23">
        <v>1</v>
      </c>
      <c r="L150" s="35">
        <v>0</v>
      </c>
      <c r="M150" s="23">
        <v>2</v>
      </c>
      <c r="N150" s="23">
        <v>2</v>
      </c>
      <c r="O150" s="49">
        <v>0</v>
      </c>
      <c r="P150" s="45" t="s">
        <v>6</v>
      </c>
      <c r="Q150" s="23" t="s">
        <v>132</v>
      </c>
      <c r="R150" s="23" t="s">
        <v>133</v>
      </c>
      <c r="S150" s="22" t="s">
        <v>9</v>
      </c>
    </row>
    <row r="151" spans="1:19" ht="12.75" customHeight="1" x14ac:dyDescent="0.25">
      <c r="A151" s="47" t="s">
        <v>497</v>
      </c>
      <c r="B151" s="23" t="s">
        <v>636</v>
      </c>
      <c r="C151" s="28">
        <v>45641</v>
      </c>
      <c r="D151" s="30" t="s">
        <v>129</v>
      </c>
      <c r="E151" s="28" t="s">
        <v>612</v>
      </c>
      <c r="F151" s="28" t="s">
        <v>131</v>
      </c>
      <c r="G151" s="28">
        <v>45651</v>
      </c>
      <c r="H151" s="23" t="s">
        <v>499</v>
      </c>
      <c r="I151" s="33" t="s">
        <v>14</v>
      </c>
      <c r="J151" s="23">
        <v>1</v>
      </c>
      <c r="K151" s="23">
        <v>1</v>
      </c>
      <c r="L151" s="35">
        <v>0</v>
      </c>
      <c r="M151" s="23">
        <v>1</v>
      </c>
      <c r="N151" s="23">
        <v>1</v>
      </c>
      <c r="O151" s="49">
        <v>0</v>
      </c>
      <c r="P151" s="45" t="s">
        <v>6</v>
      </c>
      <c r="Q151" s="23" t="s">
        <v>132</v>
      </c>
      <c r="R151" s="23" t="s">
        <v>133</v>
      </c>
      <c r="S151" s="22" t="s">
        <v>9</v>
      </c>
    </row>
    <row r="152" spans="1:19" ht="12.75" customHeight="1" x14ac:dyDescent="0.25">
      <c r="A152" s="47" t="s">
        <v>497</v>
      </c>
      <c r="B152" s="23" t="s">
        <v>637</v>
      </c>
      <c r="C152" s="28">
        <v>45641</v>
      </c>
      <c r="D152" s="30" t="s">
        <v>129</v>
      </c>
      <c r="E152" s="28" t="s">
        <v>625</v>
      </c>
      <c r="F152" s="28" t="s">
        <v>574</v>
      </c>
      <c r="G152" s="28">
        <v>45651</v>
      </c>
      <c r="H152" s="23" t="s">
        <v>499</v>
      </c>
      <c r="I152" s="33" t="s">
        <v>14</v>
      </c>
      <c r="J152" s="23">
        <v>1</v>
      </c>
      <c r="K152" s="23">
        <v>1</v>
      </c>
      <c r="L152" s="35">
        <v>0</v>
      </c>
      <c r="M152" s="23">
        <v>2</v>
      </c>
      <c r="N152" s="23">
        <v>2</v>
      </c>
      <c r="O152" s="49">
        <v>0</v>
      </c>
      <c r="P152" s="45" t="s">
        <v>6</v>
      </c>
      <c r="Q152" s="23" t="s">
        <v>132</v>
      </c>
      <c r="R152" s="23" t="s">
        <v>133</v>
      </c>
      <c r="S152" s="22" t="s">
        <v>9</v>
      </c>
    </row>
    <row r="153" spans="1:19" ht="12.75" customHeight="1" x14ac:dyDescent="0.25">
      <c r="A153" s="47" t="s">
        <v>497</v>
      </c>
      <c r="B153" s="23" t="s">
        <v>638</v>
      </c>
      <c r="C153" s="28">
        <v>45641</v>
      </c>
      <c r="D153" s="30" t="s">
        <v>129</v>
      </c>
      <c r="E153" s="28" t="s">
        <v>144</v>
      </c>
      <c r="F153" s="28" t="s">
        <v>574</v>
      </c>
      <c r="G153" s="28">
        <v>45651</v>
      </c>
      <c r="H153" s="23" t="s">
        <v>499</v>
      </c>
      <c r="I153" s="33" t="s">
        <v>14</v>
      </c>
      <c r="J153" s="23">
        <v>1</v>
      </c>
      <c r="K153" s="23">
        <v>1</v>
      </c>
      <c r="L153" s="35">
        <v>0</v>
      </c>
      <c r="M153" s="23">
        <v>2</v>
      </c>
      <c r="N153" s="23">
        <v>2</v>
      </c>
      <c r="O153" s="49">
        <v>0</v>
      </c>
      <c r="P153" s="45" t="s">
        <v>6</v>
      </c>
      <c r="Q153" s="23" t="s">
        <v>132</v>
      </c>
      <c r="R153" s="23" t="s">
        <v>133</v>
      </c>
      <c r="S153" s="22" t="s">
        <v>9</v>
      </c>
    </row>
    <row r="154" spans="1:19" ht="12.75" customHeight="1" x14ac:dyDescent="0.25">
      <c r="A154" s="47" t="s">
        <v>497</v>
      </c>
      <c r="B154" s="23" t="s">
        <v>639</v>
      </c>
      <c r="C154" s="28">
        <v>45641</v>
      </c>
      <c r="D154" s="30" t="s">
        <v>129</v>
      </c>
      <c r="E154" s="28" t="s">
        <v>619</v>
      </c>
      <c r="F154" s="28" t="s">
        <v>142</v>
      </c>
      <c r="G154" s="28">
        <v>45651</v>
      </c>
      <c r="H154" s="23" t="s">
        <v>499</v>
      </c>
      <c r="I154" s="33" t="s">
        <v>14</v>
      </c>
      <c r="J154" s="23">
        <v>1</v>
      </c>
      <c r="K154" s="23">
        <v>1</v>
      </c>
      <c r="L154" s="35">
        <v>0</v>
      </c>
      <c r="M154" s="23">
        <v>2</v>
      </c>
      <c r="N154" s="23">
        <v>2</v>
      </c>
      <c r="O154" s="49">
        <v>0</v>
      </c>
      <c r="P154" s="45" t="s">
        <v>6</v>
      </c>
      <c r="Q154" s="23" t="s">
        <v>132</v>
      </c>
      <c r="R154" s="23" t="s">
        <v>133</v>
      </c>
      <c r="S154" s="22" t="s">
        <v>9</v>
      </c>
    </row>
    <row r="155" spans="1:19" ht="12.75" customHeight="1" x14ac:dyDescent="0.25">
      <c r="A155" s="47" t="s">
        <v>497</v>
      </c>
      <c r="B155" s="23" t="s">
        <v>640</v>
      </c>
      <c r="C155" s="28">
        <v>45641</v>
      </c>
      <c r="D155" s="30" t="s">
        <v>129</v>
      </c>
      <c r="E155" s="28" t="s">
        <v>612</v>
      </c>
      <c r="F155" s="28" t="s">
        <v>135</v>
      </c>
      <c r="G155" s="28">
        <v>45651</v>
      </c>
      <c r="H155" s="23" t="s">
        <v>499</v>
      </c>
      <c r="I155" s="33" t="s">
        <v>14</v>
      </c>
      <c r="J155" s="23">
        <v>1</v>
      </c>
      <c r="K155" s="23">
        <v>1</v>
      </c>
      <c r="L155" s="35">
        <v>0</v>
      </c>
      <c r="M155" s="23">
        <v>1</v>
      </c>
      <c r="N155" s="23">
        <v>1</v>
      </c>
      <c r="O155" s="49">
        <v>0</v>
      </c>
      <c r="P155" s="45" t="s">
        <v>6</v>
      </c>
      <c r="Q155" s="23" t="s">
        <v>132</v>
      </c>
      <c r="R155" s="23" t="s">
        <v>133</v>
      </c>
      <c r="S155" s="22" t="s">
        <v>9</v>
      </c>
    </row>
    <row r="156" spans="1:19" ht="12.75" customHeight="1" x14ac:dyDescent="0.25">
      <c r="A156" s="47" t="s">
        <v>497</v>
      </c>
      <c r="B156" s="23" t="s">
        <v>641</v>
      </c>
      <c r="C156" s="28">
        <v>45641</v>
      </c>
      <c r="D156" s="30" t="s">
        <v>129</v>
      </c>
      <c r="E156" s="28" t="s">
        <v>619</v>
      </c>
      <c r="F156" s="28" t="s">
        <v>642</v>
      </c>
      <c r="G156" s="28">
        <v>45651</v>
      </c>
      <c r="H156" s="23" t="s">
        <v>499</v>
      </c>
      <c r="I156" s="33" t="s">
        <v>14</v>
      </c>
      <c r="J156" s="23">
        <v>1</v>
      </c>
      <c r="K156" s="23">
        <v>1</v>
      </c>
      <c r="L156" s="35">
        <v>0</v>
      </c>
      <c r="M156" s="23">
        <v>2</v>
      </c>
      <c r="N156" s="23">
        <v>2</v>
      </c>
      <c r="O156" s="49">
        <v>0</v>
      </c>
      <c r="P156" s="45" t="s">
        <v>6</v>
      </c>
      <c r="Q156" s="23" t="s">
        <v>132</v>
      </c>
      <c r="R156" s="23" t="s">
        <v>133</v>
      </c>
      <c r="S156" s="22" t="s">
        <v>9</v>
      </c>
    </row>
    <row r="157" spans="1:19" ht="12.75" customHeight="1" x14ac:dyDescent="0.25">
      <c r="A157" s="47" t="s">
        <v>497</v>
      </c>
      <c r="B157" s="23" t="s">
        <v>643</v>
      </c>
      <c r="C157" s="28">
        <v>45641</v>
      </c>
      <c r="D157" s="30" t="s">
        <v>129</v>
      </c>
      <c r="E157" s="28" t="s">
        <v>619</v>
      </c>
      <c r="F157" s="28" t="s">
        <v>642</v>
      </c>
      <c r="G157" s="28">
        <v>45651</v>
      </c>
      <c r="H157" s="23" t="s">
        <v>499</v>
      </c>
      <c r="I157" s="33" t="s">
        <v>14</v>
      </c>
      <c r="J157" s="23">
        <v>1</v>
      </c>
      <c r="K157" s="23">
        <v>1</v>
      </c>
      <c r="L157" s="35">
        <v>0</v>
      </c>
      <c r="M157" s="23">
        <v>2</v>
      </c>
      <c r="N157" s="23">
        <v>2</v>
      </c>
      <c r="O157" s="49">
        <v>0</v>
      </c>
      <c r="P157" s="45" t="s">
        <v>6</v>
      </c>
      <c r="Q157" s="23" t="s">
        <v>132</v>
      </c>
      <c r="R157" s="23" t="s">
        <v>133</v>
      </c>
      <c r="S157" s="22" t="s">
        <v>9</v>
      </c>
    </row>
    <row r="158" spans="1:19" ht="12.75" customHeight="1" x14ac:dyDescent="0.25">
      <c r="A158" s="47" t="s">
        <v>497</v>
      </c>
      <c r="B158" s="23" t="s">
        <v>644</v>
      </c>
      <c r="C158" s="28">
        <v>45643</v>
      </c>
      <c r="D158" s="30" t="s">
        <v>129</v>
      </c>
      <c r="E158" s="28" t="s">
        <v>619</v>
      </c>
      <c r="F158" s="28" t="s">
        <v>642</v>
      </c>
      <c r="G158" s="28">
        <v>45653</v>
      </c>
      <c r="H158" s="23" t="s">
        <v>499</v>
      </c>
      <c r="I158" s="33" t="s">
        <v>14</v>
      </c>
      <c r="J158" s="23">
        <v>1</v>
      </c>
      <c r="K158" s="23">
        <v>1</v>
      </c>
      <c r="L158" s="35">
        <v>0</v>
      </c>
      <c r="M158" s="23">
        <v>2</v>
      </c>
      <c r="N158" s="23">
        <v>2</v>
      </c>
      <c r="O158" s="49">
        <v>0</v>
      </c>
      <c r="P158" s="45" t="s">
        <v>6</v>
      </c>
      <c r="Q158" s="23" t="s">
        <v>132</v>
      </c>
      <c r="R158" s="23" t="s">
        <v>133</v>
      </c>
      <c r="S158" s="22" t="s">
        <v>9</v>
      </c>
    </row>
    <row r="159" spans="1:19" ht="12.75" customHeight="1" x14ac:dyDescent="0.25">
      <c r="A159" s="47" t="s">
        <v>497</v>
      </c>
      <c r="B159" s="23" t="s">
        <v>645</v>
      </c>
      <c r="C159" s="28">
        <v>45644</v>
      </c>
      <c r="D159" s="30" t="s">
        <v>129</v>
      </c>
      <c r="E159" s="28" t="s">
        <v>612</v>
      </c>
      <c r="F159" s="28" t="s">
        <v>131</v>
      </c>
      <c r="G159" s="28">
        <v>45654</v>
      </c>
      <c r="H159" s="23" t="s">
        <v>499</v>
      </c>
      <c r="I159" s="33" t="s">
        <v>14</v>
      </c>
      <c r="J159" s="23">
        <v>1</v>
      </c>
      <c r="K159" s="23">
        <v>1</v>
      </c>
      <c r="L159" s="35">
        <v>0</v>
      </c>
      <c r="M159" s="23">
        <v>1</v>
      </c>
      <c r="N159" s="23">
        <v>1</v>
      </c>
      <c r="O159" s="49">
        <v>0</v>
      </c>
      <c r="P159" s="45" t="s">
        <v>6</v>
      </c>
      <c r="Q159" s="23" t="s">
        <v>132</v>
      </c>
      <c r="R159" s="23" t="s">
        <v>133</v>
      </c>
      <c r="S159" s="22" t="s">
        <v>9</v>
      </c>
    </row>
    <row r="160" spans="1:19" ht="12.75" customHeight="1" x14ac:dyDescent="0.25">
      <c r="A160" s="47" t="s">
        <v>497</v>
      </c>
      <c r="B160" s="23" t="s">
        <v>646</v>
      </c>
      <c r="C160" s="28">
        <v>45645</v>
      </c>
      <c r="D160" s="30" t="s">
        <v>129</v>
      </c>
      <c r="E160" s="28" t="s">
        <v>144</v>
      </c>
      <c r="F160" s="28" t="s">
        <v>131</v>
      </c>
      <c r="G160" s="28">
        <v>45655</v>
      </c>
      <c r="H160" s="23" t="s">
        <v>499</v>
      </c>
      <c r="I160" s="33" t="s">
        <v>14</v>
      </c>
      <c r="J160" s="23">
        <v>1</v>
      </c>
      <c r="K160" s="23">
        <v>1</v>
      </c>
      <c r="L160" s="35">
        <v>0</v>
      </c>
      <c r="M160" s="23">
        <v>6</v>
      </c>
      <c r="N160" s="23">
        <v>6</v>
      </c>
      <c r="O160" s="49">
        <v>0</v>
      </c>
      <c r="P160" s="45" t="s">
        <v>6</v>
      </c>
      <c r="Q160" s="23" t="s">
        <v>132</v>
      </c>
      <c r="R160" s="23" t="s">
        <v>133</v>
      </c>
      <c r="S160" s="22" t="s">
        <v>9</v>
      </c>
    </row>
    <row r="161" spans="1:19" ht="12.75" customHeight="1" x14ac:dyDescent="0.25">
      <c r="A161" s="47" t="s">
        <v>497</v>
      </c>
      <c r="B161" s="23" t="s">
        <v>647</v>
      </c>
      <c r="C161" s="28">
        <v>45645</v>
      </c>
      <c r="D161" s="30" t="s">
        <v>129</v>
      </c>
      <c r="E161" s="28" t="s">
        <v>619</v>
      </c>
      <c r="F161" s="28" t="s">
        <v>574</v>
      </c>
      <c r="G161" s="28">
        <v>45655</v>
      </c>
      <c r="H161" s="23" t="s">
        <v>499</v>
      </c>
      <c r="I161" s="33" t="s">
        <v>14</v>
      </c>
      <c r="J161" s="23">
        <v>1</v>
      </c>
      <c r="K161" s="23">
        <v>1</v>
      </c>
      <c r="L161" s="35">
        <v>0</v>
      </c>
      <c r="M161" s="23">
        <v>2</v>
      </c>
      <c r="N161" s="23">
        <v>2</v>
      </c>
      <c r="O161" s="49">
        <v>0</v>
      </c>
      <c r="P161" s="45" t="s">
        <v>6</v>
      </c>
      <c r="Q161" s="23" t="s">
        <v>132</v>
      </c>
      <c r="R161" s="23" t="s">
        <v>133</v>
      </c>
      <c r="S161" s="22" t="s">
        <v>9</v>
      </c>
    </row>
    <row r="162" spans="1:19" ht="12.75" customHeight="1" x14ac:dyDescent="0.25">
      <c r="A162" s="47" t="s">
        <v>497</v>
      </c>
      <c r="B162" s="23" t="s">
        <v>648</v>
      </c>
      <c r="C162" s="28">
        <v>45656</v>
      </c>
      <c r="D162" s="30" t="s">
        <v>129</v>
      </c>
      <c r="E162" s="28" t="s">
        <v>144</v>
      </c>
      <c r="F162" s="28" t="s">
        <v>612</v>
      </c>
      <c r="G162" s="28">
        <v>45666</v>
      </c>
      <c r="H162" s="23" t="s">
        <v>499</v>
      </c>
      <c r="I162" s="33" t="s">
        <v>14</v>
      </c>
      <c r="J162" s="23">
        <v>1</v>
      </c>
      <c r="K162" s="23">
        <v>1</v>
      </c>
      <c r="L162" s="35">
        <v>0</v>
      </c>
      <c r="M162" s="23">
        <v>4</v>
      </c>
      <c r="N162" s="23">
        <v>4</v>
      </c>
      <c r="O162" s="49">
        <v>0</v>
      </c>
      <c r="P162" s="45" t="s">
        <v>6</v>
      </c>
      <c r="Q162" s="23" t="s">
        <v>132</v>
      </c>
      <c r="R162" s="23" t="s">
        <v>133</v>
      </c>
      <c r="S162" s="22" t="s">
        <v>9</v>
      </c>
    </row>
    <row r="163" spans="1:19" ht="12.75" customHeight="1" x14ac:dyDescent="0.25">
      <c r="A163" s="47" t="s">
        <v>497</v>
      </c>
      <c r="B163" s="23" t="s">
        <v>649</v>
      </c>
      <c r="C163" s="28">
        <v>45656</v>
      </c>
      <c r="D163" s="30" t="s">
        <v>129</v>
      </c>
      <c r="E163" s="28" t="s">
        <v>144</v>
      </c>
      <c r="F163" s="28" t="s">
        <v>166</v>
      </c>
      <c r="G163" s="28">
        <v>45666</v>
      </c>
      <c r="H163" s="23" t="s">
        <v>499</v>
      </c>
      <c r="I163" s="33" t="s">
        <v>14</v>
      </c>
      <c r="J163" s="23">
        <v>1</v>
      </c>
      <c r="K163" s="23">
        <v>1</v>
      </c>
      <c r="L163" s="35">
        <v>0</v>
      </c>
      <c r="M163" s="23">
        <v>2</v>
      </c>
      <c r="N163" s="23">
        <v>2</v>
      </c>
      <c r="O163" s="49">
        <v>0</v>
      </c>
      <c r="P163" s="45" t="s">
        <v>6</v>
      </c>
      <c r="Q163" s="23" t="s">
        <v>132</v>
      </c>
      <c r="R163" s="23" t="s">
        <v>133</v>
      </c>
      <c r="S163" s="22" t="s">
        <v>9</v>
      </c>
    </row>
    <row r="164" spans="1:19" ht="12.75" customHeight="1" x14ac:dyDescent="0.25">
      <c r="A164" s="47" t="s">
        <v>497</v>
      </c>
      <c r="B164" s="23" t="s">
        <v>650</v>
      </c>
      <c r="C164" s="28">
        <v>45656</v>
      </c>
      <c r="D164" s="30" t="s">
        <v>129</v>
      </c>
      <c r="E164" s="28" t="s">
        <v>144</v>
      </c>
      <c r="F164" s="28" t="s">
        <v>166</v>
      </c>
      <c r="G164" s="28">
        <v>45666</v>
      </c>
      <c r="H164" s="23" t="s">
        <v>499</v>
      </c>
      <c r="I164" s="33" t="s">
        <v>14</v>
      </c>
      <c r="J164" s="23">
        <v>1</v>
      </c>
      <c r="K164" s="23">
        <v>1</v>
      </c>
      <c r="L164" s="35">
        <v>0</v>
      </c>
      <c r="M164" s="23">
        <v>2</v>
      </c>
      <c r="N164" s="23">
        <v>2</v>
      </c>
      <c r="O164" s="49">
        <v>0</v>
      </c>
      <c r="P164" s="45" t="s">
        <v>6</v>
      </c>
      <c r="Q164" s="23" t="s">
        <v>132</v>
      </c>
      <c r="R164" s="23" t="s">
        <v>133</v>
      </c>
      <c r="S164" s="22" t="s">
        <v>9</v>
      </c>
    </row>
    <row r="165" spans="1:19" ht="12.75" customHeight="1" thickBot="1" x14ac:dyDescent="0.3">
      <c r="A165" s="51" t="s">
        <v>497</v>
      </c>
      <c r="B165" s="20" t="s">
        <v>651</v>
      </c>
      <c r="C165" s="25">
        <v>45657</v>
      </c>
      <c r="D165" s="27" t="s">
        <v>129</v>
      </c>
      <c r="E165" s="25" t="s">
        <v>144</v>
      </c>
      <c r="F165" s="25" t="s">
        <v>166</v>
      </c>
      <c r="G165" s="25">
        <v>45667</v>
      </c>
      <c r="H165" s="20" t="s">
        <v>499</v>
      </c>
      <c r="I165" s="32" t="s">
        <v>14</v>
      </c>
      <c r="J165" s="20">
        <v>1</v>
      </c>
      <c r="K165" s="20">
        <v>1</v>
      </c>
      <c r="L165" s="34">
        <v>0</v>
      </c>
      <c r="M165" s="20">
        <v>2</v>
      </c>
      <c r="N165" s="20">
        <v>2</v>
      </c>
      <c r="O165" s="54">
        <v>0</v>
      </c>
      <c r="P165" s="45" t="s">
        <v>6</v>
      </c>
      <c r="Q165" s="23" t="s">
        <v>132</v>
      </c>
      <c r="R165" s="23" t="s">
        <v>133</v>
      </c>
      <c r="S165" s="22" t="s">
        <v>9</v>
      </c>
    </row>
    <row r="166" spans="1:19" ht="17.25" customHeight="1" x14ac:dyDescent="0.25">
      <c r="A166" s="60"/>
      <c r="B166" s="50"/>
      <c r="C166" s="55"/>
      <c r="D166" s="56"/>
      <c r="E166" s="56"/>
      <c r="F166" s="57"/>
      <c r="G166" s="57"/>
      <c r="H166" s="57"/>
      <c r="I166" s="58" t="s">
        <v>1087</v>
      </c>
      <c r="J166" s="57">
        <f>SUM(J134:J165)</f>
        <v>32</v>
      </c>
      <c r="K166" s="57">
        <f>SUM(K134:K165)</f>
        <v>32</v>
      </c>
      <c r="L166" s="59">
        <f>(SUM(K134:K165) - SUM(J134:J165)) / SUM(K134:K165)</f>
        <v>0</v>
      </c>
      <c r="M166" s="57">
        <f>SUM(M134:M165)</f>
        <v>70</v>
      </c>
      <c r="N166" s="56">
        <f>SUM(N134:N165)</f>
        <v>70</v>
      </c>
      <c r="O166" s="61">
        <f>(SUM(M134:M165) - SUM(N134:N165)) / SUM(M134:M165)</f>
        <v>0</v>
      </c>
      <c r="P166" s="52"/>
      <c r="Q166" s="53"/>
      <c r="R166" s="52"/>
      <c r="S166" s="52"/>
    </row>
    <row r="167" spans="1:19" x14ac:dyDescent="0.25">
      <c r="A167" s="125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2"/>
      <c r="M167" s="121"/>
      <c r="N167" s="121"/>
      <c r="O167" s="127"/>
      <c r="P167" s="120"/>
      <c r="Q167" s="120"/>
      <c r="R167" s="120"/>
      <c r="S167" s="120"/>
    </row>
    <row r="168" spans="1:19" ht="15.75" thickBot="1" x14ac:dyDescent="0.3">
      <c r="A168" s="126"/>
      <c r="B168" s="123"/>
      <c r="C168" s="124"/>
      <c r="D168" s="123"/>
      <c r="E168" s="123"/>
      <c r="F168" s="123"/>
      <c r="G168" s="124"/>
      <c r="H168" s="123"/>
      <c r="I168" s="123"/>
      <c r="J168" s="123"/>
      <c r="K168" s="123"/>
      <c r="L168" s="123"/>
      <c r="M168" s="123"/>
      <c r="N168" s="123"/>
      <c r="O168" s="128"/>
      <c r="P168" s="98"/>
      <c r="Q168" s="98"/>
      <c r="R168" s="98"/>
      <c r="S168" s="98"/>
    </row>
    <row r="169" spans="1:19" ht="15.75" thickBot="1" x14ac:dyDescent="0.3">
      <c r="C169" s="1"/>
      <c r="G169" s="1"/>
    </row>
    <row r="170" spans="1:19" x14ac:dyDescent="0.25">
      <c r="A170" s="9"/>
      <c r="B170" s="10"/>
      <c r="C170" s="11"/>
      <c r="D170" s="11"/>
      <c r="E170" s="11"/>
      <c r="F170" s="11"/>
      <c r="G170" s="11"/>
      <c r="H170" s="12"/>
      <c r="I170" s="11"/>
      <c r="J170" s="13"/>
      <c r="K170" s="13"/>
      <c r="L170" s="13"/>
      <c r="M170" s="13"/>
      <c r="N170" s="11"/>
      <c r="O170" s="14"/>
      <c r="P170" s="4"/>
      <c r="Q170" s="5"/>
      <c r="R170" s="4"/>
      <c r="S170" s="4"/>
    </row>
    <row r="171" spans="1:19" x14ac:dyDescent="0.25">
      <c r="A171" s="6" t="s">
        <v>1095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15"/>
      <c r="P171" s="3"/>
      <c r="Q171" s="3"/>
      <c r="R171" s="3"/>
      <c r="S171" s="3"/>
    </row>
    <row r="172" spans="1:19" x14ac:dyDescent="0.25">
      <c r="A172" s="7" t="s">
        <v>160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15"/>
      <c r="P172" s="3"/>
      <c r="Q172" s="3"/>
      <c r="R172" s="3"/>
      <c r="S172" s="3"/>
    </row>
    <row r="173" spans="1:19" ht="15.75" thickBot="1" x14ac:dyDescent="0.3">
      <c r="A173" s="8"/>
      <c r="B173" s="8"/>
      <c r="C173" s="74"/>
      <c r="D173" s="8"/>
      <c r="E173" s="8"/>
      <c r="F173" s="8"/>
      <c r="G173" s="74"/>
      <c r="H173" s="8"/>
      <c r="I173" s="8"/>
      <c r="J173" s="8"/>
      <c r="K173" s="8"/>
      <c r="L173" s="8"/>
      <c r="M173" s="8"/>
      <c r="N173" s="8"/>
      <c r="O173" s="16"/>
      <c r="P173" s="3"/>
      <c r="Q173" s="3"/>
      <c r="R173" s="3"/>
      <c r="S173" s="3"/>
    </row>
    <row r="174" spans="1:19" ht="17.25" customHeight="1" thickBot="1" x14ac:dyDescent="0.3">
      <c r="A174" s="19" t="s">
        <v>1068</v>
      </c>
      <c r="B174" s="24" t="s">
        <v>1069</v>
      </c>
      <c r="C174" s="26" t="s">
        <v>1070</v>
      </c>
      <c r="D174" s="29" t="s">
        <v>1071</v>
      </c>
      <c r="E174" s="26" t="s">
        <v>1072</v>
      </c>
      <c r="F174" s="31" t="s">
        <v>1073</v>
      </c>
      <c r="G174" s="31" t="s">
        <v>1074</v>
      </c>
      <c r="H174" s="31" t="s">
        <v>1075</v>
      </c>
      <c r="I174" s="29" t="s">
        <v>14</v>
      </c>
      <c r="J174" s="29" t="s">
        <v>1076</v>
      </c>
      <c r="K174" s="29" t="s">
        <v>1077</v>
      </c>
      <c r="L174" s="29" t="s">
        <v>1078</v>
      </c>
      <c r="M174" s="29" t="s">
        <v>1079</v>
      </c>
      <c r="N174" s="29" t="s">
        <v>1080</v>
      </c>
      <c r="O174" s="36" t="s">
        <v>1081</v>
      </c>
      <c r="P174" s="37" t="s">
        <v>1082</v>
      </c>
      <c r="Q174" s="38" t="s">
        <v>1083</v>
      </c>
      <c r="R174" s="38" t="s">
        <v>1084</v>
      </c>
      <c r="S174" s="39" t="s">
        <v>1085</v>
      </c>
    </row>
    <row r="175" spans="1:19" ht="12.75" customHeight="1" x14ac:dyDescent="0.25">
      <c r="A175" s="46" t="s">
        <v>497</v>
      </c>
      <c r="B175" s="40" t="s">
        <v>652</v>
      </c>
      <c r="C175" s="41">
        <v>45669</v>
      </c>
      <c r="D175" s="42" t="s">
        <v>156</v>
      </c>
      <c r="E175" s="41" t="s">
        <v>211</v>
      </c>
      <c r="F175" s="41" t="s">
        <v>163</v>
      </c>
      <c r="G175" s="41">
        <v>45679</v>
      </c>
      <c r="H175" s="40" t="s">
        <v>499</v>
      </c>
      <c r="I175" s="43" t="s">
        <v>14</v>
      </c>
      <c r="J175" s="40">
        <v>1</v>
      </c>
      <c r="K175" s="40">
        <v>1</v>
      </c>
      <c r="L175" s="44">
        <v>0</v>
      </c>
      <c r="M175" s="40">
        <v>2</v>
      </c>
      <c r="N175" s="40">
        <v>2</v>
      </c>
      <c r="O175" s="48">
        <v>0</v>
      </c>
      <c r="P175" s="45" t="s">
        <v>159</v>
      </c>
      <c r="Q175" s="23" t="s">
        <v>160</v>
      </c>
      <c r="R175" s="23" t="s">
        <v>161</v>
      </c>
      <c r="S175" s="22" t="s">
        <v>9</v>
      </c>
    </row>
    <row r="176" spans="1:19" ht="12.75" customHeight="1" x14ac:dyDescent="0.25">
      <c r="A176" s="47" t="s">
        <v>497</v>
      </c>
      <c r="B176" s="23" t="s">
        <v>653</v>
      </c>
      <c r="C176" s="28">
        <v>45669</v>
      </c>
      <c r="D176" s="30" t="s">
        <v>156</v>
      </c>
      <c r="E176" s="28" t="s">
        <v>211</v>
      </c>
      <c r="F176" s="28" t="s">
        <v>163</v>
      </c>
      <c r="G176" s="28">
        <v>45679</v>
      </c>
      <c r="H176" s="23" t="s">
        <v>499</v>
      </c>
      <c r="I176" s="33" t="s">
        <v>14</v>
      </c>
      <c r="J176" s="23">
        <v>1</v>
      </c>
      <c r="K176" s="23">
        <v>1</v>
      </c>
      <c r="L176" s="35">
        <v>0</v>
      </c>
      <c r="M176" s="23">
        <v>2</v>
      </c>
      <c r="N176" s="23">
        <v>2</v>
      </c>
      <c r="O176" s="49">
        <v>0</v>
      </c>
      <c r="P176" s="45" t="s">
        <v>159</v>
      </c>
      <c r="Q176" s="23" t="s">
        <v>160</v>
      </c>
      <c r="R176" s="23" t="s">
        <v>161</v>
      </c>
      <c r="S176" s="22" t="s">
        <v>9</v>
      </c>
    </row>
    <row r="177" spans="1:19" ht="12.75" customHeight="1" x14ac:dyDescent="0.25">
      <c r="A177" s="47" t="s">
        <v>497</v>
      </c>
      <c r="B177" s="23" t="s">
        <v>654</v>
      </c>
      <c r="C177" s="28">
        <v>45669</v>
      </c>
      <c r="D177" s="30" t="s">
        <v>156</v>
      </c>
      <c r="E177" s="28" t="s">
        <v>609</v>
      </c>
      <c r="F177" s="28" t="s">
        <v>130</v>
      </c>
      <c r="G177" s="28">
        <v>45679</v>
      </c>
      <c r="H177" s="23" t="s">
        <v>499</v>
      </c>
      <c r="I177" s="33" t="s">
        <v>14</v>
      </c>
      <c r="J177" s="23">
        <v>1</v>
      </c>
      <c r="K177" s="23">
        <v>1</v>
      </c>
      <c r="L177" s="35">
        <v>0</v>
      </c>
      <c r="M177" s="23">
        <v>3</v>
      </c>
      <c r="N177" s="23">
        <v>3</v>
      </c>
      <c r="O177" s="49">
        <v>0</v>
      </c>
      <c r="P177" s="45" t="s">
        <v>159</v>
      </c>
      <c r="Q177" s="23" t="s">
        <v>160</v>
      </c>
      <c r="R177" s="23" t="s">
        <v>161</v>
      </c>
      <c r="S177" s="22" t="s">
        <v>9</v>
      </c>
    </row>
    <row r="178" spans="1:19" ht="12.75" customHeight="1" x14ac:dyDescent="0.25">
      <c r="A178" s="47" t="s">
        <v>497</v>
      </c>
      <c r="B178" s="23" t="s">
        <v>655</v>
      </c>
      <c r="C178" s="28">
        <v>45676</v>
      </c>
      <c r="D178" s="30" t="s">
        <v>156</v>
      </c>
      <c r="E178" s="28" t="s">
        <v>656</v>
      </c>
      <c r="F178" s="28" t="s">
        <v>633</v>
      </c>
      <c r="G178" s="28">
        <v>45686</v>
      </c>
      <c r="H178" s="23" t="s">
        <v>499</v>
      </c>
      <c r="I178" s="33" t="s">
        <v>14</v>
      </c>
      <c r="J178" s="23">
        <v>1</v>
      </c>
      <c r="K178" s="23">
        <v>1</v>
      </c>
      <c r="L178" s="35">
        <v>0</v>
      </c>
      <c r="M178" s="23">
        <v>2</v>
      </c>
      <c r="N178" s="23">
        <v>2</v>
      </c>
      <c r="O178" s="49">
        <v>0</v>
      </c>
      <c r="P178" s="45" t="s">
        <v>159</v>
      </c>
      <c r="Q178" s="23" t="s">
        <v>160</v>
      </c>
      <c r="R178" s="23" t="s">
        <v>161</v>
      </c>
      <c r="S178" s="22" t="s">
        <v>9</v>
      </c>
    </row>
    <row r="179" spans="1:19" ht="12.75" customHeight="1" x14ac:dyDescent="0.25">
      <c r="A179" s="47" t="s">
        <v>497</v>
      </c>
      <c r="B179" s="23" t="s">
        <v>657</v>
      </c>
      <c r="C179" s="28">
        <v>45676</v>
      </c>
      <c r="D179" s="30" t="s">
        <v>156</v>
      </c>
      <c r="E179" s="28" t="s">
        <v>171</v>
      </c>
      <c r="F179" s="28" t="s">
        <v>172</v>
      </c>
      <c r="G179" s="28">
        <v>45686</v>
      </c>
      <c r="H179" s="23" t="s">
        <v>499</v>
      </c>
      <c r="I179" s="33" t="s">
        <v>14</v>
      </c>
      <c r="J179" s="23">
        <v>1</v>
      </c>
      <c r="K179" s="23">
        <v>1</v>
      </c>
      <c r="L179" s="35">
        <v>0</v>
      </c>
      <c r="M179" s="23">
        <v>2</v>
      </c>
      <c r="N179" s="23">
        <v>2</v>
      </c>
      <c r="O179" s="49">
        <v>0</v>
      </c>
      <c r="P179" s="45" t="s">
        <v>159</v>
      </c>
      <c r="Q179" s="23" t="s">
        <v>160</v>
      </c>
      <c r="R179" s="23" t="s">
        <v>161</v>
      </c>
      <c r="S179" s="22" t="s">
        <v>9</v>
      </c>
    </row>
    <row r="180" spans="1:19" ht="12.75" customHeight="1" x14ac:dyDescent="0.25">
      <c r="A180" s="47" t="s">
        <v>497</v>
      </c>
      <c r="B180" s="23" t="s">
        <v>658</v>
      </c>
      <c r="C180" s="28">
        <v>45676</v>
      </c>
      <c r="D180" s="30" t="s">
        <v>156</v>
      </c>
      <c r="E180" s="28" t="s">
        <v>168</v>
      </c>
      <c r="F180" s="28" t="s">
        <v>619</v>
      </c>
      <c r="G180" s="28">
        <v>45686</v>
      </c>
      <c r="H180" s="23" t="s">
        <v>499</v>
      </c>
      <c r="I180" s="33" t="s">
        <v>14</v>
      </c>
      <c r="J180" s="23">
        <v>1</v>
      </c>
      <c r="K180" s="23">
        <v>1</v>
      </c>
      <c r="L180" s="35">
        <v>0</v>
      </c>
      <c r="M180" s="23">
        <v>2</v>
      </c>
      <c r="N180" s="23">
        <v>2</v>
      </c>
      <c r="O180" s="49">
        <v>0</v>
      </c>
      <c r="P180" s="45" t="s">
        <v>159</v>
      </c>
      <c r="Q180" s="23" t="s">
        <v>160</v>
      </c>
      <c r="R180" s="23" t="s">
        <v>161</v>
      </c>
      <c r="S180" s="22" t="s">
        <v>9</v>
      </c>
    </row>
    <row r="181" spans="1:19" ht="12.75" customHeight="1" x14ac:dyDescent="0.25">
      <c r="A181" s="47" t="s">
        <v>497</v>
      </c>
      <c r="B181" s="23" t="s">
        <v>659</v>
      </c>
      <c r="C181" s="28">
        <v>45676</v>
      </c>
      <c r="D181" s="30" t="s">
        <v>156</v>
      </c>
      <c r="E181" s="28" t="s">
        <v>171</v>
      </c>
      <c r="F181" s="28" t="s">
        <v>172</v>
      </c>
      <c r="G181" s="28">
        <v>45686</v>
      </c>
      <c r="H181" s="23" t="s">
        <v>499</v>
      </c>
      <c r="I181" s="33" t="s">
        <v>14</v>
      </c>
      <c r="J181" s="23">
        <v>1</v>
      </c>
      <c r="K181" s="23">
        <v>1</v>
      </c>
      <c r="L181" s="35">
        <v>0</v>
      </c>
      <c r="M181" s="23">
        <v>2</v>
      </c>
      <c r="N181" s="23">
        <v>2</v>
      </c>
      <c r="O181" s="49">
        <v>0</v>
      </c>
      <c r="P181" s="45" t="s">
        <v>159</v>
      </c>
      <c r="Q181" s="23" t="s">
        <v>160</v>
      </c>
      <c r="R181" s="23" t="s">
        <v>161</v>
      </c>
      <c r="S181" s="22" t="s">
        <v>9</v>
      </c>
    </row>
    <row r="182" spans="1:19" ht="12.75" customHeight="1" x14ac:dyDescent="0.25">
      <c r="A182" s="47" t="s">
        <v>497</v>
      </c>
      <c r="B182" s="23" t="s">
        <v>660</v>
      </c>
      <c r="C182" s="28">
        <v>45677</v>
      </c>
      <c r="D182" s="30" t="s">
        <v>156</v>
      </c>
      <c r="E182" s="28" t="s">
        <v>171</v>
      </c>
      <c r="F182" s="28" t="s">
        <v>633</v>
      </c>
      <c r="G182" s="28">
        <v>45687</v>
      </c>
      <c r="H182" s="23" t="s">
        <v>499</v>
      </c>
      <c r="I182" s="33" t="s">
        <v>14</v>
      </c>
      <c r="J182" s="23">
        <v>1</v>
      </c>
      <c r="K182" s="23">
        <v>1</v>
      </c>
      <c r="L182" s="35">
        <v>0</v>
      </c>
      <c r="M182" s="23">
        <v>1</v>
      </c>
      <c r="N182" s="23">
        <v>1</v>
      </c>
      <c r="O182" s="49">
        <v>0</v>
      </c>
      <c r="P182" s="45" t="s">
        <v>159</v>
      </c>
      <c r="Q182" s="23" t="s">
        <v>160</v>
      </c>
      <c r="R182" s="23" t="s">
        <v>161</v>
      </c>
      <c r="S182" s="22" t="s">
        <v>9</v>
      </c>
    </row>
    <row r="183" spans="1:19" ht="12.75" customHeight="1" x14ac:dyDescent="0.25">
      <c r="A183" s="47" t="s">
        <v>497</v>
      </c>
      <c r="B183" s="23" t="s">
        <v>661</v>
      </c>
      <c r="C183" s="28">
        <v>45683</v>
      </c>
      <c r="D183" s="30" t="s">
        <v>156</v>
      </c>
      <c r="E183" s="28" t="s">
        <v>171</v>
      </c>
      <c r="F183" s="28" t="s">
        <v>168</v>
      </c>
      <c r="G183" s="28">
        <v>45693</v>
      </c>
      <c r="H183" s="23" t="s">
        <v>499</v>
      </c>
      <c r="I183" s="33" t="s">
        <v>14</v>
      </c>
      <c r="J183" s="23">
        <v>1</v>
      </c>
      <c r="K183" s="23">
        <v>1</v>
      </c>
      <c r="L183" s="35">
        <v>0</v>
      </c>
      <c r="M183" s="23">
        <v>1</v>
      </c>
      <c r="N183" s="23">
        <v>1</v>
      </c>
      <c r="O183" s="49">
        <v>0</v>
      </c>
      <c r="P183" s="45" t="s">
        <v>159</v>
      </c>
      <c r="Q183" s="23" t="s">
        <v>160</v>
      </c>
      <c r="R183" s="23" t="s">
        <v>161</v>
      </c>
      <c r="S183" s="22" t="s">
        <v>9</v>
      </c>
    </row>
    <row r="184" spans="1:19" ht="12.75" customHeight="1" x14ac:dyDescent="0.25">
      <c r="A184" s="47" t="s">
        <v>497</v>
      </c>
      <c r="B184" s="23" t="s">
        <v>662</v>
      </c>
      <c r="C184" s="28">
        <v>45683</v>
      </c>
      <c r="D184" s="30" t="s">
        <v>156</v>
      </c>
      <c r="E184" s="28" t="s">
        <v>171</v>
      </c>
      <c r="F184" s="28" t="s">
        <v>168</v>
      </c>
      <c r="G184" s="28">
        <v>45693</v>
      </c>
      <c r="H184" s="23" t="s">
        <v>499</v>
      </c>
      <c r="I184" s="33" t="s">
        <v>14</v>
      </c>
      <c r="J184" s="23">
        <v>1</v>
      </c>
      <c r="K184" s="23">
        <v>1</v>
      </c>
      <c r="L184" s="35">
        <v>0</v>
      </c>
      <c r="M184" s="23">
        <v>1</v>
      </c>
      <c r="N184" s="23">
        <v>1</v>
      </c>
      <c r="O184" s="49">
        <v>0</v>
      </c>
      <c r="P184" s="45" t="s">
        <v>159</v>
      </c>
      <c r="Q184" s="23" t="s">
        <v>160</v>
      </c>
      <c r="R184" s="23" t="s">
        <v>161</v>
      </c>
      <c r="S184" s="22" t="s">
        <v>9</v>
      </c>
    </row>
    <row r="185" spans="1:19" ht="12.75" customHeight="1" x14ac:dyDescent="0.25">
      <c r="A185" s="47" t="s">
        <v>497</v>
      </c>
      <c r="B185" s="23" t="s">
        <v>663</v>
      </c>
      <c r="C185" s="28">
        <v>45683</v>
      </c>
      <c r="D185" s="30" t="s">
        <v>156</v>
      </c>
      <c r="E185" s="28" t="s">
        <v>171</v>
      </c>
      <c r="F185" s="28" t="s">
        <v>664</v>
      </c>
      <c r="G185" s="28">
        <v>45693</v>
      </c>
      <c r="H185" s="23" t="s">
        <v>499</v>
      </c>
      <c r="I185" s="33" t="s">
        <v>14</v>
      </c>
      <c r="J185" s="23">
        <v>1</v>
      </c>
      <c r="K185" s="23">
        <v>1</v>
      </c>
      <c r="L185" s="35">
        <v>0</v>
      </c>
      <c r="M185" s="23">
        <v>1</v>
      </c>
      <c r="N185" s="23">
        <v>1</v>
      </c>
      <c r="O185" s="49">
        <v>0</v>
      </c>
      <c r="P185" s="45" t="s">
        <v>159</v>
      </c>
      <c r="Q185" s="23" t="s">
        <v>160</v>
      </c>
      <c r="R185" s="23" t="s">
        <v>161</v>
      </c>
      <c r="S185" s="22" t="s">
        <v>9</v>
      </c>
    </row>
    <row r="186" spans="1:19" ht="12.75" customHeight="1" x14ac:dyDescent="0.25">
      <c r="A186" s="47" t="s">
        <v>497</v>
      </c>
      <c r="B186" s="23" t="s">
        <v>665</v>
      </c>
      <c r="C186" s="28">
        <v>45683</v>
      </c>
      <c r="D186" s="30" t="s">
        <v>156</v>
      </c>
      <c r="E186" s="28" t="s">
        <v>171</v>
      </c>
      <c r="F186" s="28" t="s">
        <v>168</v>
      </c>
      <c r="G186" s="28">
        <v>45693</v>
      </c>
      <c r="H186" s="23" t="s">
        <v>499</v>
      </c>
      <c r="I186" s="33" t="s">
        <v>14</v>
      </c>
      <c r="J186" s="23">
        <v>1</v>
      </c>
      <c r="K186" s="23">
        <v>1</v>
      </c>
      <c r="L186" s="35">
        <v>0</v>
      </c>
      <c r="M186" s="23">
        <v>2</v>
      </c>
      <c r="N186" s="23">
        <v>2</v>
      </c>
      <c r="O186" s="49">
        <v>0</v>
      </c>
      <c r="P186" s="45" t="s">
        <v>159</v>
      </c>
      <c r="Q186" s="23" t="s">
        <v>160</v>
      </c>
      <c r="R186" s="23" t="s">
        <v>161</v>
      </c>
      <c r="S186" s="22" t="s">
        <v>9</v>
      </c>
    </row>
    <row r="187" spans="1:19" ht="12.75" customHeight="1" x14ac:dyDescent="0.25">
      <c r="A187" s="47" t="s">
        <v>497</v>
      </c>
      <c r="B187" s="23" t="s">
        <v>666</v>
      </c>
      <c r="C187" s="28">
        <v>45683</v>
      </c>
      <c r="D187" s="30" t="s">
        <v>156</v>
      </c>
      <c r="E187" s="28" t="s">
        <v>171</v>
      </c>
      <c r="F187" s="28" t="s">
        <v>147</v>
      </c>
      <c r="G187" s="28">
        <v>45693</v>
      </c>
      <c r="H187" s="23" t="s">
        <v>499</v>
      </c>
      <c r="I187" s="33" t="s">
        <v>14</v>
      </c>
      <c r="J187" s="23">
        <v>1</v>
      </c>
      <c r="K187" s="23">
        <v>1</v>
      </c>
      <c r="L187" s="35">
        <v>0</v>
      </c>
      <c r="M187" s="23">
        <v>2</v>
      </c>
      <c r="N187" s="23">
        <v>2</v>
      </c>
      <c r="O187" s="49">
        <v>0</v>
      </c>
      <c r="P187" s="45" t="s">
        <v>159</v>
      </c>
      <c r="Q187" s="23" t="s">
        <v>160</v>
      </c>
      <c r="R187" s="23" t="s">
        <v>161</v>
      </c>
      <c r="S187" s="22" t="s">
        <v>9</v>
      </c>
    </row>
    <row r="188" spans="1:19" ht="12.75" customHeight="1" thickBot="1" x14ac:dyDescent="0.3">
      <c r="A188" s="51" t="s">
        <v>497</v>
      </c>
      <c r="B188" s="20" t="s">
        <v>667</v>
      </c>
      <c r="C188" s="25">
        <v>45684</v>
      </c>
      <c r="D188" s="27" t="s">
        <v>156</v>
      </c>
      <c r="E188" s="25" t="s">
        <v>171</v>
      </c>
      <c r="F188" s="25" t="s">
        <v>668</v>
      </c>
      <c r="G188" s="25">
        <v>45694</v>
      </c>
      <c r="H188" s="20" t="s">
        <v>499</v>
      </c>
      <c r="I188" s="32" t="s">
        <v>14</v>
      </c>
      <c r="J188" s="20">
        <v>1</v>
      </c>
      <c r="K188" s="20">
        <v>1</v>
      </c>
      <c r="L188" s="34">
        <v>0</v>
      </c>
      <c r="M188" s="20">
        <v>2</v>
      </c>
      <c r="N188" s="20">
        <v>2</v>
      </c>
      <c r="O188" s="54">
        <v>0</v>
      </c>
      <c r="P188" s="45" t="s">
        <v>159</v>
      </c>
      <c r="Q188" s="23" t="s">
        <v>160</v>
      </c>
      <c r="R188" s="23" t="s">
        <v>161</v>
      </c>
      <c r="S188" s="22" t="s">
        <v>9</v>
      </c>
    </row>
    <row r="189" spans="1:19" ht="17.25" customHeight="1" x14ac:dyDescent="0.25">
      <c r="A189" s="60"/>
      <c r="B189" s="50"/>
      <c r="C189" s="55"/>
      <c r="D189" s="56"/>
      <c r="E189" s="56"/>
      <c r="F189" s="57"/>
      <c r="G189" s="57"/>
      <c r="H189" s="57"/>
      <c r="I189" s="58" t="s">
        <v>1087</v>
      </c>
      <c r="J189" s="57">
        <f>SUM(J175:J188)</f>
        <v>14</v>
      </c>
      <c r="K189" s="57">
        <f>SUM(K175:K188)</f>
        <v>14</v>
      </c>
      <c r="L189" s="59">
        <f>(SUM(K175:K188) - SUM(J175:J188)) / SUM(K175:K188)</f>
        <v>0</v>
      </c>
      <c r="M189" s="57">
        <f>SUM(M175:M188)</f>
        <v>25</v>
      </c>
      <c r="N189" s="56">
        <f>SUM(N175:N188)</f>
        <v>25</v>
      </c>
      <c r="O189" s="61">
        <f>(SUM(M175:M188) - SUM(N175:N188)) / SUM(M175:M188)</f>
        <v>0</v>
      </c>
      <c r="P189" s="52"/>
      <c r="Q189" s="53"/>
      <c r="R189" s="52"/>
      <c r="S189" s="52"/>
    </row>
    <row r="190" spans="1:19" x14ac:dyDescent="0.25">
      <c r="A190" s="125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2"/>
      <c r="M190" s="121"/>
      <c r="N190" s="121"/>
      <c r="O190" s="127"/>
      <c r="P190" s="120"/>
      <c r="Q190" s="120"/>
      <c r="R190" s="120"/>
      <c r="S190" s="120"/>
    </row>
    <row r="191" spans="1:19" ht="15.75" thickBot="1" x14ac:dyDescent="0.3">
      <c r="A191" s="126"/>
      <c r="B191" s="123"/>
      <c r="C191" s="124"/>
      <c r="D191" s="123"/>
      <c r="E191" s="123"/>
      <c r="F191" s="123"/>
      <c r="G191" s="124"/>
      <c r="H191" s="123"/>
      <c r="I191" s="123"/>
      <c r="J191" s="123"/>
      <c r="K191" s="123"/>
      <c r="L191" s="123"/>
      <c r="M191" s="123"/>
      <c r="N191" s="123"/>
      <c r="O191" s="128"/>
      <c r="P191" s="98"/>
      <c r="Q191" s="98"/>
      <c r="R191" s="98"/>
      <c r="S191" s="98"/>
    </row>
    <row r="192" spans="1:19" ht="15.75" thickBot="1" x14ac:dyDescent="0.3">
      <c r="C192" s="1"/>
      <c r="G192" s="1"/>
    </row>
    <row r="193" spans="1:19" x14ac:dyDescent="0.25">
      <c r="A193" s="9"/>
      <c r="B193" s="10"/>
      <c r="C193" s="11"/>
      <c r="D193" s="11"/>
      <c r="E193" s="11"/>
      <c r="F193" s="11"/>
      <c r="G193" s="11"/>
      <c r="H193" s="12"/>
      <c r="I193" s="11"/>
      <c r="J193" s="13"/>
      <c r="K193" s="13"/>
      <c r="L193" s="13"/>
      <c r="M193" s="13"/>
      <c r="N193" s="11"/>
      <c r="O193" s="14"/>
      <c r="P193" s="4"/>
      <c r="Q193" s="5"/>
      <c r="R193" s="4"/>
      <c r="S193" s="4"/>
    </row>
    <row r="194" spans="1:19" x14ac:dyDescent="0.25">
      <c r="A194" s="6" t="s">
        <v>1095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15"/>
      <c r="P194" s="3"/>
      <c r="Q194" s="3"/>
      <c r="R194" s="3"/>
      <c r="S194" s="3"/>
    </row>
    <row r="195" spans="1:19" x14ac:dyDescent="0.25">
      <c r="A195" s="7" t="s">
        <v>182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15"/>
      <c r="P195" s="3"/>
      <c r="Q195" s="3"/>
      <c r="R195" s="3"/>
      <c r="S195" s="3"/>
    </row>
    <row r="196" spans="1:19" ht="15.75" thickBot="1" x14ac:dyDescent="0.3">
      <c r="A196" s="8"/>
      <c r="B196" s="8"/>
      <c r="C196" s="74"/>
      <c r="D196" s="8"/>
      <c r="E196" s="8"/>
      <c r="F196" s="8"/>
      <c r="G196" s="74"/>
      <c r="H196" s="8"/>
      <c r="I196" s="8"/>
      <c r="J196" s="8"/>
      <c r="K196" s="8"/>
      <c r="L196" s="8"/>
      <c r="M196" s="8"/>
      <c r="N196" s="8"/>
      <c r="O196" s="16"/>
      <c r="P196" s="3"/>
      <c r="Q196" s="3"/>
      <c r="R196" s="3"/>
      <c r="S196" s="3"/>
    </row>
    <row r="197" spans="1:19" ht="17.25" customHeight="1" thickBot="1" x14ac:dyDescent="0.3">
      <c r="A197" s="19" t="s">
        <v>1068</v>
      </c>
      <c r="B197" s="24" t="s">
        <v>1069</v>
      </c>
      <c r="C197" s="26" t="s">
        <v>1070</v>
      </c>
      <c r="D197" s="29" t="s">
        <v>1071</v>
      </c>
      <c r="E197" s="26" t="s">
        <v>1072</v>
      </c>
      <c r="F197" s="31" t="s">
        <v>1073</v>
      </c>
      <c r="G197" s="31" t="s">
        <v>1074</v>
      </c>
      <c r="H197" s="31" t="s">
        <v>1075</v>
      </c>
      <c r="I197" s="29" t="s">
        <v>14</v>
      </c>
      <c r="J197" s="29" t="s">
        <v>1076</v>
      </c>
      <c r="K197" s="29" t="s">
        <v>1077</v>
      </c>
      <c r="L197" s="29" t="s">
        <v>1078</v>
      </c>
      <c r="M197" s="29" t="s">
        <v>1079</v>
      </c>
      <c r="N197" s="29" t="s">
        <v>1080</v>
      </c>
      <c r="O197" s="36" t="s">
        <v>1081</v>
      </c>
      <c r="P197" s="37" t="s">
        <v>1082</v>
      </c>
      <c r="Q197" s="38" t="s">
        <v>1083</v>
      </c>
      <c r="R197" s="38" t="s">
        <v>1084</v>
      </c>
      <c r="S197" s="39" t="s">
        <v>1085</v>
      </c>
    </row>
    <row r="198" spans="1:19" ht="12.75" customHeight="1" x14ac:dyDescent="0.25">
      <c r="A198" s="46" t="s">
        <v>497</v>
      </c>
      <c r="B198" s="40" t="s">
        <v>669</v>
      </c>
      <c r="C198" s="41">
        <v>45691</v>
      </c>
      <c r="D198" s="42" t="s">
        <v>179</v>
      </c>
      <c r="E198" s="41" t="s">
        <v>628</v>
      </c>
      <c r="F198" s="41" t="s">
        <v>177</v>
      </c>
      <c r="G198" s="41">
        <v>45701</v>
      </c>
      <c r="H198" s="40" t="s">
        <v>499</v>
      </c>
      <c r="I198" s="43" t="s">
        <v>14</v>
      </c>
      <c r="J198" s="40">
        <v>1</v>
      </c>
      <c r="K198" s="40">
        <v>1</v>
      </c>
      <c r="L198" s="44">
        <v>0</v>
      </c>
      <c r="M198" s="40">
        <v>2</v>
      </c>
      <c r="N198" s="40">
        <v>2</v>
      </c>
      <c r="O198" s="48">
        <v>0</v>
      </c>
      <c r="P198" s="45" t="s">
        <v>159</v>
      </c>
      <c r="Q198" s="23" t="s">
        <v>182</v>
      </c>
      <c r="R198" s="23" t="s">
        <v>183</v>
      </c>
      <c r="S198" s="22" t="s">
        <v>9</v>
      </c>
    </row>
    <row r="199" spans="1:19" ht="12.75" customHeight="1" x14ac:dyDescent="0.25">
      <c r="A199" s="47" t="s">
        <v>497</v>
      </c>
      <c r="B199" s="23" t="s">
        <v>670</v>
      </c>
      <c r="C199" s="28">
        <v>45695</v>
      </c>
      <c r="D199" s="30" t="s">
        <v>179</v>
      </c>
      <c r="E199" s="28"/>
      <c r="F199" s="28"/>
      <c r="G199" s="28">
        <v>45705</v>
      </c>
      <c r="H199" s="23" t="s">
        <v>499</v>
      </c>
      <c r="I199" s="33" t="s">
        <v>113</v>
      </c>
      <c r="J199" s="23">
        <v>0</v>
      </c>
      <c r="K199" s="23">
        <v>1</v>
      </c>
      <c r="L199" s="35">
        <v>1</v>
      </c>
      <c r="M199" s="23">
        <v>130</v>
      </c>
      <c r="N199" s="23">
        <v>0</v>
      </c>
      <c r="O199" s="49">
        <v>1</v>
      </c>
      <c r="P199" s="45" t="s">
        <v>159</v>
      </c>
      <c r="Q199" s="23" t="s">
        <v>182</v>
      </c>
      <c r="R199" s="23" t="s">
        <v>183</v>
      </c>
      <c r="S199" s="22" t="s">
        <v>9</v>
      </c>
    </row>
    <row r="200" spans="1:19" ht="12.75" customHeight="1" x14ac:dyDescent="0.25">
      <c r="A200" s="47" t="s">
        <v>497</v>
      </c>
      <c r="B200" s="23" t="s">
        <v>671</v>
      </c>
      <c r="C200" s="28">
        <v>45698</v>
      </c>
      <c r="D200" s="30" t="s">
        <v>179</v>
      </c>
      <c r="E200" s="28" t="s">
        <v>157</v>
      </c>
      <c r="F200" s="28" t="s">
        <v>672</v>
      </c>
      <c r="G200" s="28">
        <v>45708</v>
      </c>
      <c r="H200" s="23" t="s">
        <v>499</v>
      </c>
      <c r="I200" s="33" t="s">
        <v>14</v>
      </c>
      <c r="J200" s="23">
        <v>1</v>
      </c>
      <c r="K200" s="23">
        <v>1</v>
      </c>
      <c r="L200" s="35">
        <v>0</v>
      </c>
      <c r="M200" s="23">
        <v>2</v>
      </c>
      <c r="N200" s="23">
        <v>2</v>
      </c>
      <c r="O200" s="49">
        <v>0</v>
      </c>
      <c r="P200" s="45" t="s">
        <v>159</v>
      </c>
      <c r="Q200" s="23" t="s">
        <v>182</v>
      </c>
      <c r="R200" s="23" t="s">
        <v>183</v>
      </c>
      <c r="S200" s="22" t="s">
        <v>9</v>
      </c>
    </row>
    <row r="201" spans="1:19" ht="12.75" customHeight="1" x14ac:dyDescent="0.25">
      <c r="A201" s="47" t="s">
        <v>497</v>
      </c>
      <c r="B201" s="23" t="s">
        <v>673</v>
      </c>
      <c r="C201" s="28">
        <v>45698</v>
      </c>
      <c r="D201" s="30" t="s">
        <v>179</v>
      </c>
      <c r="E201" s="28" t="s">
        <v>165</v>
      </c>
      <c r="F201" s="28" t="s">
        <v>674</v>
      </c>
      <c r="G201" s="28">
        <v>45708</v>
      </c>
      <c r="H201" s="23" t="s">
        <v>499</v>
      </c>
      <c r="I201" s="33" t="s">
        <v>14</v>
      </c>
      <c r="J201" s="23">
        <v>1</v>
      </c>
      <c r="K201" s="23">
        <v>1</v>
      </c>
      <c r="L201" s="35">
        <v>0</v>
      </c>
      <c r="M201" s="23">
        <v>2</v>
      </c>
      <c r="N201" s="23">
        <v>2</v>
      </c>
      <c r="O201" s="49">
        <v>0</v>
      </c>
      <c r="P201" s="45" t="s">
        <v>159</v>
      </c>
      <c r="Q201" s="23" t="s">
        <v>182</v>
      </c>
      <c r="R201" s="23" t="s">
        <v>183</v>
      </c>
      <c r="S201" s="22" t="s">
        <v>9</v>
      </c>
    </row>
    <row r="202" spans="1:19" ht="12.75" customHeight="1" x14ac:dyDescent="0.25">
      <c r="A202" s="47" t="s">
        <v>497</v>
      </c>
      <c r="B202" s="23" t="s">
        <v>675</v>
      </c>
      <c r="C202" s="28">
        <v>45704</v>
      </c>
      <c r="D202" s="30" t="s">
        <v>179</v>
      </c>
      <c r="E202" s="28" t="s">
        <v>609</v>
      </c>
      <c r="F202" s="28" t="s">
        <v>672</v>
      </c>
      <c r="G202" s="28">
        <v>45714</v>
      </c>
      <c r="H202" s="23" t="s">
        <v>499</v>
      </c>
      <c r="I202" s="33" t="s">
        <v>14</v>
      </c>
      <c r="J202" s="23">
        <v>1</v>
      </c>
      <c r="K202" s="23">
        <v>1</v>
      </c>
      <c r="L202" s="35">
        <v>0</v>
      </c>
      <c r="M202" s="23">
        <v>2</v>
      </c>
      <c r="N202" s="23">
        <v>2</v>
      </c>
      <c r="O202" s="49">
        <v>0</v>
      </c>
      <c r="P202" s="45" t="s">
        <v>159</v>
      </c>
      <c r="Q202" s="23" t="s">
        <v>182</v>
      </c>
      <c r="R202" s="23" t="s">
        <v>183</v>
      </c>
      <c r="S202" s="22" t="s">
        <v>9</v>
      </c>
    </row>
    <row r="203" spans="1:19" ht="12.75" customHeight="1" x14ac:dyDescent="0.25">
      <c r="A203" s="47" t="s">
        <v>497</v>
      </c>
      <c r="B203" s="23" t="s">
        <v>676</v>
      </c>
      <c r="C203" s="28">
        <v>45704</v>
      </c>
      <c r="D203" s="30" t="s">
        <v>179</v>
      </c>
      <c r="E203" s="28" t="s">
        <v>165</v>
      </c>
      <c r="F203" s="28" t="s">
        <v>677</v>
      </c>
      <c r="G203" s="28">
        <v>45714</v>
      </c>
      <c r="H203" s="23" t="s">
        <v>499</v>
      </c>
      <c r="I203" s="33" t="s">
        <v>14</v>
      </c>
      <c r="J203" s="23">
        <v>1</v>
      </c>
      <c r="K203" s="23">
        <v>1</v>
      </c>
      <c r="L203" s="35">
        <v>0</v>
      </c>
      <c r="M203" s="23">
        <v>4</v>
      </c>
      <c r="N203" s="23">
        <v>4</v>
      </c>
      <c r="O203" s="49">
        <v>0</v>
      </c>
      <c r="P203" s="45" t="s">
        <v>159</v>
      </c>
      <c r="Q203" s="23" t="s">
        <v>182</v>
      </c>
      <c r="R203" s="23" t="s">
        <v>183</v>
      </c>
      <c r="S203" s="22" t="s">
        <v>9</v>
      </c>
    </row>
    <row r="204" spans="1:19" ht="12.75" customHeight="1" x14ac:dyDescent="0.25">
      <c r="A204" s="47" t="s">
        <v>497</v>
      </c>
      <c r="B204" s="23" t="s">
        <v>678</v>
      </c>
      <c r="C204" s="28">
        <v>45704</v>
      </c>
      <c r="D204" s="30" t="s">
        <v>179</v>
      </c>
      <c r="E204" s="28" t="s">
        <v>165</v>
      </c>
      <c r="F204" s="28" t="s">
        <v>677</v>
      </c>
      <c r="G204" s="28">
        <v>45714</v>
      </c>
      <c r="H204" s="23" t="s">
        <v>499</v>
      </c>
      <c r="I204" s="33" t="s">
        <v>14</v>
      </c>
      <c r="J204" s="23">
        <v>1</v>
      </c>
      <c r="K204" s="23">
        <v>1</v>
      </c>
      <c r="L204" s="35">
        <v>0</v>
      </c>
      <c r="M204" s="23">
        <v>4</v>
      </c>
      <c r="N204" s="23">
        <v>4</v>
      </c>
      <c r="O204" s="49">
        <v>0</v>
      </c>
      <c r="P204" s="45" t="s">
        <v>159</v>
      </c>
      <c r="Q204" s="23" t="s">
        <v>182</v>
      </c>
      <c r="R204" s="23" t="s">
        <v>183</v>
      </c>
      <c r="S204" s="22" t="s">
        <v>9</v>
      </c>
    </row>
    <row r="205" spans="1:19" ht="12.75" customHeight="1" x14ac:dyDescent="0.25">
      <c r="A205" s="47" t="s">
        <v>497</v>
      </c>
      <c r="B205" s="23" t="s">
        <v>679</v>
      </c>
      <c r="C205" s="28">
        <v>45704</v>
      </c>
      <c r="D205" s="30" t="s">
        <v>179</v>
      </c>
      <c r="E205" s="28" t="s">
        <v>165</v>
      </c>
      <c r="F205" s="28" t="s">
        <v>680</v>
      </c>
      <c r="G205" s="28">
        <v>45714</v>
      </c>
      <c r="H205" s="23" t="s">
        <v>499</v>
      </c>
      <c r="I205" s="33" t="s">
        <v>14</v>
      </c>
      <c r="J205" s="23">
        <v>1</v>
      </c>
      <c r="K205" s="23">
        <v>1</v>
      </c>
      <c r="L205" s="35">
        <v>0</v>
      </c>
      <c r="M205" s="23">
        <v>2</v>
      </c>
      <c r="N205" s="23">
        <v>2</v>
      </c>
      <c r="O205" s="49">
        <v>0</v>
      </c>
      <c r="P205" s="45" t="s">
        <v>159</v>
      </c>
      <c r="Q205" s="23" t="s">
        <v>182</v>
      </c>
      <c r="R205" s="23" t="s">
        <v>183</v>
      </c>
      <c r="S205" s="22" t="s">
        <v>9</v>
      </c>
    </row>
    <row r="206" spans="1:19" ht="12.75" customHeight="1" x14ac:dyDescent="0.25">
      <c r="A206" s="47" t="s">
        <v>497</v>
      </c>
      <c r="B206" s="23" t="s">
        <v>681</v>
      </c>
      <c r="C206" s="28">
        <v>45707</v>
      </c>
      <c r="D206" s="30" t="s">
        <v>179</v>
      </c>
      <c r="E206" s="28" t="s">
        <v>211</v>
      </c>
      <c r="F206" s="28" t="s">
        <v>171</v>
      </c>
      <c r="G206" s="28">
        <v>45717</v>
      </c>
      <c r="H206" s="23" t="s">
        <v>499</v>
      </c>
      <c r="I206" s="33" t="s">
        <v>14</v>
      </c>
      <c r="J206" s="23">
        <v>1</v>
      </c>
      <c r="K206" s="23">
        <v>1</v>
      </c>
      <c r="L206" s="35">
        <v>0</v>
      </c>
      <c r="M206" s="23">
        <v>2</v>
      </c>
      <c r="N206" s="23">
        <v>2</v>
      </c>
      <c r="O206" s="49">
        <v>0</v>
      </c>
      <c r="P206" s="45" t="s">
        <v>159</v>
      </c>
      <c r="Q206" s="23" t="s">
        <v>182</v>
      </c>
      <c r="R206" s="23" t="s">
        <v>183</v>
      </c>
      <c r="S206" s="22" t="s">
        <v>9</v>
      </c>
    </row>
    <row r="207" spans="1:19" ht="12.75" customHeight="1" x14ac:dyDescent="0.25">
      <c r="A207" s="47" t="s">
        <v>497</v>
      </c>
      <c r="B207" s="23" t="s">
        <v>682</v>
      </c>
      <c r="C207" s="28">
        <v>45711</v>
      </c>
      <c r="D207" s="30" t="s">
        <v>179</v>
      </c>
      <c r="E207" s="28" t="s">
        <v>157</v>
      </c>
      <c r="F207" s="28" t="s">
        <v>683</v>
      </c>
      <c r="G207" s="28">
        <v>45721</v>
      </c>
      <c r="H207" s="23" t="s">
        <v>499</v>
      </c>
      <c r="I207" s="33" t="s">
        <v>14</v>
      </c>
      <c r="J207" s="23">
        <v>1</v>
      </c>
      <c r="K207" s="23">
        <v>1</v>
      </c>
      <c r="L207" s="35">
        <v>0</v>
      </c>
      <c r="M207" s="23">
        <v>2</v>
      </c>
      <c r="N207" s="23">
        <v>2</v>
      </c>
      <c r="O207" s="49">
        <v>0</v>
      </c>
      <c r="P207" s="45" t="s">
        <v>159</v>
      </c>
      <c r="Q207" s="23" t="s">
        <v>182</v>
      </c>
      <c r="R207" s="23" t="s">
        <v>183</v>
      </c>
      <c r="S207" s="22" t="s">
        <v>9</v>
      </c>
    </row>
    <row r="208" spans="1:19" ht="12.75" customHeight="1" x14ac:dyDescent="0.25">
      <c r="A208" s="47" t="s">
        <v>497</v>
      </c>
      <c r="B208" s="23" t="s">
        <v>684</v>
      </c>
      <c r="C208" s="28">
        <v>45711</v>
      </c>
      <c r="D208" s="30" t="s">
        <v>179</v>
      </c>
      <c r="E208" s="28" t="s">
        <v>199</v>
      </c>
      <c r="F208" s="28" t="s">
        <v>171</v>
      </c>
      <c r="G208" s="28">
        <v>45721</v>
      </c>
      <c r="H208" s="23" t="s">
        <v>499</v>
      </c>
      <c r="I208" s="33" t="s">
        <v>14</v>
      </c>
      <c r="J208" s="23">
        <v>1</v>
      </c>
      <c r="K208" s="23">
        <v>1</v>
      </c>
      <c r="L208" s="35">
        <v>0</v>
      </c>
      <c r="M208" s="23">
        <v>2</v>
      </c>
      <c r="N208" s="23">
        <v>2</v>
      </c>
      <c r="O208" s="49">
        <v>0</v>
      </c>
      <c r="P208" s="45" t="s">
        <v>159</v>
      </c>
      <c r="Q208" s="23" t="s">
        <v>182</v>
      </c>
      <c r="R208" s="23" t="s">
        <v>183</v>
      </c>
      <c r="S208" s="22" t="s">
        <v>9</v>
      </c>
    </row>
    <row r="209" spans="1:19" ht="12.75" customHeight="1" x14ac:dyDescent="0.25">
      <c r="A209" s="47" t="s">
        <v>497</v>
      </c>
      <c r="B209" s="23" t="s">
        <v>685</v>
      </c>
      <c r="C209" s="28">
        <v>45711</v>
      </c>
      <c r="D209" s="30" t="s">
        <v>179</v>
      </c>
      <c r="E209" s="28" t="s">
        <v>157</v>
      </c>
      <c r="F209" s="28" t="s">
        <v>677</v>
      </c>
      <c r="G209" s="28">
        <v>45721</v>
      </c>
      <c r="H209" s="23" t="s">
        <v>499</v>
      </c>
      <c r="I209" s="33" t="s">
        <v>14</v>
      </c>
      <c r="J209" s="23">
        <v>1</v>
      </c>
      <c r="K209" s="23">
        <v>1</v>
      </c>
      <c r="L209" s="35">
        <v>0</v>
      </c>
      <c r="M209" s="23">
        <v>3</v>
      </c>
      <c r="N209" s="23">
        <v>3</v>
      </c>
      <c r="O209" s="49">
        <v>0</v>
      </c>
      <c r="P209" s="45" t="s">
        <v>159</v>
      </c>
      <c r="Q209" s="23" t="s">
        <v>182</v>
      </c>
      <c r="R209" s="23" t="s">
        <v>183</v>
      </c>
      <c r="S209" s="22" t="s">
        <v>9</v>
      </c>
    </row>
    <row r="210" spans="1:19" ht="12.75" customHeight="1" thickBot="1" x14ac:dyDescent="0.3">
      <c r="A210" s="51" t="s">
        <v>497</v>
      </c>
      <c r="B210" s="20" t="s">
        <v>686</v>
      </c>
      <c r="C210" s="25">
        <v>45711</v>
      </c>
      <c r="D210" s="27" t="s">
        <v>179</v>
      </c>
      <c r="E210" s="25" t="s">
        <v>199</v>
      </c>
      <c r="F210" s="25" t="s">
        <v>181</v>
      </c>
      <c r="G210" s="25">
        <v>45721</v>
      </c>
      <c r="H210" s="20" t="s">
        <v>499</v>
      </c>
      <c r="I210" s="32" t="s">
        <v>14</v>
      </c>
      <c r="J210" s="20">
        <v>1</v>
      </c>
      <c r="K210" s="20">
        <v>1</v>
      </c>
      <c r="L210" s="34">
        <v>0</v>
      </c>
      <c r="M210" s="20">
        <v>2</v>
      </c>
      <c r="N210" s="20">
        <v>2</v>
      </c>
      <c r="O210" s="54">
        <v>0</v>
      </c>
      <c r="P210" s="45" t="s">
        <v>159</v>
      </c>
      <c r="Q210" s="23" t="s">
        <v>182</v>
      </c>
      <c r="R210" s="23" t="s">
        <v>183</v>
      </c>
      <c r="S210" s="22" t="s">
        <v>9</v>
      </c>
    </row>
    <row r="211" spans="1:19" ht="17.25" customHeight="1" x14ac:dyDescent="0.25">
      <c r="A211" s="60"/>
      <c r="B211" s="50"/>
      <c r="C211" s="55"/>
      <c r="D211" s="56"/>
      <c r="E211" s="56"/>
      <c r="F211" s="57"/>
      <c r="G211" s="57"/>
      <c r="H211" s="57"/>
      <c r="I211" s="58" t="s">
        <v>1087</v>
      </c>
      <c r="J211" s="57">
        <f>SUM(J198:J210)</f>
        <v>12</v>
      </c>
      <c r="K211" s="57">
        <f>SUM(K198:K210)</f>
        <v>13</v>
      </c>
      <c r="L211" s="59">
        <f>(SUM(K198:K210) - SUM(J198:J210)) / SUM(K198:K210)</f>
        <v>7.6923076923076927E-2</v>
      </c>
      <c r="M211" s="57">
        <f>SUM(M198:M210)</f>
        <v>159</v>
      </c>
      <c r="N211" s="56">
        <f>SUM(N198:N210)</f>
        <v>29</v>
      </c>
      <c r="O211" s="61">
        <f>(SUM(M198:M210) - SUM(N198:N210)) / SUM(M198:M210)</f>
        <v>0.8176100628930818</v>
      </c>
      <c r="P211" s="52"/>
      <c r="Q211" s="53"/>
      <c r="R211" s="52"/>
      <c r="S211" s="52"/>
    </row>
    <row r="212" spans="1:19" x14ac:dyDescent="0.25">
      <c r="A212" s="125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2"/>
      <c r="M212" s="121"/>
      <c r="N212" s="121"/>
      <c r="O212" s="127"/>
      <c r="P212" s="120"/>
      <c r="Q212" s="120"/>
      <c r="R212" s="120"/>
      <c r="S212" s="120"/>
    </row>
    <row r="213" spans="1:19" ht="15.75" thickBot="1" x14ac:dyDescent="0.3">
      <c r="A213" s="126"/>
      <c r="B213" s="123"/>
      <c r="C213" s="124"/>
      <c r="D213" s="123"/>
      <c r="E213" s="123"/>
      <c r="F213" s="123"/>
      <c r="G213" s="124"/>
      <c r="H213" s="123"/>
      <c r="I213" s="123"/>
      <c r="J213" s="123"/>
      <c r="K213" s="123"/>
      <c r="L213" s="123"/>
      <c r="M213" s="123"/>
      <c r="N213" s="123"/>
      <c r="O213" s="128"/>
      <c r="P213" s="98"/>
      <c r="Q213" s="98"/>
      <c r="R213" s="98"/>
      <c r="S213" s="98"/>
    </row>
    <row r="214" spans="1:19" ht="15.75" thickBot="1" x14ac:dyDescent="0.3">
      <c r="C214" s="1"/>
      <c r="G214" s="1"/>
    </row>
    <row r="215" spans="1:19" x14ac:dyDescent="0.25">
      <c r="A215" s="9"/>
      <c r="B215" s="10"/>
      <c r="C215" s="11"/>
      <c r="D215" s="11"/>
      <c r="E215" s="11"/>
      <c r="F215" s="11"/>
      <c r="G215" s="11"/>
      <c r="H215" s="12"/>
      <c r="I215" s="11"/>
      <c r="J215" s="13"/>
      <c r="K215" s="13"/>
      <c r="L215" s="13"/>
      <c r="M215" s="13"/>
      <c r="N215" s="11"/>
      <c r="O215" s="14"/>
      <c r="P215" s="4"/>
      <c r="Q215" s="5"/>
      <c r="R215" s="4"/>
      <c r="S215" s="4"/>
    </row>
    <row r="216" spans="1:19" x14ac:dyDescent="0.25">
      <c r="A216" s="6" t="s">
        <v>1095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5"/>
      <c r="P216" s="3"/>
      <c r="Q216" s="3"/>
      <c r="R216" s="3"/>
      <c r="S216" s="3"/>
    </row>
    <row r="217" spans="1:19" x14ac:dyDescent="0.25">
      <c r="A217" s="7" t="s">
        <v>201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15"/>
      <c r="P217" s="3"/>
      <c r="Q217" s="3"/>
      <c r="R217" s="3"/>
      <c r="S217" s="3"/>
    </row>
    <row r="218" spans="1:19" ht="15.75" thickBot="1" x14ac:dyDescent="0.3">
      <c r="A218" s="8"/>
      <c r="B218" s="8"/>
      <c r="C218" s="74"/>
      <c r="D218" s="8"/>
      <c r="E218" s="8"/>
      <c r="F218" s="8"/>
      <c r="G218" s="74"/>
      <c r="H218" s="8"/>
      <c r="I218" s="8"/>
      <c r="J218" s="8"/>
      <c r="K218" s="8"/>
      <c r="L218" s="8"/>
      <c r="M218" s="8"/>
      <c r="N218" s="8"/>
      <c r="O218" s="16"/>
      <c r="P218" s="3"/>
      <c r="Q218" s="3"/>
      <c r="R218" s="3"/>
      <c r="S218" s="3"/>
    </row>
    <row r="219" spans="1:19" ht="17.25" customHeight="1" thickBot="1" x14ac:dyDescent="0.3">
      <c r="A219" s="19" t="s">
        <v>1068</v>
      </c>
      <c r="B219" s="24" t="s">
        <v>1069</v>
      </c>
      <c r="C219" s="26" t="s">
        <v>1070</v>
      </c>
      <c r="D219" s="29" t="s">
        <v>1071</v>
      </c>
      <c r="E219" s="26" t="s">
        <v>1072</v>
      </c>
      <c r="F219" s="31" t="s">
        <v>1073</v>
      </c>
      <c r="G219" s="31" t="s">
        <v>1074</v>
      </c>
      <c r="H219" s="31" t="s">
        <v>1075</v>
      </c>
      <c r="I219" s="29" t="s">
        <v>14</v>
      </c>
      <c r="J219" s="29" t="s">
        <v>1076</v>
      </c>
      <c r="K219" s="29" t="s">
        <v>1077</v>
      </c>
      <c r="L219" s="29" t="s">
        <v>1078</v>
      </c>
      <c r="M219" s="29" t="s">
        <v>1079</v>
      </c>
      <c r="N219" s="29" t="s">
        <v>1080</v>
      </c>
      <c r="O219" s="36" t="s">
        <v>1081</v>
      </c>
      <c r="P219" s="37" t="s">
        <v>1082</v>
      </c>
      <c r="Q219" s="38" t="s">
        <v>1083</v>
      </c>
      <c r="R219" s="38" t="s">
        <v>1084</v>
      </c>
      <c r="S219" s="39" t="s">
        <v>1085</v>
      </c>
    </row>
    <row r="220" spans="1:19" ht="12.75" customHeight="1" x14ac:dyDescent="0.25">
      <c r="A220" s="46" t="s">
        <v>497</v>
      </c>
      <c r="B220" s="40" t="s">
        <v>687</v>
      </c>
      <c r="C220" s="41">
        <v>45719</v>
      </c>
      <c r="D220" s="42" t="s">
        <v>198</v>
      </c>
      <c r="E220" s="41" t="s">
        <v>688</v>
      </c>
      <c r="F220" s="41" t="s">
        <v>181</v>
      </c>
      <c r="G220" s="41">
        <v>45729</v>
      </c>
      <c r="H220" s="40" t="s">
        <v>499</v>
      </c>
      <c r="I220" s="43" t="s">
        <v>14</v>
      </c>
      <c r="J220" s="40">
        <v>1</v>
      </c>
      <c r="K220" s="40">
        <v>1</v>
      </c>
      <c r="L220" s="44">
        <v>0</v>
      </c>
      <c r="M220" s="40">
        <v>2</v>
      </c>
      <c r="N220" s="40">
        <v>2</v>
      </c>
      <c r="O220" s="48">
        <v>0</v>
      </c>
      <c r="P220" s="45" t="s">
        <v>159</v>
      </c>
      <c r="Q220" s="23" t="s">
        <v>201</v>
      </c>
      <c r="R220" s="23" t="s">
        <v>202</v>
      </c>
      <c r="S220" s="22" t="s">
        <v>9</v>
      </c>
    </row>
    <row r="221" spans="1:19" ht="12.75" customHeight="1" x14ac:dyDescent="0.25">
      <c r="A221" s="47" t="s">
        <v>497</v>
      </c>
      <c r="B221" s="23" t="s">
        <v>689</v>
      </c>
      <c r="C221" s="28">
        <v>45719</v>
      </c>
      <c r="D221" s="30" t="s">
        <v>198</v>
      </c>
      <c r="E221" s="28" t="s">
        <v>688</v>
      </c>
      <c r="F221" s="28" t="s">
        <v>690</v>
      </c>
      <c r="G221" s="28">
        <v>45729</v>
      </c>
      <c r="H221" s="23" t="s">
        <v>499</v>
      </c>
      <c r="I221" s="33" t="s">
        <v>14</v>
      </c>
      <c r="J221" s="23">
        <v>1</v>
      </c>
      <c r="K221" s="23">
        <v>1</v>
      </c>
      <c r="L221" s="35">
        <v>0</v>
      </c>
      <c r="M221" s="23">
        <v>2</v>
      </c>
      <c r="N221" s="23">
        <v>2</v>
      </c>
      <c r="O221" s="49">
        <v>0</v>
      </c>
      <c r="P221" s="45" t="s">
        <v>159</v>
      </c>
      <c r="Q221" s="23" t="s">
        <v>201</v>
      </c>
      <c r="R221" s="23" t="s">
        <v>202</v>
      </c>
      <c r="S221" s="22" t="s">
        <v>9</v>
      </c>
    </row>
    <row r="222" spans="1:19" ht="12.75" customHeight="1" x14ac:dyDescent="0.25">
      <c r="A222" s="47" t="s">
        <v>497</v>
      </c>
      <c r="B222" s="23" t="s">
        <v>691</v>
      </c>
      <c r="C222" s="28">
        <v>45728</v>
      </c>
      <c r="D222" s="30" t="s">
        <v>198</v>
      </c>
      <c r="E222" s="28" t="s">
        <v>692</v>
      </c>
      <c r="F222" s="28" t="s">
        <v>693</v>
      </c>
      <c r="G222" s="28">
        <v>45738</v>
      </c>
      <c r="H222" s="23" t="s">
        <v>499</v>
      </c>
      <c r="I222" s="33" t="s">
        <v>14</v>
      </c>
      <c r="J222" s="23">
        <v>1</v>
      </c>
      <c r="K222" s="23">
        <v>1</v>
      </c>
      <c r="L222" s="35">
        <v>0</v>
      </c>
      <c r="M222" s="23">
        <v>2</v>
      </c>
      <c r="N222" s="23">
        <v>2</v>
      </c>
      <c r="O222" s="49">
        <v>0</v>
      </c>
      <c r="P222" s="45" t="s">
        <v>159</v>
      </c>
      <c r="Q222" s="23" t="s">
        <v>201</v>
      </c>
      <c r="R222" s="23" t="s">
        <v>202</v>
      </c>
      <c r="S222" s="22" t="s">
        <v>9</v>
      </c>
    </row>
    <row r="223" spans="1:19" ht="12.75" customHeight="1" x14ac:dyDescent="0.25">
      <c r="A223" s="47" t="s">
        <v>497</v>
      </c>
      <c r="B223" s="23" t="s">
        <v>694</v>
      </c>
      <c r="C223" s="28">
        <v>45729</v>
      </c>
      <c r="D223" s="30" t="s">
        <v>198</v>
      </c>
      <c r="E223" s="28" t="s">
        <v>695</v>
      </c>
      <c r="F223" s="28" t="s">
        <v>696</v>
      </c>
      <c r="G223" s="28">
        <v>45739</v>
      </c>
      <c r="H223" s="23" t="s">
        <v>499</v>
      </c>
      <c r="I223" s="33" t="s">
        <v>14</v>
      </c>
      <c r="J223" s="23">
        <v>1</v>
      </c>
      <c r="K223" s="23">
        <v>1</v>
      </c>
      <c r="L223" s="35">
        <v>0</v>
      </c>
      <c r="M223" s="23">
        <v>10</v>
      </c>
      <c r="N223" s="23">
        <v>10</v>
      </c>
      <c r="O223" s="49">
        <v>0</v>
      </c>
      <c r="P223" s="45" t="s">
        <v>159</v>
      </c>
      <c r="Q223" s="23" t="s">
        <v>201</v>
      </c>
      <c r="R223" s="23" t="s">
        <v>202</v>
      </c>
      <c r="S223" s="22" t="s">
        <v>9</v>
      </c>
    </row>
    <row r="224" spans="1:19" ht="12.75" customHeight="1" x14ac:dyDescent="0.25">
      <c r="A224" s="47" t="s">
        <v>497</v>
      </c>
      <c r="B224" s="23" t="s">
        <v>697</v>
      </c>
      <c r="C224" s="28">
        <v>45729</v>
      </c>
      <c r="D224" s="30" t="s">
        <v>198</v>
      </c>
      <c r="E224" s="28" t="s">
        <v>692</v>
      </c>
      <c r="F224" s="28" t="s">
        <v>211</v>
      </c>
      <c r="G224" s="28">
        <v>45739</v>
      </c>
      <c r="H224" s="23" t="s">
        <v>499</v>
      </c>
      <c r="I224" s="33" t="s">
        <v>14</v>
      </c>
      <c r="J224" s="23">
        <v>1</v>
      </c>
      <c r="K224" s="23">
        <v>1</v>
      </c>
      <c r="L224" s="35">
        <v>0</v>
      </c>
      <c r="M224" s="23">
        <v>4</v>
      </c>
      <c r="N224" s="23">
        <v>4</v>
      </c>
      <c r="O224" s="49">
        <v>0</v>
      </c>
      <c r="P224" s="45" t="s">
        <v>159</v>
      </c>
      <c r="Q224" s="23" t="s">
        <v>201</v>
      </c>
      <c r="R224" s="23" t="s">
        <v>202</v>
      </c>
      <c r="S224" s="22" t="s">
        <v>9</v>
      </c>
    </row>
    <row r="225" spans="1:19" ht="12.75" customHeight="1" x14ac:dyDescent="0.25">
      <c r="A225" s="47" t="s">
        <v>497</v>
      </c>
      <c r="B225" s="23" t="s">
        <v>698</v>
      </c>
      <c r="C225" s="28">
        <v>45729</v>
      </c>
      <c r="D225" s="30" t="s">
        <v>198</v>
      </c>
      <c r="E225" s="28" t="s">
        <v>699</v>
      </c>
      <c r="F225" s="28" t="s">
        <v>700</v>
      </c>
      <c r="G225" s="28">
        <v>45739</v>
      </c>
      <c r="H225" s="23" t="s">
        <v>499</v>
      </c>
      <c r="I225" s="33" t="s">
        <v>14</v>
      </c>
      <c r="J225" s="23">
        <v>1</v>
      </c>
      <c r="K225" s="23">
        <v>1</v>
      </c>
      <c r="L225" s="35">
        <v>0</v>
      </c>
      <c r="M225" s="23">
        <v>2</v>
      </c>
      <c r="N225" s="23">
        <v>2</v>
      </c>
      <c r="O225" s="49">
        <v>0</v>
      </c>
      <c r="P225" s="45" t="s">
        <v>159</v>
      </c>
      <c r="Q225" s="23" t="s">
        <v>201</v>
      </c>
      <c r="R225" s="23" t="s">
        <v>202</v>
      </c>
      <c r="S225" s="22" t="s">
        <v>9</v>
      </c>
    </row>
    <row r="226" spans="1:19" ht="12.75" customHeight="1" x14ac:dyDescent="0.25">
      <c r="A226" s="47" t="s">
        <v>497</v>
      </c>
      <c r="B226" s="23" t="s">
        <v>701</v>
      </c>
      <c r="C226" s="28">
        <v>45729</v>
      </c>
      <c r="D226" s="30" t="s">
        <v>198</v>
      </c>
      <c r="E226" s="28" t="s">
        <v>688</v>
      </c>
      <c r="F226" s="28" t="s">
        <v>165</v>
      </c>
      <c r="G226" s="28">
        <v>45739</v>
      </c>
      <c r="H226" s="23" t="s">
        <v>499</v>
      </c>
      <c r="I226" s="33" t="s">
        <v>14</v>
      </c>
      <c r="J226" s="23">
        <v>1</v>
      </c>
      <c r="K226" s="23">
        <v>1</v>
      </c>
      <c r="L226" s="35">
        <v>0</v>
      </c>
      <c r="M226" s="23">
        <v>2</v>
      </c>
      <c r="N226" s="23">
        <v>2</v>
      </c>
      <c r="O226" s="49">
        <v>0</v>
      </c>
      <c r="P226" s="45" t="s">
        <v>159</v>
      </c>
      <c r="Q226" s="23" t="s">
        <v>201</v>
      </c>
      <c r="R226" s="23" t="s">
        <v>202</v>
      </c>
      <c r="S226" s="22" t="s">
        <v>9</v>
      </c>
    </row>
    <row r="227" spans="1:19" ht="12.75" customHeight="1" x14ac:dyDescent="0.25">
      <c r="A227" s="47" t="s">
        <v>497</v>
      </c>
      <c r="B227" s="23" t="s">
        <v>702</v>
      </c>
      <c r="C227" s="28">
        <v>45729</v>
      </c>
      <c r="D227" s="30" t="s">
        <v>198</v>
      </c>
      <c r="E227" s="28" t="s">
        <v>692</v>
      </c>
      <c r="F227" s="28" t="s">
        <v>703</v>
      </c>
      <c r="G227" s="28">
        <v>45739</v>
      </c>
      <c r="H227" s="23" t="s">
        <v>499</v>
      </c>
      <c r="I227" s="33" t="s">
        <v>14</v>
      </c>
      <c r="J227" s="23">
        <v>1</v>
      </c>
      <c r="K227" s="23">
        <v>1</v>
      </c>
      <c r="L227" s="35">
        <v>0</v>
      </c>
      <c r="M227" s="23">
        <v>2</v>
      </c>
      <c r="N227" s="23">
        <v>2</v>
      </c>
      <c r="O227" s="49">
        <v>0</v>
      </c>
      <c r="P227" s="45" t="s">
        <v>159</v>
      </c>
      <c r="Q227" s="23" t="s">
        <v>201</v>
      </c>
      <c r="R227" s="23" t="s">
        <v>202</v>
      </c>
      <c r="S227" s="22" t="s">
        <v>9</v>
      </c>
    </row>
    <row r="228" spans="1:19" ht="12.75" customHeight="1" x14ac:dyDescent="0.25">
      <c r="A228" s="47" t="s">
        <v>497</v>
      </c>
      <c r="B228" s="23" t="s">
        <v>704</v>
      </c>
      <c r="C228" s="28">
        <v>45729</v>
      </c>
      <c r="D228" s="30" t="s">
        <v>198</v>
      </c>
      <c r="E228" s="28" t="s">
        <v>692</v>
      </c>
      <c r="F228" s="28" t="s">
        <v>157</v>
      </c>
      <c r="G228" s="28">
        <v>45739</v>
      </c>
      <c r="H228" s="23" t="s">
        <v>499</v>
      </c>
      <c r="I228" s="33" t="s">
        <v>14</v>
      </c>
      <c r="J228" s="23">
        <v>1</v>
      </c>
      <c r="K228" s="23">
        <v>1</v>
      </c>
      <c r="L228" s="35">
        <v>0</v>
      </c>
      <c r="M228" s="23">
        <v>2</v>
      </c>
      <c r="N228" s="23">
        <v>2</v>
      </c>
      <c r="O228" s="49">
        <v>0</v>
      </c>
      <c r="P228" s="45" t="s">
        <v>159</v>
      </c>
      <c r="Q228" s="23" t="s">
        <v>201</v>
      </c>
      <c r="R228" s="23" t="s">
        <v>202</v>
      </c>
      <c r="S228" s="22" t="s">
        <v>9</v>
      </c>
    </row>
    <row r="229" spans="1:19" ht="12.75" customHeight="1" x14ac:dyDescent="0.25">
      <c r="A229" s="47" t="s">
        <v>497</v>
      </c>
      <c r="B229" s="23" t="s">
        <v>705</v>
      </c>
      <c r="C229" s="28">
        <v>45730</v>
      </c>
      <c r="D229" s="30" t="s">
        <v>198</v>
      </c>
      <c r="E229" s="28" t="s">
        <v>699</v>
      </c>
      <c r="F229" s="28" t="s">
        <v>157</v>
      </c>
      <c r="G229" s="28">
        <v>45740</v>
      </c>
      <c r="H229" s="23" t="s">
        <v>499</v>
      </c>
      <c r="I229" s="33" t="s">
        <v>14</v>
      </c>
      <c r="J229" s="23">
        <v>1</v>
      </c>
      <c r="K229" s="23">
        <v>1</v>
      </c>
      <c r="L229" s="35">
        <v>0</v>
      </c>
      <c r="M229" s="23">
        <v>6</v>
      </c>
      <c r="N229" s="23">
        <v>6</v>
      </c>
      <c r="O229" s="49">
        <v>0</v>
      </c>
      <c r="P229" s="45" t="s">
        <v>159</v>
      </c>
      <c r="Q229" s="23" t="s">
        <v>201</v>
      </c>
      <c r="R229" s="23" t="s">
        <v>202</v>
      </c>
      <c r="S229" s="22" t="s">
        <v>9</v>
      </c>
    </row>
    <row r="230" spans="1:19" ht="12.75" customHeight="1" x14ac:dyDescent="0.25">
      <c r="A230" s="47" t="s">
        <v>497</v>
      </c>
      <c r="B230" s="23" t="s">
        <v>706</v>
      </c>
      <c r="C230" s="28">
        <v>45734</v>
      </c>
      <c r="D230" s="30" t="s">
        <v>198</v>
      </c>
      <c r="E230" s="28" t="s">
        <v>699</v>
      </c>
      <c r="F230" s="28" t="s">
        <v>211</v>
      </c>
      <c r="G230" s="28">
        <v>45744</v>
      </c>
      <c r="H230" s="23" t="s">
        <v>499</v>
      </c>
      <c r="I230" s="33" t="s">
        <v>14</v>
      </c>
      <c r="J230" s="23">
        <v>1</v>
      </c>
      <c r="K230" s="23">
        <v>1</v>
      </c>
      <c r="L230" s="35">
        <v>0</v>
      </c>
      <c r="M230" s="23">
        <v>4</v>
      </c>
      <c r="N230" s="23">
        <v>4</v>
      </c>
      <c r="O230" s="49">
        <v>0</v>
      </c>
      <c r="P230" s="45" t="s">
        <v>159</v>
      </c>
      <c r="Q230" s="23" t="s">
        <v>201</v>
      </c>
      <c r="R230" s="23" t="s">
        <v>202</v>
      </c>
      <c r="S230" s="22" t="s">
        <v>9</v>
      </c>
    </row>
    <row r="231" spans="1:19" ht="12.75" customHeight="1" x14ac:dyDescent="0.25">
      <c r="A231" s="47" t="s">
        <v>497</v>
      </c>
      <c r="B231" s="23" t="s">
        <v>707</v>
      </c>
      <c r="C231" s="28">
        <v>45734</v>
      </c>
      <c r="D231" s="30" t="s">
        <v>198</v>
      </c>
      <c r="E231" s="28" t="s">
        <v>221</v>
      </c>
      <c r="F231" s="28" t="s">
        <v>696</v>
      </c>
      <c r="G231" s="28">
        <v>45744</v>
      </c>
      <c r="H231" s="23" t="s">
        <v>499</v>
      </c>
      <c r="I231" s="33" t="s">
        <v>14</v>
      </c>
      <c r="J231" s="23">
        <v>1</v>
      </c>
      <c r="K231" s="23">
        <v>1</v>
      </c>
      <c r="L231" s="35">
        <v>0</v>
      </c>
      <c r="M231" s="23">
        <v>2</v>
      </c>
      <c r="N231" s="23">
        <v>2</v>
      </c>
      <c r="O231" s="49">
        <v>0</v>
      </c>
      <c r="P231" s="45" t="s">
        <v>159</v>
      </c>
      <c r="Q231" s="23" t="s">
        <v>201</v>
      </c>
      <c r="R231" s="23" t="s">
        <v>202</v>
      </c>
      <c r="S231" s="22" t="s">
        <v>9</v>
      </c>
    </row>
    <row r="232" spans="1:19" ht="12.75" customHeight="1" x14ac:dyDescent="0.25">
      <c r="A232" s="47" t="s">
        <v>497</v>
      </c>
      <c r="B232" s="23" t="s">
        <v>708</v>
      </c>
      <c r="C232" s="28">
        <v>45734</v>
      </c>
      <c r="D232" s="30" t="s">
        <v>198</v>
      </c>
      <c r="E232" s="28" t="s">
        <v>695</v>
      </c>
      <c r="F232" s="28" t="s">
        <v>211</v>
      </c>
      <c r="G232" s="28">
        <v>45744</v>
      </c>
      <c r="H232" s="23" t="s">
        <v>499</v>
      </c>
      <c r="I232" s="33" t="s">
        <v>14</v>
      </c>
      <c r="J232" s="23">
        <v>1</v>
      </c>
      <c r="K232" s="23">
        <v>1</v>
      </c>
      <c r="L232" s="35">
        <v>0</v>
      </c>
      <c r="M232" s="23">
        <v>1</v>
      </c>
      <c r="N232" s="23">
        <v>1</v>
      </c>
      <c r="O232" s="49">
        <v>0</v>
      </c>
      <c r="P232" s="45" t="s">
        <v>159</v>
      </c>
      <c r="Q232" s="23" t="s">
        <v>201</v>
      </c>
      <c r="R232" s="23" t="s">
        <v>202</v>
      </c>
      <c r="S232" s="22" t="s">
        <v>9</v>
      </c>
    </row>
    <row r="233" spans="1:19" ht="12.75" customHeight="1" x14ac:dyDescent="0.25">
      <c r="A233" s="47" t="s">
        <v>497</v>
      </c>
      <c r="B233" s="23" t="s">
        <v>709</v>
      </c>
      <c r="C233" s="28">
        <v>45736</v>
      </c>
      <c r="D233" s="30" t="s">
        <v>198</v>
      </c>
      <c r="E233" s="28" t="s">
        <v>699</v>
      </c>
      <c r="F233" s="28" t="s">
        <v>211</v>
      </c>
      <c r="G233" s="28">
        <v>45746</v>
      </c>
      <c r="H233" s="23" t="s">
        <v>499</v>
      </c>
      <c r="I233" s="33" t="s">
        <v>14</v>
      </c>
      <c r="J233" s="23">
        <v>1</v>
      </c>
      <c r="K233" s="23">
        <v>1</v>
      </c>
      <c r="L233" s="35">
        <v>0</v>
      </c>
      <c r="M233" s="23">
        <v>4</v>
      </c>
      <c r="N233" s="23">
        <v>4</v>
      </c>
      <c r="O233" s="49">
        <v>0</v>
      </c>
      <c r="P233" s="45" t="s">
        <v>159</v>
      </c>
      <c r="Q233" s="23" t="s">
        <v>201</v>
      </c>
      <c r="R233" s="23" t="s">
        <v>202</v>
      </c>
      <c r="S233" s="22" t="s">
        <v>9</v>
      </c>
    </row>
    <row r="234" spans="1:19" ht="12.75" customHeight="1" x14ac:dyDescent="0.25">
      <c r="A234" s="47" t="s">
        <v>497</v>
      </c>
      <c r="B234" s="23" t="s">
        <v>710</v>
      </c>
      <c r="C234" s="28">
        <v>45738</v>
      </c>
      <c r="D234" s="30" t="s">
        <v>198</v>
      </c>
      <c r="E234" s="28" t="s">
        <v>699</v>
      </c>
      <c r="F234" s="28" t="s">
        <v>711</v>
      </c>
      <c r="G234" s="28">
        <v>45748</v>
      </c>
      <c r="H234" s="23" t="s">
        <v>499</v>
      </c>
      <c r="I234" s="33" t="s">
        <v>14</v>
      </c>
      <c r="J234" s="23">
        <v>1</v>
      </c>
      <c r="K234" s="23">
        <v>1</v>
      </c>
      <c r="L234" s="35">
        <v>0</v>
      </c>
      <c r="M234" s="23">
        <v>4</v>
      </c>
      <c r="N234" s="23">
        <v>4</v>
      </c>
      <c r="O234" s="49">
        <v>0</v>
      </c>
      <c r="P234" s="45" t="s">
        <v>159</v>
      </c>
      <c r="Q234" s="23" t="s">
        <v>201</v>
      </c>
      <c r="R234" s="23" t="s">
        <v>202</v>
      </c>
      <c r="S234" s="22" t="s">
        <v>9</v>
      </c>
    </row>
    <row r="235" spans="1:19" ht="12.75" customHeight="1" x14ac:dyDescent="0.25">
      <c r="A235" s="47" t="s">
        <v>497</v>
      </c>
      <c r="B235" s="23" t="s">
        <v>712</v>
      </c>
      <c r="C235" s="28">
        <v>45739</v>
      </c>
      <c r="D235" s="30" t="s">
        <v>198</v>
      </c>
      <c r="E235" s="28" t="s">
        <v>695</v>
      </c>
      <c r="F235" s="28" t="s">
        <v>713</v>
      </c>
      <c r="G235" s="28">
        <v>45749</v>
      </c>
      <c r="H235" s="23" t="s">
        <v>499</v>
      </c>
      <c r="I235" s="33" t="s">
        <v>14</v>
      </c>
      <c r="J235" s="23">
        <v>1</v>
      </c>
      <c r="K235" s="23">
        <v>1</v>
      </c>
      <c r="L235" s="35">
        <v>0</v>
      </c>
      <c r="M235" s="23">
        <v>2</v>
      </c>
      <c r="N235" s="23">
        <v>2</v>
      </c>
      <c r="O235" s="49">
        <v>0</v>
      </c>
      <c r="P235" s="45" t="s">
        <v>159</v>
      </c>
      <c r="Q235" s="23" t="s">
        <v>201</v>
      </c>
      <c r="R235" s="23" t="s">
        <v>202</v>
      </c>
      <c r="S235" s="22" t="s">
        <v>9</v>
      </c>
    </row>
    <row r="236" spans="1:19" ht="12.75" customHeight="1" x14ac:dyDescent="0.25">
      <c r="A236" s="47" t="s">
        <v>497</v>
      </c>
      <c r="B236" s="23" t="s">
        <v>714</v>
      </c>
      <c r="C236" s="28">
        <v>45739</v>
      </c>
      <c r="D236" s="30" t="s">
        <v>198</v>
      </c>
      <c r="E236" s="28" t="s">
        <v>199</v>
      </c>
      <c r="F236" s="28" t="s">
        <v>715</v>
      </c>
      <c r="G236" s="28">
        <v>45749</v>
      </c>
      <c r="H236" s="23" t="s">
        <v>499</v>
      </c>
      <c r="I236" s="33" t="s">
        <v>14</v>
      </c>
      <c r="J236" s="23">
        <v>1</v>
      </c>
      <c r="K236" s="23">
        <v>1</v>
      </c>
      <c r="L236" s="35">
        <v>0</v>
      </c>
      <c r="M236" s="23">
        <v>3</v>
      </c>
      <c r="N236" s="23">
        <v>3</v>
      </c>
      <c r="O236" s="49">
        <v>0</v>
      </c>
      <c r="P236" s="45" t="s">
        <v>159</v>
      </c>
      <c r="Q236" s="23" t="s">
        <v>201</v>
      </c>
      <c r="R236" s="23" t="s">
        <v>202</v>
      </c>
      <c r="S236" s="22" t="s">
        <v>9</v>
      </c>
    </row>
    <row r="237" spans="1:19" ht="12.75" customHeight="1" x14ac:dyDescent="0.25">
      <c r="A237" s="47" t="s">
        <v>497</v>
      </c>
      <c r="B237" s="23" t="s">
        <v>716</v>
      </c>
      <c r="C237" s="28">
        <v>45739</v>
      </c>
      <c r="D237" s="30" t="s">
        <v>198</v>
      </c>
      <c r="E237" s="28" t="s">
        <v>192</v>
      </c>
      <c r="F237" s="28" t="s">
        <v>711</v>
      </c>
      <c r="G237" s="28">
        <v>45749</v>
      </c>
      <c r="H237" s="23" t="s">
        <v>499</v>
      </c>
      <c r="I237" s="33" t="s">
        <v>14</v>
      </c>
      <c r="J237" s="23">
        <v>1</v>
      </c>
      <c r="K237" s="23">
        <v>1</v>
      </c>
      <c r="L237" s="35">
        <v>0</v>
      </c>
      <c r="M237" s="23">
        <v>2</v>
      </c>
      <c r="N237" s="23">
        <v>2</v>
      </c>
      <c r="O237" s="49">
        <v>0</v>
      </c>
      <c r="P237" s="45" t="s">
        <v>159</v>
      </c>
      <c r="Q237" s="23" t="s">
        <v>201</v>
      </c>
      <c r="R237" s="23" t="s">
        <v>202</v>
      </c>
      <c r="S237" s="22" t="s">
        <v>9</v>
      </c>
    </row>
    <row r="238" spans="1:19" ht="12.75" customHeight="1" x14ac:dyDescent="0.25">
      <c r="A238" s="47" t="s">
        <v>497</v>
      </c>
      <c r="B238" s="23" t="s">
        <v>717</v>
      </c>
      <c r="C238" s="28">
        <v>45739</v>
      </c>
      <c r="D238" s="30" t="s">
        <v>198</v>
      </c>
      <c r="E238" s="28" t="s">
        <v>199</v>
      </c>
      <c r="F238" s="28" t="s">
        <v>713</v>
      </c>
      <c r="G238" s="28">
        <v>45749</v>
      </c>
      <c r="H238" s="23" t="s">
        <v>499</v>
      </c>
      <c r="I238" s="33" t="s">
        <v>14</v>
      </c>
      <c r="J238" s="23">
        <v>1</v>
      </c>
      <c r="K238" s="23">
        <v>1</v>
      </c>
      <c r="L238" s="35">
        <v>0</v>
      </c>
      <c r="M238" s="23">
        <v>2</v>
      </c>
      <c r="N238" s="23">
        <v>2</v>
      </c>
      <c r="O238" s="49">
        <v>0</v>
      </c>
      <c r="P238" s="45" t="s">
        <v>159</v>
      </c>
      <c r="Q238" s="23" t="s">
        <v>201</v>
      </c>
      <c r="R238" s="23" t="s">
        <v>202</v>
      </c>
      <c r="S238" s="22" t="s">
        <v>9</v>
      </c>
    </row>
    <row r="239" spans="1:19" ht="12.75" customHeight="1" x14ac:dyDescent="0.25">
      <c r="A239" s="47" t="s">
        <v>497</v>
      </c>
      <c r="B239" s="23" t="s">
        <v>718</v>
      </c>
      <c r="C239" s="28">
        <v>45740</v>
      </c>
      <c r="D239" s="30" t="s">
        <v>198</v>
      </c>
      <c r="E239" s="28" t="s">
        <v>695</v>
      </c>
      <c r="F239" s="28" t="s">
        <v>713</v>
      </c>
      <c r="G239" s="28">
        <v>45750</v>
      </c>
      <c r="H239" s="23" t="s">
        <v>499</v>
      </c>
      <c r="I239" s="33" t="s">
        <v>14</v>
      </c>
      <c r="J239" s="23">
        <v>1</v>
      </c>
      <c r="K239" s="23">
        <v>1</v>
      </c>
      <c r="L239" s="35">
        <v>0</v>
      </c>
      <c r="M239" s="23">
        <v>1</v>
      </c>
      <c r="N239" s="23">
        <v>1</v>
      </c>
      <c r="O239" s="49">
        <v>0</v>
      </c>
      <c r="P239" s="45" t="s">
        <v>159</v>
      </c>
      <c r="Q239" s="23" t="s">
        <v>201</v>
      </c>
      <c r="R239" s="23" t="s">
        <v>202</v>
      </c>
      <c r="S239" s="22" t="s">
        <v>9</v>
      </c>
    </row>
    <row r="240" spans="1:19" ht="12.75" customHeight="1" x14ac:dyDescent="0.25">
      <c r="A240" s="47" t="s">
        <v>497</v>
      </c>
      <c r="B240" s="23" t="s">
        <v>719</v>
      </c>
      <c r="C240" s="28">
        <v>45740</v>
      </c>
      <c r="D240" s="30" t="s">
        <v>198</v>
      </c>
      <c r="E240" s="28" t="s">
        <v>175</v>
      </c>
      <c r="F240" s="28" t="s">
        <v>200</v>
      </c>
      <c r="G240" s="28">
        <v>45750</v>
      </c>
      <c r="H240" s="23" t="s">
        <v>499</v>
      </c>
      <c r="I240" s="33" t="s">
        <v>14</v>
      </c>
      <c r="J240" s="23">
        <v>1</v>
      </c>
      <c r="K240" s="23">
        <v>1</v>
      </c>
      <c r="L240" s="35">
        <v>0</v>
      </c>
      <c r="M240" s="23">
        <v>2</v>
      </c>
      <c r="N240" s="23">
        <v>2</v>
      </c>
      <c r="O240" s="49">
        <v>0</v>
      </c>
      <c r="P240" s="45" t="s">
        <v>159</v>
      </c>
      <c r="Q240" s="23" t="s">
        <v>201</v>
      </c>
      <c r="R240" s="23" t="s">
        <v>202</v>
      </c>
      <c r="S240" s="22" t="s">
        <v>9</v>
      </c>
    </row>
    <row r="241" spans="1:19" ht="12.75" customHeight="1" x14ac:dyDescent="0.25">
      <c r="A241" s="47" t="s">
        <v>497</v>
      </c>
      <c r="B241" s="23" t="s">
        <v>720</v>
      </c>
      <c r="C241" s="28">
        <v>45740</v>
      </c>
      <c r="D241" s="30" t="s">
        <v>198</v>
      </c>
      <c r="E241" s="28" t="s">
        <v>699</v>
      </c>
      <c r="F241" s="28" t="s">
        <v>713</v>
      </c>
      <c r="G241" s="28">
        <v>45750</v>
      </c>
      <c r="H241" s="23" t="s">
        <v>499</v>
      </c>
      <c r="I241" s="33" t="s">
        <v>14</v>
      </c>
      <c r="J241" s="23">
        <v>1</v>
      </c>
      <c r="K241" s="23">
        <v>1</v>
      </c>
      <c r="L241" s="35">
        <v>0</v>
      </c>
      <c r="M241" s="23">
        <v>2</v>
      </c>
      <c r="N241" s="23">
        <v>2</v>
      </c>
      <c r="O241" s="49">
        <v>0</v>
      </c>
      <c r="P241" s="45" t="s">
        <v>159</v>
      </c>
      <c r="Q241" s="23" t="s">
        <v>201</v>
      </c>
      <c r="R241" s="23" t="s">
        <v>202</v>
      </c>
      <c r="S241" s="22" t="s">
        <v>9</v>
      </c>
    </row>
    <row r="242" spans="1:19" ht="12.75" customHeight="1" x14ac:dyDescent="0.25">
      <c r="A242" s="47" t="s">
        <v>497</v>
      </c>
      <c r="B242" s="23" t="s">
        <v>721</v>
      </c>
      <c r="C242" s="28">
        <v>45740</v>
      </c>
      <c r="D242" s="30" t="s">
        <v>198</v>
      </c>
      <c r="E242" s="28" t="s">
        <v>224</v>
      </c>
      <c r="F242" s="28" t="s">
        <v>200</v>
      </c>
      <c r="G242" s="28">
        <v>45750</v>
      </c>
      <c r="H242" s="23" t="s">
        <v>499</v>
      </c>
      <c r="I242" s="33" t="s">
        <v>14</v>
      </c>
      <c r="J242" s="23">
        <v>1</v>
      </c>
      <c r="K242" s="23">
        <v>1</v>
      </c>
      <c r="L242" s="35">
        <v>0</v>
      </c>
      <c r="M242" s="23">
        <v>1</v>
      </c>
      <c r="N242" s="23">
        <v>1</v>
      </c>
      <c r="O242" s="49">
        <v>0</v>
      </c>
      <c r="P242" s="45" t="s">
        <v>159</v>
      </c>
      <c r="Q242" s="23" t="s">
        <v>201</v>
      </c>
      <c r="R242" s="23" t="s">
        <v>202</v>
      </c>
      <c r="S242" s="22" t="s">
        <v>9</v>
      </c>
    </row>
    <row r="243" spans="1:19" ht="12.75" customHeight="1" x14ac:dyDescent="0.25">
      <c r="A243" s="47" t="s">
        <v>497</v>
      </c>
      <c r="B243" s="23" t="s">
        <v>722</v>
      </c>
      <c r="C243" s="28">
        <v>45740</v>
      </c>
      <c r="D243" s="30" t="s">
        <v>198</v>
      </c>
      <c r="E243" s="28" t="s">
        <v>699</v>
      </c>
      <c r="F243" s="28" t="s">
        <v>713</v>
      </c>
      <c r="G243" s="28">
        <v>45750</v>
      </c>
      <c r="H243" s="23" t="s">
        <v>499</v>
      </c>
      <c r="I243" s="33" t="s">
        <v>14</v>
      </c>
      <c r="J243" s="23">
        <v>1</v>
      </c>
      <c r="K243" s="23">
        <v>1</v>
      </c>
      <c r="L243" s="35">
        <v>0</v>
      </c>
      <c r="M243" s="23">
        <v>4</v>
      </c>
      <c r="N243" s="23">
        <v>4</v>
      </c>
      <c r="O243" s="49">
        <v>0</v>
      </c>
      <c r="P243" s="45" t="s">
        <v>159</v>
      </c>
      <c r="Q243" s="23" t="s">
        <v>201</v>
      </c>
      <c r="R243" s="23" t="s">
        <v>202</v>
      </c>
      <c r="S243" s="22" t="s">
        <v>9</v>
      </c>
    </row>
    <row r="244" spans="1:19" ht="12.75" customHeight="1" x14ac:dyDescent="0.25">
      <c r="A244" s="47" t="s">
        <v>497</v>
      </c>
      <c r="B244" s="23" t="s">
        <v>719</v>
      </c>
      <c r="C244" s="28">
        <v>45743</v>
      </c>
      <c r="D244" s="30" t="s">
        <v>198</v>
      </c>
      <c r="E244" s="28" t="s">
        <v>175</v>
      </c>
      <c r="F244" s="28" t="s">
        <v>200</v>
      </c>
      <c r="G244" s="28">
        <v>45753</v>
      </c>
      <c r="H244" s="23" t="s">
        <v>499</v>
      </c>
      <c r="I244" s="33" t="s">
        <v>14</v>
      </c>
      <c r="J244" s="23">
        <v>1</v>
      </c>
      <c r="K244" s="23">
        <v>1</v>
      </c>
      <c r="L244" s="35">
        <v>0</v>
      </c>
      <c r="M244" s="23">
        <v>2</v>
      </c>
      <c r="N244" s="23">
        <v>2</v>
      </c>
      <c r="O244" s="49">
        <v>0</v>
      </c>
      <c r="P244" s="45" t="s">
        <v>159</v>
      </c>
      <c r="Q244" s="23" t="s">
        <v>201</v>
      </c>
      <c r="R244" s="23" t="s">
        <v>202</v>
      </c>
      <c r="S244" s="22" t="s">
        <v>9</v>
      </c>
    </row>
    <row r="245" spans="1:19" ht="12.75" customHeight="1" x14ac:dyDescent="0.25">
      <c r="A245" s="47" t="s">
        <v>497</v>
      </c>
      <c r="B245" s="23" t="s">
        <v>723</v>
      </c>
      <c r="C245" s="28">
        <v>45744</v>
      </c>
      <c r="D245" s="30" t="s">
        <v>198</v>
      </c>
      <c r="E245" s="28" t="s">
        <v>699</v>
      </c>
      <c r="F245" s="28" t="s">
        <v>692</v>
      </c>
      <c r="G245" s="28">
        <v>45754</v>
      </c>
      <c r="H245" s="23" t="s">
        <v>499</v>
      </c>
      <c r="I245" s="33" t="s">
        <v>14</v>
      </c>
      <c r="J245" s="23">
        <v>1</v>
      </c>
      <c r="K245" s="23">
        <v>1</v>
      </c>
      <c r="L245" s="35">
        <v>0</v>
      </c>
      <c r="M245" s="23">
        <v>2</v>
      </c>
      <c r="N245" s="23">
        <v>2</v>
      </c>
      <c r="O245" s="49">
        <v>0</v>
      </c>
      <c r="P245" s="45" t="s">
        <v>159</v>
      </c>
      <c r="Q245" s="23" t="s">
        <v>201</v>
      </c>
      <c r="R245" s="23" t="s">
        <v>202</v>
      </c>
      <c r="S245" s="22" t="s">
        <v>9</v>
      </c>
    </row>
    <row r="246" spans="1:19" ht="12.75" customHeight="1" x14ac:dyDescent="0.25">
      <c r="A246" s="47" t="s">
        <v>497</v>
      </c>
      <c r="B246" s="23" t="s">
        <v>724</v>
      </c>
      <c r="C246" s="28">
        <v>45744</v>
      </c>
      <c r="D246" s="30" t="s">
        <v>198</v>
      </c>
      <c r="E246" s="28" t="s">
        <v>235</v>
      </c>
      <c r="F246" s="28" t="s">
        <v>206</v>
      </c>
      <c r="G246" s="28">
        <v>45754</v>
      </c>
      <c r="H246" s="23" t="s">
        <v>499</v>
      </c>
      <c r="I246" s="33" t="s">
        <v>14</v>
      </c>
      <c r="J246" s="23">
        <v>1</v>
      </c>
      <c r="K246" s="23">
        <v>1</v>
      </c>
      <c r="L246" s="35">
        <v>0</v>
      </c>
      <c r="M246" s="23">
        <v>4</v>
      </c>
      <c r="N246" s="23">
        <v>4</v>
      </c>
      <c r="O246" s="49">
        <v>0</v>
      </c>
      <c r="P246" s="45" t="s">
        <v>159</v>
      </c>
      <c r="Q246" s="23" t="s">
        <v>201</v>
      </c>
      <c r="R246" s="23" t="s">
        <v>202</v>
      </c>
      <c r="S246" s="22" t="s">
        <v>9</v>
      </c>
    </row>
    <row r="247" spans="1:19" ht="12.75" customHeight="1" x14ac:dyDescent="0.25">
      <c r="A247" s="47" t="s">
        <v>497</v>
      </c>
      <c r="B247" s="23" t="s">
        <v>725</v>
      </c>
      <c r="C247" s="28">
        <v>45744</v>
      </c>
      <c r="D247" s="30" t="s">
        <v>198</v>
      </c>
      <c r="E247" s="28" t="s">
        <v>699</v>
      </c>
      <c r="F247" s="28" t="s">
        <v>692</v>
      </c>
      <c r="G247" s="28">
        <v>45754</v>
      </c>
      <c r="H247" s="23" t="s">
        <v>499</v>
      </c>
      <c r="I247" s="33" t="s">
        <v>14</v>
      </c>
      <c r="J247" s="23">
        <v>1</v>
      </c>
      <c r="K247" s="23">
        <v>1</v>
      </c>
      <c r="L247" s="35">
        <v>0</v>
      </c>
      <c r="M247" s="23">
        <v>4</v>
      </c>
      <c r="N247" s="23">
        <v>4</v>
      </c>
      <c r="O247" s="49">
        <v>0</v>
      </c>
      <c r="P247" s="45" t="s">
        <v>159</v>
      </c>
      <c r="Q247" s="23" t="s">
        <v>201</v>
      </c>
      <c r="R247" s="23" t="s">
        <v>202</v>
      </c>
      <c r="S247" s="22" t="s">
        <v>9</v>
      </c>
    </row>
    <row r="248" spans="1:19" ht="12.75" customHeight="1" x14ac:dyDescent="0.25">
      <c r="A248" s="47" t="s">
        <v>497</v>
      </c>
      <c r="B248" s="23" t="s">
        <v>726</v>
      </c>
      <c r="C248" s="28">
        <v>45744</v>
      </c>
      <c r="D248" s="30" t="s">
        <v>198</v>
      </c>
      <c r="E248" s="28" t="s">
        <v>699</v>
      </c>
      <c r="F248" s="28" t="s">
        <v>200</v>
      </c>
      <c r="G248" s="28">
        <v>45754</v>
      </c>
      <c r="H248" s="23" t="s">
        <v>499</v>
      </c>
      <c r="I248" s="33" t="s">
        <v>14</v>
      </c>
      <c r="J248" s="23">
        <v>1</v>
      </c>
      <c r="K248" s="23">
        <v>1</v>
      </c>
      <c r="L248" s="35">
        <v>0</v>
      </c>
      <c r="M248" s="23">
        <v>2</v>
      </c>
      <c r="N248" s="23">
        <v>2</v>
      </c>
      <c r="O248" s="49">
        <v>0</v>
      </c>
      <c r="P248" s="45" t="s">
        <v>159</v>
      </c>
      <c r="Q248" s="23" t="s">
        <v>201</v>
      </c>
      <c r="R248" s="23" t="s">
        <v>202</v>
      </c>
      <c r="S248" s="22" t="s">
        <v>9</v>
      </c>
    </row>
    <row r="249" spans="1:19" ht="12.75" customHeight="1" x14ac:dyDescent="0.25">
      <c r="A249" s="47" t="s">
        <v>497</v>
      </c>
      <c r="B249" s="23" t="s">
        <v>727</v>
      </c>
      <c r="C249" s="28">
        <v>45744</v>
      </c>
      <c r="D249" s="30" t="s">
        <v>198</v>
      </c>
      <c r="E249" s="28" t="s">
        <v>699</v>
      </c>
      <c r="F249" s="28" t="s">
        <v>200</v>
      </c>
      <c r="G249" s="28">
        <v>45754</v>
      </c>
      <c r="H249" s="23" t="s">
        <v>499</v>
      </c>
      <c r="I249" s="33" t="s">
        <v>14</v>
      </c>
      <c r="J249" s="23">
        <v>1</v>
      </c>
      <c r="K249" s="23">
        <v>1</v>
      </c>
      <c r="L249" s="35">
        <v>0</v>
      </c>
      <c r="M249" s="23">
        <v>2</v>
      </c>
      <c r="N249" s="23">
        <v>2</v>
      </c>
      <c r="O249" s="49">
        <v>0</v>
      </c>
      <c r="P249" s="45" t="s">
        <v>159</v>
      </c>
      <c r="Q249" s="23" t="s">
        <v>201</v>
      </c>
      <c r="R249" s="23" t="s">
        <v>202</v>
      </c>
      <c r="S249" s="22" t="s">
        <v>9</v>
      </c>
    </row>
    <row r="250" spans="1:19" ht="12.75" customHeight="1" x14ac:dyDescent="0.25">
      <c r="A250" s="47" t="s">
        <v>497</v>
      </c>
      <c r="B250" s="23" t="s">
        <v>728</v>
      </c>
      <c r="C250" s="28">
        <v>45746</v>
      </c>
      <c r="D250" s="30" t="s">
        <v>198</v>
      </c>
      <c r="E250" s="28" t="s">
        <v>695</v>
      </c>
      <c r="F250" s="28" t="s">
        <v>200</v>
      </c>
      <c r="G250" s="28">
        <v>45756</v>
      </c>
      <c r="H250" s="23" t="s">
        <v>499</v>
      </c>
      <c r="I250" s="33" t="s">
        <v>14</v>
      </c>
      <c r="J250" s="23">
        <v>1</v>
      </c>
      <c r="K250" s="23">
        <v>1</v>
      </c>
      <c r="L250" s="35">
        <v>0</v>
      </c>
      <c r="M250" s="23">
        <v>2</v>
      </c>
      <c r="N250" s="23">
        <v>2</v>
      </c>
      <c r="O250" s="49">
        <v>0</v>
      </c>
      <c r="P250" s="45" t="s">
        <v>159</v>
      </c>
      <c r="Q250" s="23" t="s">
        <v>201</v>
      </c>
      <c r="R250" s="23" t="s">
        <v>202</v>
      </c>
      <c r="S250" s="22" t="s">
        <v>9</v>
      </c>
    </row>
    <row r="251" spans="1:19" ht="12.75" customHeight="1" x14ac:dyDescent="0.25">
      <c r="A251" s="47" t="s">
        <v>497</v>
      </c>
      <c r="B251" s="23" t="s">
        <v>729</v>
      </c>
      <c r="C251" s="28">
        <v>45747</v>
      </c>
      <c r="D251" s="30" t="s">
        <v>198</v>
      </c>
      <c r="E251" s="28" t="s">
        <v>699</v>
      </c>
      <c r="F251" s="28" t="s">
        <v>730</v>
      </c>
      <c r="G251" s="28">
        <v>45757</v>
      </c>
      <c r="H251" s="23" t="s">
        <v>499</v>
      </c>
      <c r="I251" s="33"/>
      <c r="J251" s="23">
        <v>0</v>
      </c>
      <c r="K251" s="23">
        <v>1</v>
      </c>
      <c r="L251" s="35">
        <v>1</v>
      </c>
      <c r="M251" s="23">
        <v>4</v>
      </c>
      <c r="N251" s="23">
        <v>0</v>
      </c>
      <c r="O251" s="49">
        <v>1</v>
      </c>
      <c r="P251" s="45" t="s">
        <v>159</v>
      </c>
      <c r="Q251" s="23" t="s">
        <v>201</v>
      </c>
      <c r="R251" s="23" t="s">
        <v>202</v>
      </c>
      <c r="S251" s="22" t="s">
        <v>9</v>
      </c>
    </row>
    <row r="252" spans="1:19" ht="12.75" customHeight="1" thickBot="1" x14ac:dyDescent="0.3">
      <c r="A252" s="51" t="s">
        <v>497</v>
      </c>
      <c r="B252" s="20" t="s">
        <v>731</v>
      </c>
      <c r="C252" s="25">
        <v>45747</v>
      </c>
      <c r="D252" s="27" t="s">
        <v>198</v>
      </c>
      <c r="E252" s="25" t="s">
        <v>699</v>
      </c>
      <c r="F252" s="25" t="s">
        <v>200</v>
      </c>
      <c r="G252" s="25">
        <v>45757</v>
      </c>
      <c r="H252" s="20" t="s">
        <v>499</v>
      </c>
      <c r="I252" s="32"/>
      <c r="J252" s="20">
        <v>0</v>
      </c>
      <c r="K252" s="20">
        <v>1</v>
      </c>
      <c r="L252" s="34">
        <v>1</v>
      </c>
      <c r="M252" s="20">
        <v>2</v>
      </c>
      <c r="N252" s="20">
        <v>0</v>
      </c>
      <c r="O252" s="54">
        <v>1</v>
      </c>
      <c r="P252" s="45" t="s">
        <v>159</v>
      </c>
      <c r="Q252" s="23" t="s">
        <v>201</v>
      </c>
      <c r="R252" s="23" t="s">
        <v>202</v>
      </c>
      <c r="S252" s="22" t="s">
        <v>9</v>
      </c>
    </row>
    <row r="253" spans="1:19" ht="17.25" customHeight="1" x14ac:dyDescent="0.25">
      <c r="A253" s="60"/>
      <c r="B253" s="50"/>
      <c r="C253" s="55"/>
      <c r="D253" s="56"/>
      <c r="E253" s="56"/>
      <c r="F253" s="57"/>
      <c r="G253" s="57"/>
      <c r="H253" s="57"/>
      <c r="I253" s="58" t="s">
        <v>1087</v>
      </c>
      <c r="J253" s="57">
        <f>SUM(J220:J252)</f>
        <v>31</v>
      </c>
      <c r="K253" s="57">
        <f>SUM(K220:K252)</f>
        <v>33</v>
      </c>
      <c r="L253" s="59">
        <f>(SUM(K220:K252) - SUM(J220:J252)) / SUM(K220:K252)</f>
        <v>6.0606060606060608E-2</v>
      </c>
      <c r="M253" s="57">
        <f>SUM(M220:M252)</f>
        <v>92</v>
      </c>
      <c r="N253" s="56">
        <f>SUM(N220:N252)</f>
        <v>86</v>
      </c>
      <c r="O253" s="61">
        <f>(SUM(M220:M252) - SUM(N220:N252)) / SUM(M220:M252)</f>
        <v>6.5217391304347824E-2</v>
      </c>
      <c r="P253" s="52"/>
      <c r="Q253" s="53"/>
      <c r="R253" s="52"/>
      <c r="S253" s="52"/>
    </row>
    <row r="254" spans="1:19" x14ac:dyDescent="0.25">
      <c r="A254" s="125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2"/>
      <c r="M254" s="121"/>
      <c r="N254" s="121"/>
      <c r="O254" s="127"/>
      <c r="P254" s="120"/>
      <c r="Q254" s="120"/>
      <c r="R254" s="120"/>
      <c r="S254" s="120"/>
    </row>
    <row r="255" spans="1:19" ht="15.75" thickBot="1" x14ac:dyDescent="0.3">
      <c r="A255" s="126"/>
      <c r="B255" s="123"/>
      <c r="C255" s="124"/>
      <c r="D255" s="123"/>
      <c r="E255" s="123"/>
      <c r="F255" s="123"/>
      <c r="G255" s="124"/>
      <c r="H255" s="123"/>
      <c r="I255" s="123"/>
      <c r="J255" s="123"/>
      <c r="K255" s="123"/>
      <c r="L255" s="123"/>
      <c r="M255" s="123"/>
      <c r="N255" s="123"/>
      <c r="O255" s="128"/>
      <c r="P255" s="98"/>
      <c r="Q255" s="98"/>
      <c r="R255" s="98"/>
      <c r="S255" s="98"/>
    </row>
    <row r="256" spans="1:19" ht="15.75" thickBot="1" x14ac:dyDescent="0.3">
      <c r="C256" s="1"/>
      <c r="G256" s="1"/>
    </row>
    <row r="257" spans="1:19" x14ac:dyDescent="0.25">
      <c r="A257" s="9"/>
      <c r="B257" s="10"/>
      <c r="C257" s="11"/>
      <c r="D257" s="11"/>
      <c r="E257" s="11"/>
      <c r="F257" s="11"/>
      <c r="G257" s="11"/>
      <c r="H257" s="12"/>
      <c r="I257" s="11"/>
      <c r="J257" s="13"/>
      <c r="K257" s="13"/>
      <c r="L257" s="13"/>
      <c r="M257" s="13"/>
      <c r="N257" s="11"/>
      <c r="O257" s="14"/>
      <c r="P257" s="4"/>
      <c r="Q257" s="5"/>
      <c r="R257" s="4"/>
      <c r="S257" s="4"/>
    </row>
    <row r="258" spans="1:19" x14ac:dyDescent="0.25">
      <c r="A258" s="6" t="s">
        <v>1095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15"/>
      <c r="P258" s="3"/>
      <c r="Q258" s="3"/>
      <c r="R258" s="3"/>
      <c r="S258" s="3"/>
    </row>
    <row r="259" spans="1:19" x14ac:dyDescent="0.25">
      <c r="A259" s="7" t="s">
        <v>218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15"/>
      <c r="P259" s="3"/>
      <c r="Q259" s="3"/>
      <c r="R259" s="3"/>
      <c r="S259" s="3"/>
    </row>
    <row r="260" spans="1:19" ht="15.75" thickBot="1" x14ac:dyDescent="0.3">
      <c r="A260" s="8"/>
      <c r="B260" s="8"/>
      <c r="C260" s="74"/>
      <c r="D260" s="8"/>
      <c r="E260" s="8"/>
      <c r="F260" s="8"/>
      <c r="G260" s="74"/>
      <c r="H260" s="8"/>
      <c r="I260" s="8"/>
      <c r="J260" s="8"/>
      <c r="K260" s="8"/>
      <c r="L260" s="8"/>
      <c r="M260" s="8"/>
      <c r="N260" s="8"/>
      <c r="O260" s="16"/>
      <c r="P260" s="3"/>
      <c r="Q260" s="3"/>
      <c r="R260" s="3"/>
      <c r="S260" s="3"/>
    </row>
    <row r="261" spans="1:19" ht="17.25" customHeight="1" thickBot="1" x14ac:dyDescent="0.3">
      <c r="A261" s="19" t="s">
        <v>1068</v>
      </c>
      <c r="B261" s="24" t="s">
        <v>1069</v>
      </c>
      <c r="C261" s="26" t="s">
        <v>1070</v>
      </c>
      <c r="D261" s="29" t="s">
        <v>1071</v>
      </c>
      <c r="E261" s="26" t="s">
        <v>1072</v>
      </c>
      <c r="F261" s="31" t="s">
        <v>1073</v>
      </c>
      <c r="G261" s="31" t="s">
        <v>1074</v>
      </c>
      <c r="H261" s="31" t="s">
        <v>1075</v>
      </c>
      <c r="I261" s="29" t="s">
        <v>14</v>
      </c>
      <c r="J261" s="29" t="s">
        <v>1076</v>
      </c>
      <c r="K261" s="29" t="s">
        <v>1077</v>
      </c>
      <c r="L261" s="29" t="s">
        <v>1078</v>
      </c>
      <c r="M261" s="29" t="s">
        <v>1079</v>
      </c>
      <c r="N261" s="29" t="s">
        <v>1080</v>
      </c>
      <c r="O261" s="36" t="s">
        <v>1081</v>
      </c>
      <c r="P261" s="37" t="s">
        <v>1082</v>
      </c>
      <c r="Q261" s="38" t="s">
        <v>1083</v>
      </c>
      <c r="R261" s="38" t="s">
        <v>1084</v>
      </c>
      <c r="S261" s="39" t="s">
        <v>1085</v>
      </c>
    </row>
    <row r="262" spans="1:19" ht="12.75" customHeight="1" x14ac:dyDescent="0.25">
      <c r="A262" s="46" t="s">
        <v>497</v>
      </c>
      <c r="B262" s="40" t="s">
        <v>732</v>
      </c>
      <c r="C262" s="41">
        <v>45750</v>
      </c>
      <c r="D262" s="42" t="s">
        <v>215</v>
      </c>
      <c r="E262" s="41" t="s">
        <v>192</v>
      </c>
      <c r="F262" s="41" t="s">
        <v>699</v>
      </c>
      <c r="G262" s="41">
        <v>45760</v>
      </c>
      <c r="H262" s="40" t="s">
        <v>499</v>
      </c>
      <c r="I262" s="43" t="s">
        <v>14</v>
      </c>
      <c r="J262" s="40">
        <v>1</v>
      </c>
      <c r="K262" s="40">
        <v>1</v>
      </c>
      <c r="L262" s="44">
        <v>0</v>
      </c>
      <c r="M262" s="40">
        <v>18</v>
      </c>
      <c r="N262" s="40">
        <v>18</v>
      </c>
      <c r="O262" s="48">
        <v>0</v>
      </c>
      <c r="P262" s="45" t="s">
        <v>159</v>
      </c>
      <c r="Q262" s="23" t="s">
        <v>218</v>
      </c>
      <c r="R262" s="23" t="s">
        <v>219</v>
      </c>
      <c r="S262" s="22" t="s">
        <v>9</v>
      </c>
    </row>
    <row r="263" spans="1:19" ht="12.75" customHeight="1" x14ac:dyDescent="0.25">
      <c r="A263" s="47" t="s">
        <v>497</v>
      </c>
      <c r="B263" s="23" t="s">
        <v>733</v>
      </c>
      <c r="C263" s="28">
        <v>45756</v>
      </c>
      <c r="D263" s="30" t="s">
        <v>215</v>
      </c>
      <c r="E263" s="28" t="s">
        <v>235</v>
      </c>
      <c r="F263" s="28" t="s">
        <v>213</v>
      </c>
      <c r="G263" s="28">
        <v>45766</v>
      </c>
      <c r="H263" s="23" t="s">
        <v>499</v>
      </c>
      <c r="I263" s="33" t="s">
        <v>14</v>
      </c>
      <c r="J263" s="23">
        <v>1</v>
      </c>
      <c r="K263" s="23">
        <v>1</v>
      </c>
      <c r="L263" s="35">
        <v>0</v>
      </c>
      <c r="M263" s="23">
        <v>2</v>
      </c>
      <c r="N263" s="23">
        <v>2</v>
      </c>
      <c r="O263" s="49">
        <v>0</v>
      </c>
      <c r="P263" s="45" t="s">
        <v>159</v>
      </c>
      <c r="Q263" s="23" t="s">
        <v>218</v>
      </c>
      <c r="R263" s="23" t="s">
        <v>219</v>
      </c>
      <c r="S263" s="22" t="s">
        <v>9</v>
      </c>
    </row>
    <row r="264" spans="1:19" ht="12.75" customHeight="1" x14ac:dyDescent="0.25">
      <c r="A264" s="47" t="s">
        <v>497</v>
      </c>
      <c r="B264" s="23" t="s">
        <v>734</v>
      </c>
      <c r="C264" s="28">
        <v>45756</v>
      </c>
      <c r="D264" s="30" t="s">
        <v>215</v>
      </c>
      <c r="E264" s="28" t="s">
        <v>216</v>
      </c>
      <c r="F264" s="28" t="s">
        <v>227</v>
      </c>
      <c r="G264" s="28">
        <v>45766</v>
      </c>
      <c r="H264" s="23" t="s">
        <v>499</v>
      </c>
      <c r="I264" s="33" t="s">
        <v>14</v>
      </c>
      <c r="J264" s="23">
        <v>1</v>
      </c>
      <c r="K264" s="23">
        <v>1</v>
      </c>
      <c r="L264" s="35">
        <v>0</v>
      </c>
      <c r="M264" s="23">
        <v>2</v>
      </c>
      <c r="N264" s="23">
        <v>2</v>
      </c>
      <c r="O264" s="49">
        <v>0</v>
      </c>
      <c r="P264" s="45" t="s">
        <v>159</v>
      </c>
      <c r="Q264" s="23" t="s">
        <v>218</v>
      </c>
      <c r="R264" s="23" t="s">
        <v>219</v>
      </c>
      <c r="S264" s="22" t="s">
        <v>9</v>
      </c>
    </row>
    <row r="265" spans="1:19" ht="12.75" customHeight="1" x14ac:dyDescent="0.25">
      <c r="A265" s="47" t="s">
        <v>497</v>
      </c>
      <c r="B265" s="23" t="s">
        <v>735</v>
      </c>
      <c r="C265" s="28">
        <v>45756</v>
      </c>
      <c r="D265" s="30" t="s">
        <v>215</v>
      </c>
      <c r="E265" s="28" t="s">
        <v>199</v>
      </c>
      <c r="F265" s="28" t="s">
        <v>715</v>
      </c>
      <c r="G265" s="28">
        <v>45766</v>
      </c>
      <c r="H265" s="23" t="s">
        <v>499</v>
      </c>
      <c r="I265" s="33" t="s">
        <v>14</v>
      </c>
      <c r="J265" s="23">
        <v>1</v>
      </c>
      <c r="K265" s="23">
        <v>1</v>
      </c>
      <c r="L265" s="35">
        <v>0</v>
      </c>
      <c r="M265" s="23">
        <v>3</v>
      </c>
      <c r="N265" s="23">
        <v>3</v>
      </c>
      <c r="O265" s="49">
        <v>0</v>
      </c>
      <c r="P265" s="45" t="s">
        <v>159</v>
      </c>
      <c r="Q265" s="23" t="s">
        <v>218</v>
      </c>
      <c r="R265" s="23" t="s">
        <v>219</v>
      </c>
      <c r="S265" s="22" t="s">
        <v>9</v>
      </c>
    </row>
    <row r="266" spans="1:19" ht="12.75" customHeight="1" x14ac:dyDescent="0.25">
      <c r="A266" s="47" t="s">
        <v>497</v>
      </c>
      <c r="B266" s="23" t="s">
        <v>736</v>
      </c>
      <c r="C266" s="28">
        <v>45756</v>
      </c>
      <c r="D266" s="30" t="s">
        <v>215</v>
      </c>
      <c r="E266" s="28" t="s">
        <v>199</v>
      </c>
      <c r="F266" s="28" t="s">
        <v>222</v>
      </c>
      <c r="G266" s="28">
        <v>45766</v>
      </c>
      <c r="H266" s="23" t="s">
        <v>499</v>
      </c>
      <c r="I266" s="33" t="s">
        <v>14</v>
      </c>
      <c r="J266" s="23">
        <v>1</v>
      </c>
      <c r="K266" s="23">
        <v>1</v>
      </c>
      <c r="L266" s="35">
        <v>0</v>
      </c>
      <c r="M266" s="23">
        <v>2</v>
      </c>
      <c r="N266" s="23">
        <v>2</v>
      </c>
      <c r="O266" s="49">
        <v>0</v>
      </c>
      <c r="P266" s="45" t="s">
        <v>159</v>
      </c>
      <c r="Q266" s="23" t="s">
        <v>218</v>
      </c>
      <c r="R266" s="23" t="s">
        <v>219</v>
      </c>
      <c r="S266" s="22" t="s">
        <v>9</v>
      </c>
    </row>
    <row r="267" spans="1:19" ht="12.75" customHeight="1" x14ac:dyDescent="0.25">
      <c r="A267" s="47" t="s">
        <v>497</v>
      </c>
      <c r="B267" s="23" t="s">
        <v>737</v>
      </c>
      <c r="C267" s="28">
        <v>45759</v>
      </c>
      <c r="D267" s="30" t="s">
        <v>215</v>
      </c>
      <c r="E267" s="28" t="s">
        <v>738</v>
      </c>
      <c r="F267" s="28" t="s">
        <v>739</v>
      </c>
      <c r="G267" s="28">
        <v>45769</v>
      </c>
      <c r="H267" s="23" t="s">
        <v>499</v>
      </c>
      <c r="I267" s="33" t="s">
        <v>14</v>
      </c>
      <c r="J267" s="23">
        <v>1</v>
      </c>
      <c r="K267" s="23">
        <v>1</v>
      </c>
      <c r="L267" s="35">
        <v>0</v>
      </c>
      <c r="M267" s="23">
        <v>2</v>
      </c>
      <c r="N267" s="23">
        <v>2</v>
      </c>
      <c r="O267" s="49">
        <v>0</v>
      </c>
      <c r="P267" s="45" t="s">
        <v>159</v>
      </c>
      <c r="Q267" s="23" t="s">
        <v>218</v>
      </c>
      <c r="R267" s="23" t="s">
        <v>219</v>
      </c>
      <c r="S267" s="22" t="s">
        <v>9</v>
      </c>
    </row>
    <row r="268" spans="1:19" ht="12.75" customHeight="1" x14ac:dyDescent="0.25">
      <c r="A268" s="47" t="s">
        <v>497</v>
      </c>
      <c r="B268" s="23" t="s">
        <v>740</v>
      </c>
      <c r="C268" s="28">
        <v>45759</v>
      </c>
      <c r="D268" s="30" t="s">
        <v>215</v>
      </c>
      <c r="E268" s="28" t="s">
        <v>224</v>
      </c>
      <c r="F268" s="28" t="s">
        <v>741</v>
      </c>
      <c r="G268" s="28">
        <v>45769</v>
      </c>
      <c r="H268" s="23" t="s">
        <v>499</v>
      </c>
      <c r="I268" s="33" t="s">
        <v>14</v>
      </c>
      <c r="J268" s="23">
        <v>1</v>
      </c>
      <c r="K268" s="23">
        <v>1</v>
      </c>
      <c r="L268" s="35">
        <v>0</v>
      </c>
      <c r="M268" s="23">
        <v>3</v>
      </c>
      <c r="N268" s="23">
        <v>3</v>
      </c>
      <c r="O268" s="49">
        <v>0</v>
      </c>
      <c r="P268" s="45" t="s">
        <v>159</v>
      </c>
      <c r="Q268" s="23" t="s">
        <v>218</v>
      </c>
      <c r="R268" s="23" t="s">
        <v>219</v>
      </c>
      <c r="S268" s="22" t="s">
        <v>9</v>
      </c>
    </row>
    <row r="269" spans="1:19" ht="12.75" customHeight="1" x14ac:dyDescent="0.25">
      <c r="A269" s="47" t="s">
        <v>497</v>
      </c>
      <c r="B269" s="23" t="s">
        <v>742</v>
      </c>
      <c r="C269" s="28">
        <v>45759</v>
      </c>
      <c r="D269" s="30" t="s">
        <v>215</v>
      </c>
      <c r="E269" s="28" t="s">
        <v>235</v>
      </c>
      <c r="F269" s="28" t="s">
        <v>222</v>
      </c>
      <c r="G269" s="28">
        <v>45769</v>
      </c>
      <c r="H269" s="23" t="s">
        <v>499</v>
      </c>
      <c r="I269" s="33" t="s">
        <v>14</v>
      </c>
      <c r="J269" s="23">
        <v>1</v>
      </c>
      <c r="K269" s="23">
        <v>1</v>
      </c>
      <c r="L269" s="35">
        <v>0</v>
      </c>
      <c r="M269" s="23">
        <v>2</v>
      </c>
      <c r="N269" s="23">
        <v>2</v>
      </c>
      <c r="O269" s="49">
        <v>0</v>
      </c>
      <c r="P269" s="45" t="s">
        <v>159</v>
      </c>
      <c r="Q269" s="23" t="s">
        <v>218</v>
      </c>
      <c r="R269" s="23" t="s">
        <v>219</v>
      </c>
      <c r="S269" s="22" t="s">
        <v>9</v>
      </c>
    </row>
    <row r="270" spans="1:19" ht="12.75" customHeight="1" x14ac:dyDescent="0.25">
      <c r="A270" s="47" t="s">
        <v>497</v>
      </c>
      <c r="B270" s="23" t="s">
        <v>743</v>
      </c>
      <c r="C270" s="28">
        <v>45762</v>
      </c>
      <c r="D270" s="30" t="s">
        <v>215</v>
      </c>
      <c r="E270" s="28" t="s">
        <v>221</v>
      </c>
      <c r="F270" s="28" t="s">
        <v>744</v>
      </c>
      <c r="G270" s="28">
        <v>45772</v>
      </c>
      <c r="H270" s="23" t="s">
        <v>499</v>
      </c>
      <c r="I270" s="33" t="s">
        <v>14</v>
      </c>
      <c r="J270" s="23">
        <v>1</v>
      </c>
      <c r="K270" s="23">
        <v>1</v>
      </c>
      <c r="L270" s="35">
        <v>0</v>
      </c>
      <c r="M270" s="23">
        <v>1</v>
      </c>
      <c r="N270" s="23">
        <v>1</v>
      </c>
      <c r="O270" s="49">
        <v>0</v>
      </c>
      <c r="P270" s="45" t="s">
        <v>159</v>
      </c>
      <c r="Q270" s="23" t="s">
        <v>218</v>
      </c>
      <c r="R270" s="23" t="s">
        <v>219</v>
      </c>
      <c r="S270" s="22" t="s">
        <v>9</v>
      </c>
    </row>
    <row r="271" spans="1:19" ht="12.75" customHeight="1" x14ac:dyDescent="0.25">
      <c r="A271" s="47" t="s">
        <v>497</v>
      </c>
      <c r="B271" s="23" t="s">
        <v>745</v>
      </c>
      <c r="C271" s="28">
        <v>45765</v>
      </c>
      <c r="D271" s="30" t="s">
        <v>215</v>
      </c>
      <c r="E271" s="28" t="s">
        <v>738</v>
      </c>
      <c r="F271" s="28" t="s">
        <v>744</v>
      </c>
      <c r="G271" s="28">
        <v>45775</v>
      </c>
      <c r="H271" s="23" t="s">
        <v>499</v>
      </c>
      <c r="I271" s="33" t="s">
        <v>14</v>
      </c>
      <c r="J271" s="23">
        <v>1</v>
      </c>
      <c r="K271" s="23">
        <v>1</v>
      </c>
      <c r="L271" s="35">
        <v>0</v>
      </c>
      <c r="M271" s="23">
        <v>4</v>
      </c>
      <c r="N271" s="23">
        <v>4</v>
      </c>
      <c r="O271" s="49">
        <v>0</v>
      </c>
      <c r="P271" s="45" t="s">
        <v>159</v>
      </c>
      <c r="Q271" s="23" t="s">
        <v>218</v>
      </c>
      <c r="R271" s="23" t="s">
        <v>219</v>
      </c>
      <c r="S271" s="22" t="s">
        <v>9</v>
      </c>
    </row>
    <row r="272" spans="1:19" ht="12.75" customHeight="1" x14ac:dyDescent="0.25">
      <c r="A272" s="47" t="s">
        <v>497</v>
      </c>
      <c r="B272" s="23" t="s">
        <v>746</v>
      </c>
      <c r="C272" s="28">
        <v>45765</v>
      </c>
      <c r="D272" s="30" t="s">
        <v>215</v>
      </c>
      <c r="E272" s="28" t="s">
        <v>570</v>
      </c>
      <c r="F272" s="28" t="s">
        <v>192</v>
      </c>
      <c r="G272" s="28">
        <v>45775</v>
      </c>
      <c r="H272" s="23" t="s">
        <v>499</v>
      </c>
      <c r="I272" s="33" t="s">
        <v>14</v>
      </c>
      <c r="J272" s="23">
        <v>1</v>
      </c>
      <c r="K272" s="23">
        <v>1</v>
      </c>
      <c r="L272" s="35">
        <v>0</v>
      </c>
      <c r="M272" s="23">
        <v>38</v>
      </c>
      <c r="N272" s="23">
        <v>38</v>
      </c>
      <c r="O272" s="49">
        <v>0</v>
      </c>
      <c r="P272" s="45" t="s">
        <v>159</v>
      </c>
      <c r="Q272" s="23" t="s">
        <v>218</v>
      </c>
      <c r="R272" s="23" t="s">
        <v>219</v>
      </c>
      <c r="S272" s="22" t="s">
        <v>9</v>
      </c>
    </row>
    <row r="273" spans="1:19" ht="12.75" customHeight="1" x14ac:dyDescent="0.25">
      <c r="A273" s="47" t="s">
        <v>497</v>
      </c>
      <c r="B273" s="23" t="s">
        <v>747</v>
      </c>
      <c r="C273" s="28">
        <v>45766</v>
      </c>
      <c r="D273" s="30" t="s">
        <v>215</v>
      </c>
      <c r="E273" s="28" t="s">
        <v>738</v>
      </c>
      <c r="F273" s="28" t="s">
        <v>715</v>
      </c>
      <c r="G273" s="28">
        <v>45776</v>
      </c>
      <c r="H273" s="23" t="s">
        <v>499</v>
      </c>
      <c r="I273" s="33" t="s">
        <v>14</v>
      </c>
      <c r="J273" s="23">
        <v>1</v>
      </c>
      <c r="K273" s="23">
        <v>1</v>
      </c>
      <c r="L273" s="35">
        <v>0</v>
      </c>
      <c r="M273" s="23">
        <v>1</v>
      </c>
      <c r="N273" s="23">
        <v>1</v>
      </c>
      <c r="O273" s="49">
        <v>0</v>
      </c>
      <c r="P273" s="45" t="s">
        <v>159</v>
      </c>
      <c r="Q273" s="23" t="s">
        <v>218</v>
      </c>
      <c r="R273" s="23" t="s">
        <v>219</v>
      </c>
      <c r="S273" s="22" t="s">
        <v>9</v>
      </c>
    </row>
    <row r="274" spans="1:19" ht="12.75" customHeight="1" x14ac:dyDescent="0.25">
      <c r="A274" s="47" t="s">
        <v>497</v>
      </c>
      <c r="B274" s="23" t="s">
        <v>748</v>
      </c>
      <c r="C274" s="28">
        <v>45767</v>
      </c>
      <c r="D274" s="30" t="s">
        <v>215</v>
      </c>
      <c r="E274" s="28" t="s">
        <v>570</v>
      </c>
      <c r="F274" s="28" t="s">
        <v>715</v>
      </c>
      <c r="G274" s="28">
        <v>45777</v>
      </c>
      <c r="H274" s="23" t="s">
        <v>499</v>
      </c>
      <c r="I274" s="33" t="s">
        <v>14</v>
      </c>
      <c r="J274" s="23">
        <v>1</v>
      </c>
      <c r="K274" s="23">
        <v>1</v>
      </c>
      <c r="L274" s="35">
        <v>0</v>
      </c>
      <c r="M274" s="23">
        <v>4</v>
      </c>
      <c r="N274" s="23">
        <v>4</v>
      </c>
      <c r="O274" s="49">
        <v>0</v>
      </c>
      <c r="P274" s="45" t="s">
        <v>159</v>
      </c>
      <c r="Q274" s="23" t="s">
        <v>218</v>
      </c>
      <c r="R274" s="23" t="s">
        <v>219</v>
      </c>
      <c r="S274" s="22" t="s">
        <v>9</v>
      </c>
    </row>
    <row r="275" spans="1:19" ht="12.75" customHeight="1" x14ac:dyDescent="0.25">
      <c r="A275" s="47" t="s">
        <v>497</v>
      </c>
      <c r="B275" s="23" t="s">
        <v>749</v>
      </c>
      <c r="C275" s="28">
        <v>45768</v>
      </c>
      <c r="D275" s="30" t="s">
        <v>215</v>
      </c>
      <c r="E275" s="28" t="s">
        <v>570</v>
      </c>
      <c r="F275" s="28" t="s">
        <v>715</v>
      </c>
      <c r="G275" s="28">
        <v>45778</v>
      </c>
      <c r="H275" s="23" t="s">
        <v>499</v>
      </c>
      <c r="I275" s="33" t="s">
        <v>14</v>
      </c>
      <c r="J275" s="23">
        <v>1</v>
      </c>
      <c r="K275" s="23">
        <v>1</v>
      </c>
      <c r="L275" s="35">
        <v>0</v>
      </c>
      <c r="M275" s="23">
        <v>2</v>
      </c>
      <c r="N275" s="23">
        <v>2</v>
      </c>
      <c r="O275" s="49">
        <v>0</v>
      </c>
      <c r="P275" s="45" t="s">
        <v>159</v>
      </c>
      <c r="Q275" s="23" t="s">
        <v>218</v>
      </c>
      <c r="R275" s="23" t="s">
        <v>219</v>
      </c>
      <c r="S275" s="22" t="s">
        <v>9</v>
      </c>
    </row>
    <row r="276" spans="1:19" ht="12.75" customHeight="1" x14ac:dyDescent="0.25">
      <c r="A276" s="47" t="s">
        <v>497</v>
      </c>
      <c r="B276" s="23" t="s">
        <v>750</v>
      </c>
      <c r="C276" s="28">
        <v>45768</v>
      </c>
      <c r="D276" s="30" t="s">
        <v>215</v>
      </c>
      <c r="E276" s="28" t="s">
        <v>221</v>
      </c>
      <c r="F276" s="28" t="s">
        <v>751</v>
      </c>
      <c r="G276" s="28">
        <v>45778</v>
      </c>
      <c r="H276" s="23" t="s">
        <v>499</v>
      </c>
      <c r="I276" s="33" t="s">
        <v>14</v>
      </c>
      <c r="J276" s="23">
        <v>1</v>
      </c>
      <c r="K276" s="23">
        <v>1</v>
      </c>
      <c r="L276" s="35">
        <v>0</v>
      </c>
      <c r="M276" s="23">
        <v>2</v>
      </c>
      <c r="N276" s="23">
        <v>2</v>
      </c>
      <c r="O276" s="49">
        <v>0</v>
      </c>
      <c r="P276" s="45" t="s">
        <v>159</v>
      </c>
      <c r="Q276" s="23" t="s">
        <v>218</v>
      </c>
      <c r="R276" s="23" t="s">
        <v>219</v>
      </c>
      <c r="S276" s="22" t="s">
        <v>9</v>
      </c>
    </row>
    <row r="277" spans="1:19" ht="12.75" customHeight="1" x14ac:dyDescent="0.25">
      <c r="A277" s="47" t="s">
        <v>497</v>
      </c>
      <c r="B277" s="23" t="s">
        <v>752</v>
      </c>
      <c r="C277" s="28">
        <v>45773</v>
      </c>
      <c r="D277" s="30" t="s">
        <v>215</v>
      </c>
      <c r="E277" s="28" t="s">
        <v>221</v>
      </c>
      <c r="F277" s="28" t="s">
        <v>227</v>
      </c>
      <c r="G277" s="28">
        <v>45783</v>
      </c>
      <c r="H277" s="23" t="s">
        <v>499</v>
      </c>
      <c r="I277" s="33" t="s">
        <v>14</v>
      </c>
      <c r="J277" s="23">
        <v>1</v>
      </c>
      <c r="K277" s="23">
        <v>1</v>
      </c>
      <c r="L277" s="35">
        <v>0</v>
      </c>
      <c r="M277" s="23">
        <v>1</v>
      </c>
      <c r="N277" s="23">
        <v>1</v>
      </c>
      <c r="O277" s="49">
        <v>0</v>
      </c>
      <c r="P277" s="45" t="s">
        <v>159</v>
      </c>
      <c r="Q277" s="23" t="s">
        <v>218</v>
      </c>
      <c r="R277" s="23" t="s">
        <v>219</v>
      </c>
      <c r="S277" s="22" t="s">
        <v>9</v>
      </c>
    </row>
    <row r="278" spans="1:19" ht="12.75" customHeight="1" x14ac:dyDescent="0.25">
      <c r="A278" s="47" t="s">
        <v>497</v>
      </c>
      <c r="B278" s="23" t="s">
        <v>753</v>
      </c>
      <c r="C278" s="28">
        <v>45774</v>
      </c>
      <c r="D278" s="30" t="s">
        <v>215</v>
      </c>
      <c r="E278" s="28" t="s">
        <v>199</v>
      </c>
      <c r="F278" s="28" t="s">
        <v>227</v>
      </c>
      <c r="G278" s="28">
        <v>45784</v>
      </c>
      <c r="H278" s="23" t="s">
        <v>499</v>
      </c>
      <c r="I278" s="33" t="s">
        <v>14</v>
      </c>
      <c r="J278" s="23">
        <v>1</v>
      </c>
      <c r="K278" s="23">
        <v>1</v>
      </c>
      <c r="L278" s="35">
        <v>0</v>
      </c>
      <c r="M278" s="23">
        <v>1</v>
      </c>
      <c r="N278" s="23">
        <v>1</v>
      </c>
      <c r="O278" s="49">
        <v>0</v>
      </c>
      <c r="P278" s="45" t="s">
        <v>159</v>
      </c>
      <c r="Q278" s="23" t="s">
        <v>218</v>
      </c>
      <c r="R278" s="23" t="s">
        <v>219</v>
      </c>
      <c r="S278" s="22" t="s">
        <v>9</v>
      </c>
    </row>
    <row r="279" spans="1:19" ht="12.75" customHeight="1" x14ac:dyDescent="0.25">
      <c r="A279" s="47" t="s">
        <v>497</v>
      </c>
      <c r="B279" s="23" t="s">
        <v>754</v>
      </c>
      <c r="C279" s="28">
        <v>45776</v>
      </c>
      <c r="D279" s="30" t="s">
        <v>215</v>
      </c>
      <c r="E279" s="28" t="s">
        <v>221</v>
      </c>
      <c r="F279" s="28" t="s">
        <v>751</v>
      </c>
      <c r="G279" s="28">
        <v>45786</v>
      </c>
      <c r="H279" s="23" t="s">
        <v>499</v>
      </c>
      <c r="I279" s="33" t="s">
        <v>14</v>
      </c>
      <c r="J279" s="23">
        <v>1</v>
      </c>
      <c r="K279" s="23">
        <v>1</v>
      </c>
      <c r="L279" s="35">
        <v>0</v>
      </c>
      <c r="M279" s="23">
        <v>1</v>
      </c>
      <c r="N279" s="23">
        <v>1</v>
      </c>
      <c r="O279" s="49">
        <v>0</v>
      </c>
      <c r="P279" s="45" t="s">
        <v>159</v>
      </c>
      <c r="Q279" s="23" t="s">
        <v>218</v>
      </c>
      <c r="R279" s="23" t="s">
        <v>219</v>
      </c>
      <c r="S279" s="22" t="s">
        <v>9</v>
      </c>
    </row>
    <row r="280" spans="1:19" ht="12.75" customHeight="1" thickBot="1" x14ac:dyDescent="0.3">
      <c r="A280" s="51" t="s">
        <v>497</v>
      </c>
      <c r="B280" s="20" t="s">
        <v>755</v>
      </c>
      <c r="C280" s="25">
        <v>45777</v>
      </c>
      <c r="D280" s="27" t="s">
        <v>215</v>
      </c>
      <c r="E280" s="25"/>
      <c r="F280" s="25"/>
      <c r="G280" s="25">
        <v>45787</v>
      </c>
      <c r="H280" s="20" t="s">
        <v>499</v>
      </c>
      <c r="I280" s="32" t="s">
        <v>113</v>
      </c>
      <c r="J280" s="20">
        <v>0</v>
      </c>
      <c r="K280" s="20">
        <v>1</v>
      </c>
      <c r="L280" s="34">
        <v>1</v>
      </c>
      <c r="M280" s="20">
        <v>1</v>
      </c>
      <c r="N280" s="20">
        <v>0</v>
      </c>
      <c r="O280" s="54">
        <v>1</v>
      </c>
      <c r="P280" s="45" t="s">
        <v>159</v>
      </c>
      <c r="Q280" s="23" t="s">
        <v>218</v>
      </c>
      <c r="R280" s="23" t="s">
        <v>219</v>
      </c>
      <c r="S280" s="22" t="s">
        <v>9</v>
      </c>
    </row>
    <row r="281" spans="1:19" ht="17.25" customHeight="1" x14ac:dyDescent="0.25">
      <c r="A281" s="60"/>
      <c r="B281" s="50"/>
      <c r="C281" s="55"/>
      <c r="D281" s="56"/>
      <c r="E281" s="56"/>
      <c r="F281" s="57"/>
      <c r="G281" s="57"/>
      <c r="H281" s="57"/>
      <c r="I281" s="58" t="s">
        <v>1087</v>
      </c>
      <c r="J281" s="57">
        <f>SUM(J262:J280)</f>
        <v>18</v>
      </c>
      <c r="K281" s="57">
        <f>SUM(K262:K280)</f>
        <v>19</v>
      </c>
      <c r="L281" s="59">
        <f>(SUM(K262:K280) - SUM(J262:J280)) / SUM(K262:K280)</f>
        <v>5.2631578947368418E-2</v>
      </c>
      <c r="M281" s="57">
        <f>SUM(M262:M280)</f>
        <v>90</v>
      </c>
      <c r="N281" s="56">
        <f>SUM(N262:N280)</f>
        <v>89</v>
      </c>
      <c r="O281" s="61">
        <f>(SUM(M262:M280) - SUM(N262:N280)) / SUM(M262:M280)</f>
        <v>1.1111111111111112E-2</v>
      </c>
      <c r="P281" s="52"/>
      <c r="Q281" s="53"/>
      <c r="R281" s="52"/>
      <c r="S281" s="52"/>
    </row>
    <row r="282" spans="1:19" x14ac:dyDescent="0.25">
      <c r="A282" s="125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2"/>
      <c r="M282" s="121"/>
      <c r="N282" s="121"/>
      <c r="O282" s="127"/>
      <c r="P282" s="120"/>
      <c r="Q282" s="120"/>
      <c r="R282" s="120"/>
      <c r="S282" s="120"/>
    </row>
    <row r="283" spans="1:19" ht="15.75" thickBot="1" x14ac:dyDescent="0.3">
      <c r="A283" s="126"/>
      <c r="B283" s="123"/>
      <c r="C283" s="124"/>
      <c r="D283" s="123"/>
      <c r="E283" s="123"/>
      <c r="F283" s="123"/>
      <c r="G283" s="124"/>
      <c r="H283" s="123"/>
      <c r="I283" s="123"/>
      <c r="J283" s="123"/>
      <c r="K283" s="123"/>
      <c r="L283" s="123"/>
      <c r="M283" s="123"/>
      <c r="N283" s="123"/>
      <c r="O283" s="128"/>
      <c r="P283" s="98"/>
      <c r="Q283" s="98"/>
      <c r="R283" s="98"/>
      <c r="S283" s="98"/>
    </row>
    <row r="284" spans="1:19" ht="15.75" thickBot="1" x14ac:dyDescent="0.3">
      <c r="C284" s="1"/>
      <c r="G284" s="1"/>
    </row>
    <row r="285" spans="1:19" x14ac:dyDescent="0.25">
      <c r="A285" s="9"/>
      <c r="B285" s="10"/>
      <c r="C285" s="11"/>
      <c r="D285" s="11"/>
      <c r="E285" s="11"/>
      <c r="F285" s="11"/>
      <c r="G285" s="11"/>
      <c r="H285" s="12"/>
      <c r="I285" s="11"/>
      <c r="J285" s="13"/>
      <c r="K285" s="13"/>
      <c r="L285" s="13"/>
      <c r="M285" s="13"/>
      <c r="N285" s="11"/>
      <c r="O285" s="14"/>
      <c r="P285" s="4"/>
      <c r="Q285" s="5"/>
      <c r="R285" s="4"/>
      <c r="S285" s="4"/>
    </row>
    <row r="286" spans="1:19" x14ac:dyDescent="0.25">
      <c r="A286" s="6" t="s">
        <v>1095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15"/>
      <c r="P286" s="3"/>
      <c r="Q286" s="3"/>
      <c r="R286" s="3"/>
      <c r="S286" s="3"/>
    </row>
    <row r="287" spans="1:19" x14ac:dyDescent="0.25">
      <c r="A287" s="7" t="s">
        <v>239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15"/>
      <c r="P287" s="3"/>
      <c r="Q287" s="3"/>
      <c r="R287" s="3"/>
      <c r="S287" s="3"/>
    </row>
    <row r="288" spans="1:19" ht="15.75" thickBot="1" x14ac:dyDescent="0.3">
      <c r="A288" s="8"/>
      <c r="B288" s="8"/>
      <c r="C288" s="74"/>
      <c r="D288" s="8"/>
      <c r="E288" s="8"/>
      <c r="F288" s="8"/>
      <c r="G288" s="74"/>
      <c r="H288" s="8"/>
      <c r="I288" s="8"/>
      <c r="J288" s="8"/>
      <c r="K288" s="8"/>
      <c r="L288" s="8"/>
      <c r="M288" s="8"/>
      <c r="N288" s="8"/>
      <c r="O288" s="16"/>
      <c r="P288" s="3"/>
      <c r="Q288" s="3"/>
      <c r="R288" s="3"/>
      <c r="S288" s="3"/>
    </row>
    <row r="289" spans="1:19" ht="17.25" customHeight="1" thickBot="1" x14ac:dyDescent="0.3">
      <c r="A289" s="19" t="s">
        <v>1068</v>
      </c>
      <c r="B289" s="24" t="s">
        <v>1069</v>
      </c>
      <c r="C289" s="26" t="s">
        <v>1070</v>
      </c>
      <c r="D289" s="29" t="s">
        <v>1071</v>
      </c>
      <c r="E289" s="26" t="s">
        <v>1072</v>
      </c>
      <c r="F289" s="31" t="s">
        <v>1073</v>
      </c>
      <c r="G289" s="31" t="s">
        <v>1074</v>
      </c>
      <c r="H289" s="31" t="s">
        <v>1075</v>
      </c>
      <c r="I289" s="29" t="s">
        <v>14</v>
      </c>
      <c r="J289" s="29" t="s">
        <v>1076</v>
      </c>
      <c r="K289" s="29" t="s">
        <v>1077</v>
      </c>
      <c r="L289" s="29" t="s">
        <v>1078</v>
      </c>
      <c r="M289" s="29" t="s">
        <v>1079</v>
      </c>
      <c r="N289" s="29" t="s">
        <v>1080</v>
      </c>
      <c r="O289" s="36" t="s">
        <v>1081</v>
      </c>
      <c r="P289" s="37" t="s">
        <v>1082</v>
      </c>
      <c r="Q289" s="38" t="s">
        <v>1083</v>
      </c>
      <c r="R289" s="38" t="s">
        <v>1084</v>
      </c>
      <c r="S289" s="39" t="s">
        <v>1085</v>
      </c>
    </row>
    <row r="290" spans="1:19" ht="12.75" customHeight="1" x14ac:dyDescent="0.25">
      <c r="A290" s="46" t="s">
        <v>497</v>
      </c>
      <c r="B290" s="40" t="s">
        <v>756</v>
      </c>
      <c r="C290" s="41">
        <v>45783</v>
      </c>
      <c r="D290" s="42" t="s">
        <v>237</v>
      </c>
      <c r="E290" s="41" t="s">
        <v>221</v>
      </c>
      <c r="F290" s="41" t="s">
        <v>757</v>
      </c>
      <c r="G290" s="41">
        <v>45793</v>
      </c>
      <c r="H290" s="40" t="s">
        <v>499</v>
      </c>
      <c r="I290" s="43" t="s">
        <v>14</v>
      </c>
      <c r="J290" s="40">
        <v>1</v>
      </c>
      <c r="K290" s="40">
        <v>1</v>
      </c>
      <c r="L290" s="44">
        <v>0</v>
      </c>
      <c r="M290" s="40">
        <v>1</v>
      </c>
      <c r="N290" s="40">
        <v>1</v>
      </c>
      <c r="O290" s="48">
        <v>0</v>
      </c>
      <c r="P290" s="45" t="s">
        <v>159</v>
      </c>
      <c r="Q290" s="23" t="s">
        <v>239</v>
      </c>
      <c r="R290" s="23" t="s">
        <v>240</v>
      </c>
      <c r="S290" s="22" t="s">
        <v>9</v>
      </c>
    </row>
    <row r="291" spans="1:19" ht="12.75" customHeight="1" x14ac:dyDescent="0.25">
      <c r="A291" s="47" t="s">
        <v>497</v>
      </c>
      <c r="B291" s="23" t="s">
        <v>758</v>
      </c>
      <c r="C291" s="28">
        <v>45795</v>
      </c>
      <c r="D291" s="30" t="s">
        <v>237</v>
      </c>
      <c r="E291" s="28" t="s">
        <v>759</v>
      </c>
      <c r="F291" s="28" t="s">
        <v>248</v>
      </c>
      <c r="G291" s="28">
        <v>45805</v>
      </c>
      <c r="H291" s="23" t="s">
        <v>499</v>
      </c>
      <c r="I291" s="33" t="s">
        <v>14</v>
      </c>
      <c r="J291" s="23">
        <v>1</v>
      </c>
      <c r="K291" s="23">
        <v>1</v>
      </c>
      <c r="L291" s="35">
        <v>0</v>
      </c>
      <c r="M291" s="23">
        <v>2</v>
      </c>
      <c r="N291" s="23">
        <v>2</v>
      </c>
      <c r="O291" s="49">
        <v>0</v>
      </c>
      <c r="P291" s="45" t="s">
        <v>159</v>
      </c>
      <c r="Q291" s="23" t="s">
        <v>239</v>
      </c>
      <c r="R291" s="23" t="s">
        <v>240</v>
      </c>
      <c r="S291" s="22" t="s">
        <v>9</v>
      </c>
    </row>
    <row r="292" spans="1:19" ht="12.75" customHeight="1" x14ac:dyDescent="0.25">
      <c r="A292" s="47" t="s">
        <v>497</v>
      </c>
      <c r="B292" s="23" t="s">
        <v>760</v>
      </c>
      <c r="C292" s="28">
        <v>45795</v>
      </c>
      <c r="D292" s="30" t="s">
        <v>237</v>
      </c>
      <c r="E292" s="28" t="s">
        <v>759</v>
      </c>
      <c r="F292" s="28" t="s">
        <v>248</v>
      </c>
      <c r="G292" s="28">
        <v>45805</v>
      </c>
      <c r="H292" s="23" t="s">
        <v>499</v>
      </c>
      <c r="I292" s="33" t="s">
        <v>14</v>
      </c>
      <c r="J292" s="23">
        <v>1</v>
      </c>
      <c r="K292" s="23">
        <v>1</v>
      </c>
      <c r="L292" s="35">
        <v>0</v>
      </c>
      <c r="M292" s="23">
        <v>6</v>
      </c>
      <c r="N292" s="23">
        <v>6</v>
      </c>
      <c r="O292" s="49">
        <v>0</v>
      </c>
      <c r="P292" s="45" t="s">
        <v>159</v>
      </c>
      <c r="Q292" s="23" t="s">
        <v>239</v>
      </c>
      <c r="R292" s="23" t="s">
        <v>240</v>
      </c>
      <c r="S292" s="22" t="s">
        <v>9</v>
      </c>
    </row>
    <row r="293" spans="1:19" ht="12.75" customHeight="1" x14ac:dyDescent="0.25">
      <c r="A293" s="47" t="s">
        <v>497</v>
      </c>
      <c r="B293" s="23" t="s">
        <v>761</v>
      </c>
      <c r="C293" s="28">
        <v>45798</v>
      </c>
      <c r="D293" s="30" t="s">
        <v>237</v>
      </c>
      <c r="E293" s="28" t="s">
        <v>278</v>
      </c>
      <c r="F293" s="28" t="s">
        <v>238</v>
      </c>
      <c r="G293" s="28">
        <v>45808</v>
      </c>
      <c r="H293" s="23" t="s">
        <v>499</v>
      </c>
      <c r="I293" s="33" t="s">
        <v>14</v>
      </c>
      <c r="J293" s="23">
        <v>1</v>
      </c>
      <c r="K293" s="23">
        <v>1</v>
      </c>
      <c r="L293" s="35">
        <v>0</v>
      </c>
      <c r="M293" s="23">
        <v>2</v>
      </c>
      <c r="N293" s="23">
        <v>2</v>
      </c>
      <c r="O293" s="49">
        <v>0</v>
      </c>
      <c r="P293" s="45" t="s">
        <v>159</v>
      </c>
      <c r="Q293" s="23" t="s">
        <v>239</v>
      </c>
      <c r="R293" s="23" t="s">
        <v>240</v>
      </c>
      <c r="S293" s="22" t="s">
        <v>9</v>
      </c>
    </row>
    <row r="294" spans="1:19" ht="12.75" customHeight="1" x14ac:dyDescent="0.25">
      <c r="A294" s="47" t="s">
        <v>497</v>
      </c>
      <c r="B294" s="23" t="s">
        <v>762</v>
      </c>
      <c r="C294" s="28">
        <v>45798</v>
      </c>
      <c r="D294" s="30" t="s">
        <v>237</v>
      </c>
      <c r="E294" s="28" t="s">
        <v>278</v>
      </c>
      <c r="F294" s="28" t="s">
        <v>199</v>
      </c>
      <c r="G294" s="28">
        <v>45808</v>
      </c>
      <c r="H294" s="23" t="s">
        <v>499</v>
      </c>
      <c r="I294" s="33" t="s">
        <v>14</v>
      </c>
      <c r="J294" s="23">
        <v>1</v>
      </c>
      <c r="K294" s="23">
        <v>1</v>
      </c>
      <c r="L294" s="35">
        <v>0</v>
      </c>
      <c r="M294" s="23">
        <v>2</v>
      </c>
      <c r="N294" s="23">
        <v>2</v>
      </c>
      <c r="O294" s="49">
        <v>0</v>
      </c>
      <c r="P294" s="45" t="s">
        <v>159</v>
      </c>
      <c r="Q294" s="23" t="s">
        <v>239</v>
      </c>
      <c r="R294" s="23" t="s">
        <v>240</v>
      </c>
      <c r="S294" s="22" t="s">
        <v>9</v>
      </c>
    </row>
    <row r="295" spans="1:19" ht="12.75" customHeight="1" x14ac:dyDescent="0.25">
      <c r="A295" s="47" t="s">
        <v>497</v>
      </c>
      <c r="B295" s="23" t="s">
        <v>763</v>
      </c>
      <c r="C295" s="28">
        <v>45802</v>
      </c>
      <c r="D295" s="30" t="s">
        <v>237</v>
      </c>
      <c r="E295" s="28" t="s">
        <v>764</v>
      </c>
      <c r="F295" s="28" t="s">
        <v>765</v>
      </c>
      <c r="G295" s="28">
        <v>45812</v>
      </c>
      <c r="H295" s="23" t="s">
        <v>499</v>
      </c>
      <c r="I295" s="33" t="s">
        <v>14</v>
      </c>
      <c r="J295" s="23">
        <v>1</v>
      </c>
      <c r="K295" s="23">
        <v>1</v>
      </c>
      <c r="L295" s="35">
        <v>0</v>
      </c>
      <c r="M295" s="23">
        <v>2</v>
      </c>
      <c r="N295" s="23">
        <v>2</v>
      </c>
      <c r="O295" s="49">
        <v>0</v>
      </c>
      <c r="P295" s="45" t="s">
        <v>159</v>
      </c>
      <c r="Q295" s="23" t="s">
        <v>239</v>
      </c>
      <c r="R295" s="23" t="s">
        <v>240</v>
      </c>
      <c r="S295" s="22" t="s">
        <v>9</v>
      </c>
    </row>
    <row r="296" spans="1:19" ht="12.75" customHeight="1" x14ac:dyDescent="0.25">
      <c r="A296" s="47" t="s">
        <v>497</v>
      </c>
      <c r="B296" s="23" t="s">
        <v>766</v>
      </c>
      <c r="C296" s="28">
        <v>45803</v>
      </c>
      <c r="D296" s="30" t="s">
        <v>237</v>
      </c>
      <c r="E296" s="28" t="s">
        <v>245</v>
      </c>
      <c r="F296" s="28" t="s">
        <v>767</v>
      </c>
      <c r="G296" s="28">
        <v>45813</v>
      </c>
      <c r="H296" s="23" t="s">
        <v>499</v>
      </c>
      <c r="I296" s="33" t="s">
        <v>14</v>
      </c>
      <c r="J296" s="23">
        <v>1</v>
      </c>
      <c r="K296" s="23">
        <v>1</v>
      </c>
      <c r="L296" s="35">
        <v>0</v>
      </c>
      <c r="M296" s="23">
        <v>2</v>
      </c>
      <c r="N296" s="23">
        <v>2</v>
      </c>
      <c r="O296" s="49">
        <v>0</v>
      </c>
      <c r="P296" s="45" t="s">
        <v>159</v>
      </c>
      <c r="Q296" s="23" t="s">
        <v>239</v>
      </c>
      <c r="R296" s="23" t="s">
        <v>240</v>
      </c>
      <c r="S296" s="22" t="s">
        <v>9</v>
      </c>
    </row>
    <row r="297" spans="1:19" ht="12.75" customHeight="1" x14ac:dyDescent="0.25">
      <c r="A297" s="47" t="s">
        <v>497</v>
      </c>
      <c r="B297" s="23" t="s">
        <v>768</v>
      </c>
      <c r="C297" s="28">
        <v>45803</v>
      </c>
      <c r="D297" s="30" t="s">
        <v>237</v>
      </c>
      <c r="E297" s="28" t="s">
        <v>759</v>
      </c>
      <c r="F297" s="28" t="s">
        <v>769</v>
      </c>
      <c r="G297" s="28">
        <v>45813</v>
      </c>
      <c r="H297" s="23" t="s">
        <v>499</v>
      </c>
      <c r="I297" s="33" t="s">
        <v>14</v>
      </c>
      <c r="J297" s="23">
        <v>1</v>
      </c>
      <c r="K297" s="23">
        <v>1</v>
      </c>
      <c r="L297" s="35">
        <v>0</v>
      </c>
      <c r="M297" s="23">
        <v>2</v>
      </c>
      <c r="N297" s="23">
        <v>2</v>
      </c>
      <c r="O297" s="49">
        <v>0</v>
      </c>
      <c r="P297" s="45" t="s">
        <v>159</v>
      </c>
      <c r="Q297" s="23" t="s">
        <v>239</v>
      </c>
      <c r="R297" s="23" t="s">
        <v>240</v>
      </c>
      <c r="S297" s="22" t="s">
        <v>9</v>
      </c>
    </row>
    <row r="298" spans="1:19" ht="12.75" customHeight="1" x14ac:dyDescent="0.25">
      <c r="A298" s="47" t="s">
        <v>497</v>
      </c>
      <c r="B298" s="23" t="s">
        <v>770</v>
      </c>
      <c r="C298" s="28">
        <v>45803</v>
      </c>
      <c r="D298" s="30" t="s">
        <v>237</v>
      </c>
      <c r="E298" s="28" t="s">
        <v>759</v>
      </c>
      <c r="F298" s="28" t="s">
        <v>765</v>
      </c>
      <c r="G298" s="28">
        <v>45813</v>
      </c>
      <c r="H298" s="23" t="s">
        <v>499</v>
      </c>
      <c r="I298" s="33" t="s">
        <v>14</v>
      </c>
      <c r="J298" s="23">
        <v>1</v>
      </c>
      <c r="K298" s="23">
        <v>1</v>
      </c>
      <c r="L298" s="35">
        <v>0</v>
      </c>
      <c r="M298" s="23">
        <v>10</v>
      </c>
      <c r="N298" s="23">
        <v>10</v>
      </c>
      <c r="O298" s="49">
        <v>0</v>
      </c>
      <c r="P298" s="45" t="s">
        <v>159</v>
      </c>
      <c r="Q298" s="23" t="s">
        <v>239</v>
      </c>
      <c r="R298" s="23" t="s">
        <v>240</v>
      </c>
      <c r="S298" s="22" t="s">
        <v>9</v>
      </c>
    </row>
    <row r="299" spans="1:19" ht="12.75" customHeight="1" x14ac:dyDescent="0.25">
      <c r="A299" s="47" t="s">
        <v>497</v>
      </c>
      <c r="B299" s="23" t="s">
        <v>771</v>
      </c>
      <c r="C299" s="28">
        <v>45803</v>
      </c>
      <c r="D299" s="30" t="s">
        <v>237</v>
      </c>
      <c r="E299" s="28" t="s">
        <v>759</v>
      </c>
      <c r="F299" s="28" t="s">
        <v>765</v>
      </c>
      <c r="G299" s="28">
        <v>45813</v>
      </c>
      <c r="H299" s="23" t="s">
        <v>499</v>
      </c>
      <c r="I299" s="33" t="s">
        <v>14</v>
      </c>
      <c r="J299" s="23">
        <v>1</v>
      </c>
      <c r="K299" s="23">
        <v>1</v>
      </c>
      <c r="L299" s="35">
        <v>0</v>
      </c>
      <c r="M299" s="23">
        <v>2</v>
      </c>
      <c r="N299" s="23">
        <v>2</v>
      </c>
      <c r="O299" s="49">
        <v>0</v>
      </c>
      <c r="P299" s="45" t="s">
        <v>159</v>
      </c>
      <c r="Q299" s="23" t="s">
        <v>239</v>
      </c>
      <c r="R299" s="23" t="s">
        <v>240</v>
      </c>
      <c r="S299" s="22" t="s">
        <v>9</v>
      </c>
    </row>
    <row r="300" spans="1:19" ht="12.75" customHeight="1" x14ac:dyDescent="0.25">
      <c r="A300" s="47" t="s">
        <v>497</v>
      </c>
      <c r="B300" s="23" t="s">
        <v>772</v>
      </c>
      <c r="C300" s="28">
        <v>45807</v>
      </c>
      <c r="D300" s="30" t="s">
        <v>237</v>
      </c>
      <c r="E300" s="28" t="s">
        <v>773</v>
      </c>
      <c r="F300" s="28" t="s">
        <v>774</v>
      </c>
      <c r="G300" s="28">
        <v>45817</v>
      </c>
      <c r="H300" s="23" t="s">
        <v>499</v>
      </c>
      <c r="I300" s="33" t="s">
        <v>14</v>
      </c>
      <c r="J300" s="23">
        <v>1</v>
      </c>
      <c r="K300" s="23">
        <v>1</v>
      </c>
      <c r="L300" s="35">
        <v>0</v>
      </c>
      <c r="M300" s="23">
        <v>1</v>
      </c>
      <c r="N300" s="23">
        <v>1</v>
      </c>
      <c r="O300" s="49">
        <v>0</v>
      </c>
      <c r="P300" s="45" t="s">
        <v>159</v>
      </c>
      <c r="Q300" s="23" t="s">
        <v>239</v>
      </c>
      <c r="R300" s="23" t="s">
        <v>240</v>
      </c>
      <c r="S300" s="22" t="s">
        <v>9</v>
      </c>
    </row>
    <row r="301" spans="1:19" ht="12.75" customHeight="1" thickBot="1" x14ac:dyDescent="0.3">
      <c r="A301" s="51" t="s">
        <v>497</v>
      </c>
      <c r="B301" s="20" t="s">
        <v>775</v>
      </c>
      <c r="C301" s="25">
        <v>45808</v>
      </c>
      <c r="D301" s="27" t="s">
        <v>237</v>
      </c>
      <c r="E301" s="25" t="s">
        <v>245</v>
      </c>
      <c r="F301" s="25" t="s">
        <v>216</v>
      </c>
      <c r="G301" s="25">
        <v>45818</v>
      </c>
      <c r="H301" s="20" t="s">
        <v>499</v>
      </c>
      <c r="I301" s="32" t="s">
        <v>14</v>
      </c>
      <c r="J301" s="20">
        <v>1</v>
      </c>
      <c r="K301" s="20">
        <v>1</v>
      </c>
      <c r="L301" s="34">
        <v>0</v>
      </c>
      <c r="M301" s="20">
        <v>2</v>
      </c>
      <c r="N301" s="20">
        <v>2</v>
      </c>
      <c r="O301" s="54">
        <v>0</v>
      </c>
      <c r="P301" s="45" t="s">
        <v>159</v>
      </c>
      <c r="Q301" s="23" t="s">
        <v>239</v>
      </c>
      <c r="R301" s="23" t="s">
        <v>240</v>
      </c>
      <c r="S301" s="22" t="s">
        <v>9</v>
      </c>
    </row>
    <row r="302" spans="1:19" ht="17.25" customHeight="1" x14ac:dyDescent="0.25">
      <c r="A302" s="60"/>
      <c r="B302" s="50"/>
      <c r="C302" s="55"/>
      <c r="D302" s="56"/>
      <c r="E302" s="56"/>
      <c r="F302" s="57"/>
      <c r="G302" s="57"/>
      <c r="H302" s="57"/>
      <c r="I302" s="58" t="s">
        <v>1087</v>
      </c>
      <c r="J302" s="57">
        <f>SUM(J290:J301)</f>
        <v>12</v>
      </c>
      <c r="K302" s="57">
        <f>SUM(K290:K301)</f>
        <v>12</v>
      </c>
      <c r="L302" s="59">
        <f>(SUM(K290:K301) - SUM(J290:J301)) / SUM(K290:K301)</f>
        <v>0</v>
      </c>
      <c r="M302" s="57">
        <f>SUM(M290:M301)</f>
        <v>34</v>
      </c>
      <c r="N302" s="56">
        <f>SUM(N290:N301)</f>
        <v>34</v>
      </c>
      <c r="O302" s="61">
        <f>(SUM(M290:M301) - SUM(N290:N301)) / SUM(M290:M301)</f>
        <v>0</v>
      </c>
      <c r="P302" s="52"/>
      <c r="Q302" s="53"/>
      <c r="R302" s="52"/>
      <c r="S302" s="52"/>
    </row>
    <row r="303" spans="1:19" x14ac:dyDescent="0.25">
      <c r="A303" s="125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2"/>
      <c r="M303" s="121"/>
      <c r="N303" s="121"/>
      <c r="O303" s="127"/>
      <c r="P303" s="120"/>
      <c r="Q303" s="120"/>
      <c r="R303" s="120"/>
      <c r="S303" s="120"/>
    </row>
    <row r="304" spans="1:19" ht="15.75" thickBot="1" x14ac:dyDescent="0.3">
      <c r="A304" s="126"/>
      <c r="B304" s="123"/>
      <c r="C304" s="124"/>
      <c r="D304" s="123"/>
      <c r="E304" s="123"/>
      <c r="F304" s="123"/>
      <c r="G304" s="124"/>
      <c r="H304" s="123"/>
      <c r="I304" s="123"/>
      <c r="J304" s="123"/>
      <c r="K304" s="123"/>
      <c r="L304" s="123"/>
      <c r="M304" s="123"/>
      <c r="N304" s="123"/>
      <c r="O304" s="128"/>
      <c r="P304" s="98"/>
      <c r="Q304" s="98"/>
      <c r="R304" s="98"/>
      <c r="S304" s="98"/>
    </row>
    <row r="305" spans="1:19" ht="15.75" thickBot="1" x14ac:dyDescent="0.3">
      <c r="C305" s="1"/>
      <c r="G305" s="1"/>
    </row>
    <row r="306" spans="1:19" x14ac:dyDescent="0.25">
      <c r="A306" s="9"/>
      <c r="B306" s="10"/>
      <c r="C306" s="11"/>
      <c r="D306" s="11"/>
      <c r="E306" s="11"/>
      <c r="F306" s="11"/>
      <c r="G306" s="11"/>
      <c r="H306" s="12"/>
      <c r="I306" s="11"/>
      <c r="J306" s="13"/>
      <c r="K306" s="13"/>
      <c r="L306" s="13"/>
      <c r="M306" s="13"/>
      <c r="N306" s="11"/>
      <c r="O306" s="14"/>
      <c r="P306" s="4"/>
      <c r="Q306" s="5"/>
      <c r="R306" s="4"/>
      <c r="S306" s="4"/>
    </row>
    <row r="307" spans="1:19" x14ac:dyDescent="0.25">
      <c r="A307" s="6" t="s">
        <v>1095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15"/>
      <c r="P307" s="3"/>
      <c r="Q307" s="3"/>
      <c r="R307" s="3"/>
      <c r="S307" s="3"/>
    </row>
    <row r="308" spans="1:19" x14ac:dyDescent="0.25">
      <c r="A308" s="7" t="s">
        <v>254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15"/>
      <c r="P308" s="3"/>
      <c r="Q308" s="3"/>
      <c r="R308" s="3"/>
      <c r="S308" s="3"/>
    </row>
    <row r="309" spans="1:19" ht="15.75" thickBot="1" x14ac:dyDescent="0.3">
      <c r="A309" s="8"/>
      <c r="B309" s="8"/>
      <c r="C309" s="74"/>
      <c r="D309" s="8"/>
      <c r="E309" s="8"/>
      <c r="F309" s="8"/>
      <c r="G309" s="74"/>
      <c r="H309" s="8"/>
      <c r="I309" s="8"/>
      <c r="J309" s="8"/>
      <c r="K309" s="8"/>
      <c r="L309" s="8"/>
      <c r="M309" s="8"/>
      <c r="N309" s="8"/>
      <c r="O309" s="16"/>
      <c r="P309" s="3"/>
      <c r="Q309" s="3"/>
      <c r="R309" s="3"/>
      <c r="S309" s="3"/>
    </row>
    <row r="310" spans="1:19" ht="17.25" customHeight="1" thickBot="1" x14ac:dyDescent="0.3">
      <c r="A310" s="19" t="s">
        <v>1068</v>
      </c>
      <c r="B310" s="24" t="s">
        <v>1069</v>
      </c>
      <c r="C310" s="26" t="s">
        <v>1070</v>
      </c>
      <c r="D310" s="29" t="s">
        <v>1071</v>
      </c>
      <c r="E310" s="26" t="s">
        <v>1072</v>
      </c>
      <c r="F310" s="31" t="s">
        <v>1073</v>
      </c>
      <c r="G310" s="31" t="s">
        <v>1074</v>
      </c>
      <c r="H310" s="31" t="s">
        <v>1075</v>
      </c>
      <c r="I310" s="29" t="s">
        <v>14</v>
      </c>
      <c r="J310" s="29" t="s">
        <v>1076</v>
      </c>
      <c r="K310" s="29" t="s">
        <v>1077</v>
      </c>
      <c r="L310" s="29" t="s">
        <v>1078</v>
      </c>
      <c r="M310" s="29" t="s">
        <v>1079</v>
      </c>
      <c r="N310" s="29" t="s">
        <v>1080</v>
      </c>
      <c r="O310" s="36" t="s">
        <v>1081</v>
      </c>
      <c r="P310" s="37" t="s">
        <v>1082</v>
      </c>
      <c r="Q310" s="38" t="s">
        <v>1083</v>
      </c>
      <c r="R310" s="38" t="s">
        <v>1084</v>
      </c>
      <c r="S310" s="39" t="s">
        <v>1085</v>
      </c>
    </row>
    <row r="311" spans="1:19" ht="12.75" customHeight="1" x14ac:dyDescent="0.25">
      <c r="A311" s="46" t="s">
        <v>497</v>
      </c>
      <c r="B311" s="40" t="s">
        <v>776</v>
      </c>
      <c r="C311" s="41">
        <v>45812</v>
      </c>
      <c r="D311" s="42" t="s">
        <v>251</v>
      </c>
      <c r="E311" s="41" t="s">
        <v>777</v>
      </c>
      <c r="F311" s="41" t="s">
        <v>767</v>
      </c>
      <c r="G311" s="41">
        <v>45822</v>
      </c>
      <c r="H311" s="40" t="s">
        <v>499</v>
      </c>
      <c r="I311" s="43" t="s">
        <v>14</v>
      </c>
      <c r="J311" s="40">
        <v>1</v>
      </c>
      <c r="K311" s="40">
        <v>1</v>
      </c>
      <c r="L311" s="44">
        <v>0</v>
      </c>
      <c r="M311" s="40">
        <v>1</v>
      </c>
      <c r="N311" s="40">
        <v>1</v>
      </c>
      <c r="O311" s="48">
        <v>0</v>
      </c>
      <c r="P311" s="45" t="s">
        <v>159</v>
      </c>
      <c r="Q311" s="23" t="s">
        <v>254</v>
      </c>
      <c r="R311" s="23" t="s">
        <v>255</v>
      </c>
      <c r="S311" s="22" t="s">
        <v>9</v>
      </c>
    </row>
    <row r="312" spans="1:19" ht="12.75" customHeight="1" x14ac:dyDescent="0.25">
      <c r="A312" s="47" t="s">
        <v>497</v>
      </c>
      <c r="B312" s="23" t="s">
        <v>778</v>
      </c>
      <c r="C312" s="28">
        <v>45818</v>
      </c>
      <c r="D312" s="30" t="s">
        <v>251</v>
      </c>
      <c r="E312" s="28" t="s">
        <v>245</v>
      </c>
      <c r="F312" s="28" t="s">
        <v>779</v>
      </c>
      <c r="G312" s="28">
        <v>45828</v>
      </c>
      <c r="H312" s="23" t="s">
        <v>499</v>
      </c>
      <c r="I312" s="33" t="s">
        <v>14</v>
      </c>
      <c r="J312" s="23">
        <v>1</v>
      </c>
      <c r="K312" s="23">
        <v>1</v>
      </c>
      <c r="L312" s="35">
        <v>0</v>
      </c>
      <c r="M312" s="23">
        <v>1</v>
      </c>
      <c r="N312" s="23">
        <v>1</v>
      </c>
      <c r="O312" s="49">
        <v>0</v>
      </c>
      <c r="P312" s="45" t="s">
        <v>159</v>
      </c>
      <c r="Q312" s="23" t="s">
        <v>254</v>
      </c>
      <c r="R312" s="23" t="s">
        <v>255</v>
      </c>
      <c r="S312" s="22" t="s">
        <v>9</v>
      </c>
    </row>
    <row r="313" spans="1:19" ht="12.75" customHeight="1" x14ac:dyDescent="0.25">
      <c r="A313" s="47" t="s">
        <v>497</v>
      </c>
      <c r="B313" s="23" t="s">
        <v>780</v>
      </c>
      <c r="C313" s="28">
        <v>45819</v>
      </c>
      <c r="D313" s="30" t="s">
        <v>251</v>
      </c>
      <c r="E313" s="28" t="s">
        <v>252</v>
      </c>
      <c r="F313" s="28" t="s">
        <v>262</v>
      </c>
      <c r="G313" s="28">
        <v>45829</v>
      </c>
      <c r="H313" s="23" t="s">
        <v>499</v>
      </c>
      <c r="I313" s="33" t="s">
        <v>14</v>
      </c>
      <c r="J313" s="23">
        <v>1</v>
      </c>
      <c r="K313" s="23">
        <v>1</v>
      </c>
      <c r="L313" s="35">
        <v>0</v>
      </c>
      <c r="M313" s="23">
        <v>2</v>
      </c>
      <c r="N313" s="23">
        <v>2</v>
      </c>
      <c r="O313" s="49">
        <v>0</v>
      </c>
      <c r="P313" s="45" t="s">
        <v>159</v>
      </c>
      <c r="Q313" s="23" t="s">
        <v>254</v>
      </c>
      <c r="R313" s="23" t="s">
        <v>255</v>
      </c>
      <c r="S313" s="22" t="s">
        <v>9</v>
      </c>
    </row>
    <row r="314" spans="1:19" ht="12.75" customHeight="1" x14ac:dyDescent="0.25">
      <c r="A314" s="47" t="s">
        <v>497</v>
      </c>
      <c r="B314" s="23" t="s">
        <v>781</v>
      </c>
      <c r="C314" s="28">
        <v>45819</v>
      </c>
      <c r="D314" s="30" t="s">
        <v>251</v>
      </c>
      <c r="E314" s="28" t="s">
        <v>252</v>
      </c>
      <c r="F314" s="28" t="s">
        <v>782</v>
      </c>
      <c r="G314" s="28">
        <v>45829</v>
      </c>
      <c r="H314" s="23" t="s">
        <v>499</v>
      </c>
      <c r="I314" s="33" t="s">
        <v>14</v>
      </c>
      <c r="J314" s="23">
        <v>1</v>
      </c>
      <c r="K314" s="23">
        <v>1</v>
      </c>
      <c r="L314" s="35">
        <v>0</v>
      </c>
      <c r="M314" s="23">
        <v>2</v>
      </c>
      <c r="N314" s="23">
        <v>2</v>
      </c>
      <c r="O314" s="49">
        <v>0</v>
      </c>
      <c r="P314" s="45" t="s">
        <v>159</v>
      </c>
      <c r="Q314" s="23" t="s">
        <v>254</v>
      </c>
      <c r="R314" s="23" t="s">
        <v>255</v>
      </c>
      <c r="S314" s="22" t="s">
        <v>9</v>
      </c>
    </row>
    <row r="315" spans="1:19" ht="12.75" customHeight="1" x14ac:dyDescent="0.25">
      <c r="A315" s="47" t="s">
        <v>497</v>
      </c>
      <c r="B315" s="23" t="s">
        <v>783</v>
      </c>
      <c r="C315" s="28">
        <v>45819</v>
      </c>
      <c r="D315" s="30" t="s">
        <v>251</v>
      </c>
      <c r="E315" s="28" t="s">
        <v>245</v>
      </c>
      <c r="F315" s="28" t="s">
        <v>784</v>
      </c>
      <c r="G315" s="28">
        <v>45829</v>
      </c>
      <c r="H315" s="23" t="s">
        <v>499</v>
      </c>
      <c r="I315" s="33" t="s">
        <v>14</v>
      </c>
      <c r="J315" s="23">
        <v>1</v>
      </c>
      <c r="K315" s="23">
        <v>1</v>
      </c>
      <c r="L315" s="35">
        <v>0</v>
      </c>
      <c r="M315" s="23">
        <v>2</v>
      </c>
      <c r="N315" s="23">
        <v>2</v>
      </c>
      <c r="O315" s="49">
        <v>0</v>
      </c>
      <c r="P315" s="45" t="s">
        <v>159</v>
      </c>
      <c r="Q315" s="23" t="s">
        <v>254</v>
      </c>
      <c r="R315" s="23" t="s">
        <v>255</v>
      </c>
      <c r="S315" s="22" t="s">
        <v>9</v>
      </c>
    </row>
    <row r="316" spans="1:19" ht="12.75" customHeight="1" x14ac:dyDescent="0.25">
      <c r="A316" s="47" t="s">
        <v>497</v>
      </c>
      <c r="B316" s="23" t="s">
        <v>785</v>
      </c>
      <c r="C316" s="28">
        <v>45824</v>
      </c>
      <c r="D316" s="30" t="s">
        <v>251</v>
      </c>
      <c r="E316" s="28" t="s">
        <v>245</v>
      </c>
      <c r="F316" s="28" t="s">
        <v>264</v>
      </c>
      <c r="G316" s="28">
        <v>45834</v>
      </c>
      <c r="H316" s="23" t="s">
        <v>499</v>
      </c>
      <c r="I316" s="33" t="s">
        <v>14</v>
      </c>
      <c r="J316" s="23">
        <v>1</v>
      </c>
      <c r="K316" s="23">
        <v>1</v>
      </c>
      <c r="L316" s="35">
        <v>0</v>
      </c>
      <c r="M316" s="23">
        <v>1</v>
      </c>
      <c r="N316" s="23">
        <v>1</v>
      </c>
      <c r="O316" s="49">
        <v>0</v>
      </c>
      <c r="P316" s="45" t="s">
        <v>159</v>
      </c>
      <c r="Q316" s="23" t="s">
        <v>254</v>
      </c>
      <c r="R316" s="23" t="s">
        <v>255</v>
      </c>
      <c r="S316" s="22" t="s">
        <v>9</v>
      </c>
    </row>
    <row r="317" spans="1:19" ht="12.75" customHeight="1" x14ac:dyDescent="0.25">
      <c r="A317" s="47" t="s">
        <v>497</v>
      </c>
      <c r="B317" s="23" t="s">
        <v>786</v>
      </c>
      <c r="C317" s="28">
        <v>45825</v>
      </c>
      <c r="D317" s="30" t="s">
        <v>251</v>
      </c>
      <c r="E317" s="28"/>
      <c r="F317" s="28"/>
      <c r="G317" s="28">
        <v>45835</v>
      </c>
      <c r="H317" s="23" t="s">
        <v>499</v>
      </c>
      <c r="I317" s="33" t="s">
        <v>113</v>
      </c>
      <c r="J317" s="23">
        <v>0</v>
      </c>
      <c r="K317" s="23">
        <v>1</v>
      </c>
      <c r="L317" s="35">
        <v>1</v>
      </c>
      <c r="M317" s="23">
        <v>1</v>
      </c>
      <c r="N317" s="23">
        <v>0</v>
      </c>
      <c r="O317" s="49">
        <v>1</v>
      </c>
      <c r="P317" s="45" t="s">
        <v>159</v>
      </c>
      <c r="Q317" s="23" t="s">
        <v>254</v>
      </c>
      <c r="R317" s="23" t="s">
        <v>255</v>
      </c>
      <c r="S317" s="22" t="s">
        <v>9</v>
      </c>
    </row>
    <row r="318" spans="1:19" ht="12.75" customHeight="1" x14ac:dyDescent="0.25">
      <c r="A318" s="47" t="s">
        <v>497</v>
      </c>
      <c r="B318" s="23" t="s">
        <v>787</v>
      </c>
      <c r="C318" s="28">
        <v>45825</v>
      </c>
      <c r="D318" s="30" t="s">
        <v>251</v>
      </c>
      <c r="E318" s="28" t="s">
        <v>278</v>
      </c>
      <c r="F318" s="28" t="s">
        <v>788</v>
      </c>
      <c r="G318" s="28">
        <v>45835</v>
      </c>
      <c r="H318" s="23" t="s">
        <v>499</v>
      </c>
      <c r="I318" s="33" t="s">
        <v>14</v>
      </c>
      <c r="J318" s="23">
        <v>1</v>
      </c>
      <c r="K318" s="23">
        <v>1</v>
      </c>
      <c r="L318" s="35">
        <v>0</v>
      </c>
      <c r="M318" s="23">
        <v>2</v>
      </c>
      <c r="N318" s="23">
        <v>2</v>
      </c>
      <c r="O318" s="49">
        <v>0</v>
      </c>
      <c r="P318" s="45" t="s">
        <v>159</v>
      </c>
      <c r="Q318" s="23" t="s">
        <v>254</v>
      </c>
      <c r="R318" s="23" t="s">
        <v>255</v>
      </c>
      <c r="S318" s="22" t="s">
        <v>9</v>
      </c>
    </row>
    <row r="319" spans="1:19" ht="12.75" customHeight="1" x14ac:dyDescent="0.25">
      <c r="A319" s="47" t="s">
        <v>497</v>
      </c>
      <c r="B319" s="23" t="s">
        <v>789</v>
      </c>
      <c r="C319" s="28">
        <v>45825</v>
      </c>
      <c r="D319" s="30" t="s">
        <v>251</v>
      </c>
      <c r="E319" s="28" t="s">
        <v>245</v>
      </c>
      <c r="F319" s="28" t="s">
        <v>264</v>
      </c>
      <c r="G319" s="28">
        <v>45835</v>
      </c>
      <c r="H319" s="23" t="s">
        <v>499</v>
      </c>
      <c r="I319" s="33" t="s">
        <v>14</v>
      </c>
      <c r="J319" s="23">
        <v>1</v>
      </c>
      <c r="K319" s="23">
        <v>1</v>
      </c>
      <c r="L319" s="35">
        <v>0</v>
      </c>
      <c r="M319" s="23">
        <v>1</v>
      </c>
      <c r="N319" s="23">
        <v>1</v>
      </c>
      <c r="O319" s="49">
        <v>0</v>
      </c>
      <c r="P319" s="45" t="s">
        <v>159</v>
      </c>
      <c r="Q319" s="23" t="s">
        <v>254</v>
      </c>
      <c r="R319" s="23" t="s">
        <v>255</v>
      </c>
      <c r="S319" s="22" t="s">
        <v>9</v>
      </c>
    </row>
    <row r="320" spans="1:19" ht="12.75" customHeight="1" x14ac:dyDescent="0.25">
      <c r="A320" s="47" t="s">
        <v>497</v>
      </c>
      <c r="B320" s="23" t="s">
        <v>790</v>
      </c>
      <c r="C320" s="28">
        <v>45825</v>
      </c>
      <c r="D320" s="30" t="s">
        <v>251</v>
      </c>
      <c r="E320" s="28" t="s">
        <v>278</v>
      </c>
      <c r="F320" s="28" t="s">
        <v>264</v>
      </c>
      <c r="G320" s="28">
        <v>45835</v>
      </c>
      <c r="H320" s="23" t="s">
        <v>499</v>
      </c>
      <c r="I320" s="33" t="s">
        <v>14</v>
      </c>
      <c r="J320" s="23">
        <v>1</v>
      </c>
      <c r="K320" s="23">
        <v>1</v>
      </c>
      <c r="L320" s="35">
        <v>0</v>
      </c>
      <c r="M320" s="23">
        <v>2</v>
      </c>
      <c r="N320" s="23">
        <v>2</v>
      </c>
      <c r="O320" s="49">
        <v>0</v>
      </c>
      <c r="P320" s="45" t="s">
        <v>159</v>
      </c>
      <c r="Q320" s="23" t="s">
        <v>254</v>
      </c>
      <c r="R320" s="23" t="s">
        <v>255</v>
      </c>
      <c r="S320" s="22" t="s">
        <v>9</v>
      </c>
    </row>
    <row r="321" spans="1:19" ht="12.75" customHeight="1" x14ac:dyDescent="0.25">
      <c r="A321" s="47" t="s">
        <v>497</v>
      </c>
      <c r="B321" s="23" t="s">
        <v>791</v>
      </c>
      <c r="C321" s="28">
        <v>45825</v>
      </c>
      <c r="D321" s="30" t="s">
        <v>251</v>
      </c>
      <c r="E321" s="28" t="s">
        <v>278</v>
      </c>
      <c r="F321" s="28" t="s">
        <v>264</v>
      </c>
      <c r="G321" s="28">
        <v>45835</v>
      </c>
      <c r="H321" s="23" t="s">
        <v>499</v>
      </c>
      <c r="I321" s="33" t="s">
        <v>14</v>
      </c>
      <c r="J321" s="23">
        <v>1</v>
      </c>
      <c r="K321" s="23">
        <v>1</v>
      </c>
      <c r="L321" s="35">
        <v>0</v>
      </c>
      <c r="M321" s="23">
        <v>4</v>
      </c>
      <c r="N321" s="23">
        <v>4</v>
      </c>
      <c r="O321" s="49">
        <v>0</v>
      </c>
      <c r="P321" s="45" t="s">
        <v>159</v>
      </c>
      <c r="Q321" s="23" t="s">
        <v>254</v>
      </c>
      <c r="R321" s="23" t="s">
        <v>255</v>
      </c>
      <c r="S321" s="22" t="s">
        <v>9</v>
      </c>
    </row>
    <row r="322" spans="1:19" ht="12.75" customHeight="1" x14ac:dyDescent="0.25">
      <c r="A322" s="47" t="s">
        <v>497</v>
      </c>
      <c r="B322" s="23" t="s">
        <v>792</v>
      </c>
      <c r="C322" s="28">
        <v>45825</v>
      </c>
      <c r="D322" s="30" t="s">
        <v>251</v>
      </c>
      <c r="E322" s="28" t="s">
        <v>245</v>
      </c>
      <c r="F322" s="28" t="s">
        <v>264</v>
      </c>
      <c r="G322" s="28">
        <v>45835</v>
      </c>
      <c r="H322" s="23" t="s">
        <v>499</v>
      </c>
      <c r="I322" s="33" t="s">
        <v>14</v>
      </c>
      <c r="J322" s="23">
        <v>1</v>
      </c>
      <c r="K322" s="23">
        <v>1</v>
      </c>
      <c r="L322" s="35">
        <v>0</v>
      </c>
      <c r="M322" s="23">
        <v>2</v>
      </c>
      <c r="N322" s="23">
        <v>2</v>
      </c>
      <c r="O322" s="49">
        <v>0</v>
      </c>
      <c r="P322" s="45" t="s">
        <v>159</v>
      </c>
      <c r="Q322" s="23" t="s">
        <v>254</v>
      </c>
      <c r="R322" s="23" t="s">
        <v>255</v>
      </c>
      <c r="S322" s="22" t="s">
        <v>9</v>
      </c>
    </row>
    <row r="323" spans="1:19" ht="12.75" customHeight="1" x14ac:dyDescent="0.25">
      <c r="A323" s="47" t="s">
        <v>497</v>
      </c>
      <c r="B323" s="23" t="s">
        <v>793</v>
      </c>
      <c r="C323" s="28">
        <v>45826</v>
      </c>
      <c r="D323" s="30" t="s">
        <v>251</v>
      </c>
      <c r="E323" s="28" t="s">
        <v>245</v>
      </c>
      <c r="F323" s="28" t="s">
        <v>257</v>
      </c>
      <c r="G323" s="28">
        <v>45836</v>
      </c>
      <c r="H323" s="23" t="s">
        <v>499</v>
      </c>
      <c r="I323" s="33" t="s">
        <v>14</v>
      </c>
      <c r="J323" s="23">
        <v>1</v>
      </c>
      <c r="K323" s="23">
        <v>1</v>
      </c>
      <c r="L323" s="35">
        <v>0</v>
      </c>
      <c r="M323" s="23">
        <v>4</v>
      </c>
      <c r="N323" s="23">
        <v>4</v>
      </c>
      <c r="O323" s="49">
        <v>0</v>
      </c>
      <c r="P323" s="45" t="s">
        <v>159</v>
      </c>
      <c r="Q323" s="23" t="s">
        <v>254</v>
      </c>
      <c r="R323" s="23" t="s">
        <v>255</v>
      </c>
      <c r="S323" s="22" t="s">
        <v>9</v>
      </c>
    </row>
    <row r="324" spans="1:19" ht="12.75" customHeight="1" x14ac:dyDescent="0.25">
      <c r="A324" s="47" t="s">
        <v>497</v>
      </c>
      <c r="B324" s="23" t="s">
        <v>794</v>
      </c>
      <c r="C324" s="28">
        <v>45829</v>
      </c>
      <c r="D324" s="30" t="s">
        <v>251</v>
      </c>
      <c r="E324" s="28" t="s">
        <v>230</v>
      </c>
      <c r="F324" s="28" t="s">
        <v>245</v>
      </c>
      <c r="G324" s="28">
        <v>45839</v>
      </c>
      <c r="H324" s="23" t="s">
        <v>499</v>
      </c>
      <c r="I324" s="33" t="s">
        <v>14</v>
      </c>
      <c r="J324" s="23">
        <v>1</v>
      </c>
      <c r="K324" s="23">
        <v>1</v>
      </c>
      <c r="L324" s="35">
        <v>0</v>
      </c>
      <c r="M324" s="23">
        <v>2</v>
      </c>
      <c r="N324" s="23">
        <v>2</v>
      </c>
      <c r="O324" s="49">
        <v>0</v>
      </c>
      <c r="P324" s="45" t="s">
        <v>159</v>
      </c>
      <c r="Q324" s="23" t="s">
        <v>254</v>
      </c>
      <c r="R324" s="23" t="s">
        <v>255</v>
      </c>
      <c r="S324" s="22" t="s">
        <v>9</v>
      </c>
    </row>
    <row r="325" spans="1:19" ht="12.75" customHeight="1" x14ac:dyDescent="0.25">
      <c r="A325" s="47" t="s">
        <v>497</v>
      </c>
      <c r="B325" s="23" t="s">
        <v>795</v>
      </c>
      <c r="C325" s="28">
        <v>45829</v>
      </c>
      <c r="D325" s="30" t="s">
        <v>251</v>
      </c>
      <c r="E325" s="28" t="s">
        <v>230</v>
      </c>
      <c r="F325" s="28" t="s">
        <v>796</v>
      </c>
      <c r="G325" s="28">
        <v>45839</v>
      </c>
      <c r="H325" s="23" t="s">
        <v>499</v>
      </c>
      <c r="I325" s="33" t="s">
        <v>14</v>
      </c>
      <c r="J325" s="23">
        <v>1</v>
      </c>
      <c r="K325" s="23">
        <v>1</v>
      </c>
      <c r="L325" s="35">
        <v>0</v>
      </c>
      <c r="M325" s="23">
        <v>2</v>
      </c>
      <c r="N325" s="23">
        <v>2</v>
      </c>
      <c r="O325" s="49">
        <v>0</v>
      </c>
      <c r="P325" s="45" t="s">
        <v>159</v>
      </c>
      <c r="Q325" s="23" t="s">
        <v>254</v>
      </c>
      <c r="R325" s="23" t="s">
        <v>255</v>
      </c>
      <c r="S325" s="22" t="s">
        <v>9</v>
      </c>
    </row>
    <row r="326" spans="1:19" ht="12.75" customHeight="1" thickBot="1" x14ac:dyDescent="0.3">
      <c r="A326" s="51" t="s">
        <v>497</v>
      </c>
      <c r="B326" s="20" t="s">
        <v>797</v>
      </c>
      <c r="C326" s="25">
        <v>45831</v>
      </c>
      <c r="D326" s="27" t="s">
        <v>251</v>
      </c>
      <c r="E326" s="25" t="s">
        <v>278</v>
      </c>
      <c r="F326" s="25" t="s">
        <v>796</v>
      </c>
      <c r="G326" s="25">
        <v>45841</v>
      </c>
      <c r="H326" s="20" t="s">
        <v>499</v>
      </c>
      <c r="I326" s="32" t="s">
        <v>14</v>
      </c>
      <c r="J326" s="20">
        <v>1</v>
      </c>
      <c r="K326" s="20">
        <v>1</v>
      </c>
      <c r="L326" s="34">
        <v>0</v>
      </c>
      <c r="M326" s="20">
        <v>1</v>
      </c>
      <c r="N326" s="20">
        <v>1</v>
      </c>
      <c r="O326" s="54">
        <v>0</v>
      </c>
      <c r="P326" s="45" t="s">
        <v>159</v>
      </c>
      <c r="Q326" s="23" t="s">
        <v>254</v>
      </c>
      <c r="R326" s="23" t="s">
        <v>255</v>
      </c>
      <c r="S326" s="22" t="s">
        <v>9</v>
      </c>
    </row>
    <row r="327" spans="1:19" ht="17.25" customHeight="1" x14ac:dyDescent="0.25">
      <c r="A327" s="60"/>
      <c r="B327" s="50"/>
      <c r="C327" s="55"/>
      <c r="D327" s="56"/>
      <c r="E327" s="56"/>
      <c r="F327" s="57"/>
      <c r="G327" s="57"/>
      <c r="H327" s="57"/>
      <c r="I327" s="58" t="s">
        <v>1087</v>
      </c>
      <c r="J327" s="57">
        <f>SUM(J311:J326)</f>
        <v>15</v>
      </c>
      <c r="K327" s="57">
        <f>SUM(K311:K326)</f>
        <v>16</v>
      </c>
      <c r="L327" s="59">
        <f>(SUM(K311:K326) - SUM(J311:J326)) / SUM(K311:K326)</f>
        <v>6.25E-2</v>
      </c>
      <c r="M327" s="57">
        <f>SUM(M311:M326)</f>
        <v>30</v>
      </c>
      <c r="N327" s="56">
        <f>SUM(N311:N326)</f>
        <v>29</v>
      </c>
      <c r="O327" s="61">
        <f>(SUM(M311:M326) - SUM(N311:N326)) / SUM(M311:M326)</f>
        <v>3.3333333333333333E-2</v>
      </c>
      <c r="P327" s="52"/>
      <c r="Q327" s="53"/>
      <c r="R327" s="52"/>
      <c r="S327" s="52"/>
    </row>
    <row r="328" spans="1:19" x14ac:dyDescent="0.25">
      <c r="A328" s="125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2"/>
      <c r="M328" s="121"/>
      <c r="N328" s="121"/>
      <c r="O328" s="127"/>
      <c r="P328" s="120"/>
      <c r="Q328" s="120"/>
      <c r="R328" s="120"/>
      <c r="S328" s="120"/>
    </row>
    <row r="329" spans="1:19" ht="15.75" thickBot="1" x14ac:dyDescent="0.3">
      <c r="A329" s="126"/>
      <c r="B329" s="123"/>
      <c r="C329" s="124"/>
      <c r="D329" s="123"/>
      <c r="E329" s="123"/>
      <c r="F329" s="123"/>
      <c r="G329" s="124"/>
      <c r="H329" s="123"/>
      <c r="I329" s="123"/>
      <c r="J329" s="123"/>
      <c r="K329" s="123"/>
      <c r="L329" s="123"/>
      <c r="M329" s="123"/>
      <c r="N329" s="123"/>
      <c r="O329" s="128"/>
      <c r="P329" s="98"/>
      <c r="Q329" s="98"/>
      <c r="R329" s="98"/>
      <c r="S329" s="98"/>
    </row>
    <row r="330" spans="1:19" ht="15.75" thickBot="1" x14ac:dyDescent="0.3">
      <c r="C330" s="1"/>
      <c r="G330" s="1"/>
    </row>
    <row r="331" spans="1:19" x14ac:dyDescent="0.25">
      <c r="A331" s="9"/>
      <c r="B331" s="10"/>
      <c r="C331" s="11"/>
      <c r="D331" s="11"/>
      <c r="E331" s="11"/>
      <c r="F331" s="11"/>
      <c r="G331" s="11"/>
      <c r="H331" s="12"/>
      <c r="I331" s="11"/>
      <c r="J331" s="13"/>
      <c r="K331" s="13"/>
      <c r="L331" s="13"/>
      <c r="M331" s="13"/>
      <c r="N331" s="11"/>
      <c r="O331" s="14"/>
      <c r="P331" s="4"/>
      <c r="Q331" s="5"/>
      <c r="R331" s="4"/>
      <c r="S331" s="4"/>
    </row>
    <row r="332" spans="1:19" x14ac:dyDescent="0.25">
      <c r="A332" s="6" t="s">
        <v>1095</v>
      </c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15"/>
      <c r="P332" s="3"/>
      <c r="Q332" s="3"/>
      <c r="R332" s="3"/>
      <c r="S332" s="3"/>
    </row>
    <row r="333" spans="1:19" x14ac:dyDescent="0.25">
      <c r="A333" s="7" t="s">
        <v>7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15"/>
      <c r="P333" s="3"/>
      <c r="Q333" s="3"/>
      <c r="R333" s="3"/>
      <c r="S333" s="3"/>
    </row>
    <row r="334" spans="1:19" ht="15.75" thickBot="1" x14ac:dyDescent="0.3">
      <c r="A334" s="8"/>
      <c r="B334" s="8"/>
      <c r="C334" s="74"/>
      <c r="D334" s="8"/>
      <c r="E334" s="8"/>
      <c r="F334" s="8"/>
      <c r="G334" s="74"/>
      <c r="H334" s="8"/>
      <c r="I334" s="8"/>
      <c r="J334" s="8"/>
      <c r="K334" s="8"/>
      <c r="L334" s="8"/>
      <c r="M334" s="8"/>
      <c r="N334" s="8"/>
      <c r="O334" s="16"/>
      <c r="P334" s="3"/>
      <c r="Q334" s="3"/>
      <c r="R334" s="3"/>
      <c r="S334" s="3"/>
    </row>
    <row r="335" spans="1:19" ht="17.25" customHeight="1" thickBot="1" x14ac:dyDescent="0.3">
      <c r="A335" s="19" t="s">
        <v>1068</v>
      </c>
      <c r="B335" s="24" t="s">
        <v>1069</v>
      </c>
      <c r="C335" s="26" t="s">
        <v>1070</v>
      </c>
      <c r="D335" s="29" t="s">
        <v>1071</v>
      </c>
      <c r="E335" s="26" t="s">
        <v>1072</v>
      </c>
      <c r="F335" s="31" t="s">
        <v>1073</v>
      </c>
      <c r="G335" s="31" t="s">
        <v>1074</v>
      </c>
      <c r="H335" s="31" t="s">
        <v>1075</v>
      </c>
      <c r="I335" s="29" t="s">
        <v>14</v>
      </c>
      <c r="J335" s="29" t="s">
        <v>1076</v>
      </c>
      <c r="K335" s="29" t="s">
        <v>1077</v>
      </c>
      <c r="L335" s="29" t="s">
        <v>1078</v>
      </c>
      <c r="M335" s="29" t="s">
        <v>1079</v>
      </c>
      <c r="N335" s="29" t="s">
        <v>1080</v>
      </c>
      <c r="O335" s="36" t="s">
        <v>1081</v>
      </c>
      <c r="P335" s="37" t="s">
        <v>1082</v>
      </c>
      <c r="Q335" s="38" t="s">
        <v>1083</v>
      </c>
      <c r="R335" s="38" t="s">
        <v>1084</v>
      </c>
      <c r="S335" s="39" t="s">
        <v>1085</v>
      </c>
    </row>
    <row r="336" spans="1:19" ht="12.75" customHeight="1" x14ac:dyDescent="0.25">
      <c r="A336" s="46" t="s">
        <v>497</v>
      </c>
      <c r="B336" s="40" t="s">
        <v>798</v>
      </c>
      <c r="C336" s="41">
        <v>45845</v>
      </c>
      <c r="D336" s="42" t="s">
        <v>272</v>
      </c>
      <c r="E336" s="41" t="s">
        <v>799</v>
      </c>
      <c r="F336" s="41" t="s">
        <v>800</v>
      </c>
      <c r="G336" s="41">
        <v>45855</v>
      </c>
      <c r="H336" s="40" t="s">
        <v>499</v>
      </c>
      <c r="I336" s="43" t="s">
        <v>14</v>
      </c>
      <c r="J336" s="40">
        <v>1</v>
      </c>
      <c r="K336" s="40">
        <v>1</v>
      </c>
      <c r="L336" s="44">
        <v>0</v>
      </c>
      <c r="M336" s="40">
        <v>2</v>
      </c>
      <c r="N336" s="40">
        <v>2</v>
      </c>
      <c r="O336" s="48">
        <v>0</v>
      </c>
      <c r="P336" s="45" t="s">
        <v>159</v>
      </c>
      <c r="Q336" s="23" t="s">
        <v>7</v>
      </c>
      <c r="R336" s="23" t="s">
        <v>275</v>
      </c>
      <c r="S336" s="22" t="s">
        <v>9</v>
      </c>
    </row>
    <row r="337" spans="1:19" ht="12.75" customHeight="1" x14ac:dyDescent="0.25">
      <c r="A337" s="47" t="s">
        <v>497</v>
      </c>
      <c r="B337" s="23" t="s">
        <v>801</v>
      </c>
      <c r="C337" s="28">
        <v>45847</v>
      </c>
      <c r="D337" s="30" t="s">
        <v>272</v>
      </c>
      <c r="E337" s="28" t="s">
        <v>802</v>
      </c>
      <c r="F337" s="28" t="s">
        <v>268</v>
      </c>
      <c r="G337" s="28">
        <v>45857</v>
      </c>
      <c r="H337" s="23" t="s">
        <v>499</v>
      </c>
      <c r="I337" s="33" t="s">
        <v>14</v>
      </c>
      <c r="J337" s="23">
        <v>1</v>
      </c>
      <c r="K337" s="23">
        <v>1</v>
      </c>
      <c r="L337" s="35">
        <v>0</v>
      </c>
      <c r="M337" s="23">
        <v>2</v>
      </c>
      <c r="N337" s="23">
        <v>2</v>
      </c>
      <c r="O337" s="49">
        <v>0</v>
      </c>
      <c r="P337" s="45" t="s">
        <v>159</v>
      </c>
      <c r="Q337" s="23" t="s">
        <v>7</v>
      </c>
      <c r="R337" s="23" t="s">
        <v>275</v>
      </c>
      <c r="S337" s="22" t="s">
        <v>9</v>
      </c>
    </row>
    <row r="338" spans="1:19" ht="12.75" customHeight="1" x14ac:dyDescent="0.25">
      <c r="A338" s="47" t="s">
        <v>497</v>
      </c>
      <c r="B338" s="23" t="s">
        <v>803</v>
      </c>
      <c r="C338" s="28">
        <v>45849</v>
      </c>
      <c r="D338" s="30" t="s">
        <v>272</v>
      </c>
      <c r="E338" s="28" t="s">
        <v>252</v>
      </c>
      <c r="F338" s="28" t="s">
        <v>804</v>
      </c>
      <c r="G338" s="28">
        <v>45859</v>
      </c>
      <c r="H338" s="23" t="s">
        <v>499</v>
      </c>
      <c r="I338" s="33" t="s">
        <v>14</v>
      </c>
      <c r="J338" s="23">
        <v>1</v>
      </c>
      <c r="K338" s="23">
        <v>1</v>
      </c>
      <c r="L338" s="35">
        <v>0</v>
      </c>
      <c r="M338" s="23">
        <v>2</v>
      </c>
      <c r="N338" s="23">
        <v>2</v>
      </c>
      <c r="O338" s="49">
        <v>0</v>
      </c>
      <c r="P338" s="45" t="s">
        <v>159</v>
      </c>
      <c r="Q338" s="23" t="s">
        <v>7</v>
      </c>
      <c r="R338" s="23" t="s">
        <v>275</v>
      </c>
      <c r="S338" s="22" t="s">
        <v>9</v>
      </c>
    </row>
    <row r="339" spans="1:19" ht="12.75" customHeight="1" x14ac:dyDescent="0.25">
      <c r="A339" s="47" t="s">
        <v>497</v>
      </c>
      <c r="B339" s="23" t="s">
        <v>805</v>
      </c>
      <c r="C339" s="28">
        <v>45849</v>
      </c>
      <c r="D339" s="30" t="s">
        <v>272</v>
      </c>
      <c r="E339" s="28" t="s">
        <v>300</v>
      </c>
      <c r="F339" s="28" t="s">
        <v>806</v>
      </c>
      <c r="G339" s="28">
        <v>45859</v>
      </c>
      <c r="H339" s="23" t="s">
        <v>499</v>
      </c>
      <c r="I339" s="33" t="s">
        <v>14</v>
      </c>
      <c r="J339" s="23">
        <v>1</v>
      </c>
      <c r="K339" s="23">
        <v>1</v>
      </c>
      <c r="L339" s="35">
        <v>0</v>
      </c>
      <c r="M339" s="23">
        <v>2</v>
      </c>
      <c r="N339" s="23">
        <v>2</v>
      </c>
      <c r="O339" s="49">
        <v>0</v>
      </c>
      <c r="P339" s="45" t="s">
        <v>159</v>
      </c>
      <c r="Q339" s="23" t="s">
        <v>7</v>
      </c>
      <c r="R339" s="23" t="s">
        <v>275</v>
      </c>
      <c r="S339" s="22" t="s">
        <v>9</v>
      </c>
    </row>
    <row r="340" spans="1:19" ht="12.75" customHeight="1" x14ac:dyDescent="0.25">
      <c r="A340" s="47" t="s">
        <v>497</v>
      </c>
      <c r="B340" s="23" t="s">
        <v>807</v>
      </c>
      <c r="C340" s="28">
        <v>45849</v>
      </c>
      <c r="D340" s="30" t="s">
        <v>272</v>
      </c>
      <c r="E340" s="28" t="s">
        <v>300</v>
      </c>
      <c r="F340" s="28" t="s">
        <v>808</v>
      </c>
      <c r="G340" s="28">
        <v>45859</v>
      </c>
      <c r="H340" s="23" t="s">
        <v>499</v>
      </c>
      <c r="I340" s="33" t="s">
        <v>14</v>
      </c>
      <c r="J340" s="23">
        <v>1</v>
      </c>
      <c r="K340" s="23">
        <v>1</v>
      </c>
      <c r="L340" s="35">
        <v>0</v>
      </c>
      <c r="M340" s="23">
        <v>2</v>
      </c>
      <c r="N340" s="23">
        <v>2</v>
      </c>
      <c r="O340" s="49">
        <v>0</v>
      </c>
      <c r="P340" s="45" t="s">
        <v>159</v>
      </c>
      <c r="Q340" s="23" t="s">
        <v>7</v>
      </c>
      <c r="R340" s="23" t="s">
        <v>275</v>
      </c>
      <c r="S340" s="22" t="s">
        <v>9</v>
      </c>
    </row>
    <row r="341" spans="1:19" ht="12.75" customHeight="1" x14ac:dyDescent="0.25">
      <c r="A341" s="47" t="s">
        <v>497</v>
      </c>
      <c r="B341" s="23" t="s">
        <v>809</v>
      </c>
      <c r="C341" s="28">
        <v>45853</v>
      </c>
      <c r="D341" s="30" t="s">
        <v>272</v>
      </c>
      <c r="E341" s="28" t="s">
        <v>799</v>
      </c>
      <c r="F341" s="28" t="s">
        <v>230</v>
      </c>
      <c r="G341" s="28">
        <v>45863</v>
      </c>
      <c r="H341" s="23" t="s">
        <v>499</v>
      </c>
      <c r="I341" s="33" t="s">
        <v>14</v>
      </c>
      <c r="J341" s="23">
        <v>1</v>
      </c>
      <c r="K341" s="23">
        <v>1</v>
      </c>
      <c r="L341" s="35">
        <v>0</v>
      </c>
      <c r="M341" s="23">
        <v>6</v>
      </c>
      <c r="N341" s="23">
        <v>6</v>
      </c>
      <c r="O341" s="49">
        <v>0</v>
      </c>
      <c r="P341" s="45" t="s">
        <v>159</v>
      </c>
      <c r="Q341" s="23" t="s">
        <v>7</v>
      </c>
      <c r="R341" s="23" t="s">
        <v>275</v>
      </c>
      <c r="S341" s="22" t="s">
        <v>9</v>
      </c>
    </row>
    <row r="342" spans="1:19" ht="12.75" customHeight="1" x14ac:dyDescent="0.25">
      <c r="A342" s="47" t="s">
        <v>497</v>
      </c>
      <c r="B342" s="23" t="s">
        <v>810</v>
      </c>
      <c r="C342" s="28">
        <v>45858</v>
      </c>
      <c r="D342" s="30" t="s">
        <v>272</v>
      </c>
      <c r="E342" s="28" t="s">
        <v>811</v>
      </c>
      <c r="F342" s="28" t="s">
        <v>808</v>
      </c>
      <c r="G342" s="28">
        <v>45868</v>
      </c>
      <c r="H342" s="23" t="s">
        <v>499</v>
      </c>
      <c r="I342" s="33" t="s">
        <v>14</v>
      </c>
      <c r="J342" s="23">
        <v>1</v>
      </c>
      <c r="K342" s="23">
        <v>1</v>
      </c>
      <c r="L342" s="35">
        <v>0</v>
      </c>
      <c r="M342" s="23">
        <v>2</v>
      </c>
      <c r="N342" s="23">
        <v>2</v>
      </c>
      <c r="O342" s="49">
        <v>0</v>
      </c>
      <c r="P342" s="45" t="s">
        <v>159</v>
      </c>
      <c r="Q342" s="23" t="s">
        <v>7</v>
      </c>
      <c r="R342" s="23" t="s">
        <v>275</v>
      </c>
      <c r="S342" s="22" t="s">
        <v>9</v>
      </c>
    </row>
    <row r="343" spans="1:19" ht="12.75" customHeight="1" thickBot="1" x14ac:dyDescent="0.3">
      <c r="A343" s="51" t="s">
        <v>497</v>
      </c>
      <c r="B343" s="20" t="s">
        <v>810</v>
      </c>
      <c r="C343" s="25">
        <v>45859</v>
      </c>
      <c r="D343" s="27" t="s">
        <v>272</v>
      </c>
      <c r="E343" s="25" t="s">
        <v>811</v>
      </c>
      <c r="F343" s="25" t="s">
        <v>808</v>
      </c>
      <c r="G343" s="25">
        <v>45869</v>
      </c>
      <c r="H343" s="20" t="s">
        <v>499</v>
      </c>
      <c r="I343" s="32" t="s">
        <v>14</v>
      </c>
      <c r="J343" s="20">
        <v>1</v>
      </c>
      <c r="K343" s="20">
        <v>1</v>
      </c>
      <c r="L343" s="34">
        <v>0</v>
      </c>
      <c r="M343" s="20">
        <v>14</v>
      </c>
      <c r="N343" s="20">
        <v>14</v>
      </c>
      <c r="O343" s="54">
        <v>0</v>
      </c>
      <c r="P343" s="45" t="s">
        <v>159</v>
      </c>
      <c r="Q343" s="23" t="s">
        <v>7</v>
      </c>
      <c r="R343" s="23" t="s">
        <v>275</v>
      </c>
      <c r="S343" s="22" t="s">
        <v>9</v>
      </c>
    </row>
    <row r="344" spans="1:19" ht="17.25" customHeight="1" x14ac:dyDescent="0.25">
      <c r="A344" s="60"/>
      <c r="B344" s="50"/>
      <c r="C344" s="55"/>
      <c r="D344" s="56"/>
      <c r="E344" s="56"/>
      <c r="F344" s="57"/>
      <c r="G344" s="57"/>
      <c r="H344" s="57"/>
      <c r="I344" s="58" t="s">
        <v>1087</v>
      </c>
      <c r="J344" s="57">
        <f>SUM(J336:J343)</f>
        <v>8</v>
      </c>
      <c r="K344" s="57">
        <f>SUM(K336:K343)</f>
        <v>8</v>
      </c>
      <c r="L344" s="59">
        <f>(SUM(K336:K343) - SUM(J336:J343)) / SUM(K336:K343)</f>
        <v>0</v>
      </c>
      <c r="M344" s="57">
        <f>SUM(M336:M343)</f>
        <v>32</v>
      </c>
      <c r="N344" s="56">
        <f>SUM(N336:N343)</f>
        <v>32</v>
      </c>
      <c r="O344" s="61">
        <f>(SUM(M336:M343) - SUM(N336:N343)) / SUM(M336:M343)</f>
        <v>0</v>
      </c>
      <c r="P344" s="52"/>
      <c r="Q344" s="53"/>
      <c r="R344" s="52"/>
      <c r="S344" s="52"/>
    </row>
    <row r="345" spans="1:19" x14ac:dyDescent="0.25">
      <c r="A345" s="125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2"/>
      <c r="M345" s="121"/>
      <c r="N345" s="121"/>
      <c r="O345" s="127"/>
      <c r="P345" s="120"/>
      <c r="Q345" s="120"/>
      <c r="R345" s="120"/>
      <c r="S345" s="120"/>
    </row>
    <row r="346" spans="1:19" ht="15.75" thickBot="1" x14ac:dyDescent="0.3">
      <c r="A346" s="126"/>
      <c r="B346" s="123"/>
      <c r="C346" s="124"/>
      <c r="D346" s="123"/>
      <c r="E346" s="123"/>
      <c r="F346" s="123"/>
      <c r="G346" s="124"/>
      <c r="H346" s="123"/>
      <c r="I346" s="123"/>
      <c r="J346" s="123"/>
      <c r="K346" s="123"/>
      <c r="L346" s="123"/>
      <c r="M346" s="123"/>
      <c r="N346" s="123"/>
      <c r="O346" s="128"/>
      <c r="P346" s="98"/>
      <c r="Q346" s="98"/>
      <c r="R346" s="98"/>
      <c r="S346" s="98"/>
    </row>
    <row r="347" spans="1:19" ht="15.75" thickBot="1" x14ac:dyDescent="0.3">
      <c r="C347" s="1"/>
      <c r="G347" s="1"/>
    </row>
    <row r="348" spans="1:19" x14ac:dyDescent="0.25">
      <c r="A348" s="9"/>
      <c r="B348" s="10"/>
      <c r="C348" s="11"/>
      <c r="D348" s="11"/>
      <c r="E348" s="11"/>
      <c r="F348" s="11"/>
      <c r="G348" s="11"/>
      <c r="H348" s="12"/>
      <c r="I348" s="11"/>
      <c r="J348" s="13"/>
      <c r="K348" s="13"/>
      <c r="L348" s="13"/>
      <c r="M348" s="13"/>
      <c r="N348" s="11"/>
      <c r="O348" s="14"/>
      <c r="P348" s="4"/>
      <c r="Q348" s="5"/>
      <c r="R348" s="4"/>
      <c r="S348" s="4"/>
    </row>
    <row r="349" spans="1:19" x14ac:dyDescent="0.25">
      <c r="A349" s="6" t="s">
        <v>1095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15"/>
      <c r="P349" s="3"/>
      <c r="Q349" s="3"/>
      <c r="R349" s="3"/>
      <c r="S349" s="3"/>
    </row>
    <row r="350" spans="1:19" x14ac:dyDescent="0.25">
      <c r="A350" s="7" t="s">
        <v>24</v>
      </c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15"/>
      <c r="P350" s="3"/>
      <c r="Q350" s="3"/>
      <c r="R350" s="3"/>
      <c r="S350" s="3"/>
    </row>
    <row r="351" spans="1:19" ht="15.75" thickBot="1" x14ac:dyDescent="0.3">
      <c r="A351" s="8"/>
      <c r="B351" s="8"/>
      <c r="C351" s="74"/>
      <c r="D351" s="8"/>
      <c r="E351" s="8"/>
      <c r="F351" s="8"/>
      <c r="G351" s="74"/>
      <c r="H351" s="8"/>
      <c r="I351" s="8"/>
      <c r="J351" s="8"/>
      <c r="K351" s="8"/>
      <c r="L351" s="8"/>
      <c r="M351" s="8"/>
      <c r="N351" s="8"/>
      <c r="O351" s="16"/>
      <c r="P351" s="3"/>
      <c r="Q351" s="3"/>
      <c r="R351" s="3"/>
      <c r="S351" s="3"/>
    </row>
    <row r="352" spans="1:19" ht="17.25" customHeight="1" thickBot="1" x14ac:dyDescent="0.3">
      <c r="A352" s="19" t="s">
        <v>1068</v>
      </c>
      <c r="B352" s="24" t="s">
        <v>1069</v>
      </c>
      <c r="C352" s="26" t="s">
        <v>1070</v>
      </c>
      <c r="D352" s="29" t="s">
        <v>1071</v>
      </c>
      <c r="E352" s="26" t="s">
        <v>1072</v>
      </c>
      <c r="F352" s="31" t="s">
        <v>1073</v>
      </c>
      <c r="G352" s="31" t="s">
        <v>1074</v>
      </c>
      <c r="H352" s="31" t="s">
        <v>1075</v>
      </c>
      <c r="I352" s="29" t="s">
        <v>14</v>
      </c>
      <c r="J352" s="29" t="s">
        <v>1076</v>
      </c>
      <c r="K352" s="29" t="s">
        <v>1077</v>
      </c>
      <c r="L352" s="29" t="s">
        <v>1078</v>
      </c>
      <c r="M352" s="29" t="s">
        <v>1079</v>
      </c>
      <c r="N352" s="29" t="s">
        <v>1080</v>
      </c>
      <c r="O352" s="36" t="s">
        <v>1081</v>
      </c>
      <c r="P352" s="37" t="s">
        <v>1082</v>
      </c>
      <c r="Q352" s="38" t="s">
        <v>1083</v>
      </c>
      <c r="R352" s="38" t="s">
        <v>1084</v>
      </c>
      <c r="S352" s="39" t="s">
        <v>1085</v>
      </c>
    </row>
    <row r="353" spans="1:19" ht="12.75" customHeight="1" x14ac:dyDescent="0.25">
      <c r="A353" s="46" t="s">
        <v>497</v>
      </c>
      <c r="B353" s="40" t="s">
        <v>812</v>
      </c>
      <c r="C353" s="41">
        <v>45872</v>
      </c>
      <c r="D353" s="42" t="s">
        <v>289</v>
      </c>
      <c r="E353" s="41" t="s">
        <v>252</v>
      </c>
      <c r="F353" s="41" t="s">
        <v>281</v>
      </c>
      <c r="G353" s="41">
        <v>45882</v>
      </c>
      <c r="H353" s="40" t="s">
        <v>499</v>
      </c>
      <c r="I353" s="43" t="s">
        <v>14</v>
      </c>
      <c r="J353" s="40">
        <v>1</v>
      </c>
      <c r="K353" s="40">
        <v>1</v>
      </c>
      <c r="L353" s="44">
        <v>0</v>
      </c>
      <c r="M353" s="40">
        <v>2</v>
      </c>
      <c r="N353" s="40">
        <v>2</v>
      </c>
      <c r="O353" s="48">
        <v>0</v>
      </c>
      <c r="P353" s="45" t="s">
        <v>159</v>
      </c>
      <c r="Q353" s="23" t="s">
        <v>24</v>
      </c>
      <c r="R353" s="23" t="s">
        <v>291</v>
      </c>
      <c r="S353" s="22" t="s">
        <v>9</v>
      </c>
    </row>
    <row r="354" spans="1:19" ht="12.75" customHeight="1" x14ac:dyDescent="0.25">
      <c r="A354" s="47" t="s">
        <v>497</v>
      </c>
      <c r="B354" s="23" t="s">
        <v>813</v>
      </c>
      <c r="C354" s="28">
        <v>45872</v>
      </c>
      <c r="D354" s="30" t="s">
        <v>289</v>
      </c>
      <c r="E354" s="28" t="s">
        <v>802</v>
      </c>
      <c r="F354" s="28" t="s">
        <v>814</v>
      </c>
      <c r="G354" s="28">
        <v>45882</v>
      </c>
      <c r="H354" s="23" t="s">
        <v>499</v>
      </c>
      <c r="I354" s="33" t="s">
        <v>14</v>
      </c>
      <c r="J354" s="23">
        <v>1</v>
      </c>
      <c r="K354" s="23">
        <v>1</v>
      </c>
      <c r="L354" s="35">
        <v>0</v>
      </c>
      <c r="M354" s="23">
        <v>2</v>
      </c>
      <c r="N354" s="23">
        <v>2</v>
      </c>
      <c r="O354" s="49">
        <v>0</v>
      </c>
      <c r="P354" s="45" t="s">
        <v>159</v>
      </c>
      <c r="Q354" s="23" t="s">
        <v>24</v>
      </c>
      <c r="R354" s="23" t="s">
        <v>291</v>
      </c>
      <c r="S354" s="22" t="s">
        <v>9</v>
      </c>
    </row>
    <row r="355" spans="1:19" ht="12.75" customHeight="1" x14ac:dyDescent="0.25">
      <c r="A355" s="47" t="s">
        <v>497</v>
      </c>
      <c r="B355" s="23" t="s">
        <v>815</v>
      </c>
      <c r="C355" s="28">
        <v>45872</v>
      </c>
      <c r="D355" s="30" t="s">
        <v>289</v>
      </c>
      <c r="E355" s="28" t="s">
        <v>287</v>
      </c>
      <c r="F355" s="28" t="s">
        <v>816</v>
      </c>
      <c r="G355" s="28">
        <v>45882</v>
      </c>
      <c r="H355" s="23" t="s">
        <v>499</v>
      </c>
      <c r="I355" s="33" t="s">
        <v>14</v>
      </c>
      <c r="J355" s="23">
        <v>1</v>
      </c>
      <c r="K355" s="23">
        <v>1</v>
      </c>
      <c r="L355" s="35">
        <v>0</v>
      </c>
      <c r="M355" s="23">
        <v>3</v>
      </c>
      <c r="N355" s="23">
        <v>3</v>
      </c>
      <c r="O355" s="49">
        <v>0</v>
      </c>
      <c r="P355" s="45" t="s">
        <v>159</v>
      </c>
      <c r="Q355" s="23" t="s">
        <v>24</v>
      </c>
      <c r="R355" s="23" t="s">
        <v>291</v>
      </c>
      <c r="S355" s="22" t="s">
        <v>9</v>
      </c>
    </row>
    <row r="356" spans="1:19" ht="12.75" customHeight="1" x14ac:dyDescent="0.25">
      <c r="A356" s="47" t="s">
        <v>497</v>
      </c>
      <c r="B356" s="23" t="s">
        <v>817</v>
      </c>
      <c r="C356" s="28">
        <v>45872</v>
      </c>
      <c r="D356" s="30" t="s">
        <v>289</v>
      </c>
      <c r="E356" s="28" t="s">
        <v>287</v>
      </c>
      <c r="F356" s="28" t="s">
        <v>818</v>
      </c>
      <c r="G356" s="28">
        <v>45882</v>
      </c>
      <c r="H356" s="23" t="s">
        <v>499</v>
      </c>
      <c r="I356" s="33" t="s">
        <v>14</v>
      </c>
      <c r="J356" s="23">
        <v>1</v>
      </c>
      <c r="K356" s="23">
        <v>1</v>
      </c>
      <c r="L356" s="35">
        <v>0</v>
      </c>
      <c r="M356" s="23">
        <v>12</v>
      </c>
      <c r="N356" s="23">
        <v>12</v>
      </c>
      <c r="O356" s="49">
        <v>0</v>
      </c>
      <c r="P356" s="45" t="s">
        <v>159</v>
      </c>
      <c r="Q356" s="23" t="s">
        <v>24</v>
      </c>
      <c r="R356" s="23" t="s">
        <v>291</v>
      </c>
      <c r="S356" s="22" t="s">
        <v>9</v>
      </c>
    </row>
    <row r="357" spans="1:19" ht="12.75" customHeight="1" x14ac:dyDescent="0.25">
      <c r="A357" s="47" t="s">
        <v>497</v>
      </c>
      <c r="B357" s="23" t="s">
        <v>819</v>
      </c>
      <c r="C357" s="28">
        <v>45874</v>
      </c>
      <c r="D357" s="30" t="s">
        <v>289</v>
      </c>
      <c r="E357" s="28" t="s">
        <v>802</v>
      </c>
      <c r="F357" s="28" t="s">
        <v>281</v>
      </c>
      <c r="G357" s="28">
        <v>45884</v>
      </c>
      <c r="H357" s="23" t="s">
        <v>499</v>
      </c>
      <c r="I357" s="33" t="s">
        <v>14</v>
      </c>
      <c r="J357" s="23">
        <v>1</v>
      </c>
      <c r="K357" s="23">
        <v>1</v>
      </c>
      <c r="L357" s="35">
        <v>0</v>
      </c>
      <c r="M357" s="23">
        <v>2</v>
      </c>
      <c r="N357" s="23">
        <v>2</v>
      </c>
      <c r="O357" s="49">
        <v>0</v>
      </c>
      <c r="P357" s="45" t="s">
        <v>159</v>
      </c>
      <c r="Q357" s="23" t="s">
        <v>24</v>
      </c>
      <c r="R357" s="23" t="s">
        <v>291</v>
      </c>
      <c r="S357" s="22" t="s">
        <v>9</v>
      </c>
    </row>
    <row r="358" spans="1:19" ht="12.75" customHeight="1" x14ac:dyDescent="0.25">
      <c r="A358" s="47" t="s">
        <v>497</v>
      </c>
      <c r="B358" s="23" t="s">
        <v>820</v>
      </c>
      <c r="C358" s="28">
        <v>45880</v>
      </c>
      <c r="D358" s="30" t="s">
        <v>289</v>
      </c>
      <c r="E358" s="28" t="s">
        <v>300</v>
      </c>
      <c r="F358" s="28" t="s">
        <v>295</v>
      </c>
      <c r="G358" s="28">
        <v>45890</v>
      </c>
      <c r="H358" s="23" t="s">
        <v>499</v>
      </c>
      <c r="I358" s="33" t="s">
        <v>14</v>
      </c>
      <c r="J358" s="23">
        <v>1</v>
      </c>
      <c r="K358" s="23">
        <v>1</v>
      </c>
      <c r="L358" s="35">
        <v>0</v>
      </c>
      <c r="M358" s="23">
        <v>2</v>
      </c>
      <c r="N358" s="23">
        <v>2</v>
      </c>
      <c r="O358" s="49">
        <v>0</v>
      </c>
      <c r="P358" s="45" t="s">
        <v>159</v>
      </c>
      <c r="Q358" s="23" t="s">
        <v>24</v>
      </c>
      <c r="R358" s="23" t="s">
        <v>291</v>
      </c>
      <c r="S358" s="22" t="s">
        <v>9</v>
      </c>
    </row>
    <row r="359" spans="1:19" ht="12.75" customHeight="1" x14ac:dyDescent="0.25">
      <c r="A359" s="47" t="s">
        <v>497</v>
      </c>
      <c r="B359" s="23" t="s">
        <v>821</v>
      </c>
      <c r="C359" s="28">
        <v>45880</v>
      </c>
      <c r="D359" s="30" t="s">
        <v>289</v>
      </c>
      <c r="E359" s="28" t="s">
        <v>822</v>
      </c>
      <c r="F359" s="28" t="s">
        <v>823</v>
      </c>
      <c r="G359" s="28">
        <v>45890</v>
      </c>
      <c r="H359" s="23" t="s">
        <v>499</v>
      </c>
      <c r="I359" s="33" t="s">
        <v>14</v>
      </c>
      <c r="J359" s="23">
        <v>1</v>
      </c>
      <c r="K359" s="23">
        <v>1</v>
      </c>
      <c r="L359" s="35">
        <v>0</v>
      </c>
      <c r="M359" s="23">
        <v>2</v>
      </c>
      <c r="N359" s="23">
        <v>2</v>
      </c>
      <c r="O359" s="49">
        <v>0</v>
      </c>
      <c r="P359" s="45" t="s">
        <v>159</v>
      </c>
      <c r="Q359" s="23" t="s">
        <v>24</v>
      </c>
      <c r="R359" s="23" t="s">
        <v>291</v>
      </c>
      <c r="S359" s="22" t="s">
        <v>9</v>
      </c>
    </row>
    <row r="360" spans="1:19" ht="12.75" customHeight="1" x14ac:dyDescent="0.25">
      <c r="A360" s="47" t="s">
        <v>497</v>
      </c>
      <c r="B360" s="23" t="s">
        <v>824</v>
      </c>
      <c r="C360" s="28">
        <v>45880</v>
      </c>
      <c r="D360" s="30" t="s">
        <v>289</v>
      </c>
      <c r="E360" s="28" t="s">
        <v>370</v>
      </c>
      <c r="F360" s="28" t="s">
        <v>825</v>
      </c>
      <c r="G360" s="28">
        <v>45890</v>
      </c>
      <c r="H360" s="23" t="s">
        <v>499</v>
      </c>
      <c r="I360" s="33" t="s">
        <v>14</v>
      </c>
      <c r="J360" s="23">
        <v>1</v>
      </c>
      <c r="K360" s="23">
        <v>1</v>
      </c>
      <c r="L360" s="35">
        <v>0</v>
      </c>
      <c r="M360" s="23">
        <v>2</v>
      </c>
      <c r="N360" s="23">
        <v>2</v>
      </c>
      <c r="O360" s="49">
        <v>0</v>
      </c>
      <c r="P360" s="45" t="s">
        <v>159</v>
      </c>
      <c r="Q360" s="23" t="s">
        <v>24</v>
      </c>
      <c r="R360" s="23" t="s">
        <v>291</v>
      </c>
      <c r="S360" s="22" t="s">
        <v>9</v>
      </c>
    </row>
    <row r="361" spans="1:19" ht="12.75" customHeight="1" x14ac:dyDescent="0.25">
      <c r="A361" s="47" t="s">
        <v>497</v>
      </c>
      <c r="B361" s="23" t="s">
        <v>826</v>
      </c>
      <c r="C361" s="28">
        <v>45882</v>
      </c>
      <c r="D361" s="30" t="s">
        <v>289</v>
      </c>
      <c r="E361" s="28" t="s">
        <v>252</v>
      </c>
      <c r="F361" s="28" t="s">
        <v>811</v>
      </c>
      <c r="G361" s="28">
        <v>45892</v>
      </c>
      <c r="H361" s="23" t="s">
        <v>499</v>
      </c>
      <c r="I361" s="33"/>
      <c r="J361" s="23">
        <v>0</v>
      </c>
      <c r="K361" s="23">
        <v>1</v>
      </c>
      <c r="L361" s="35">
        <v>1</v>
      </c>
      <c r="M361" s="23">
        <v>1</v>
      </c>
      <c r="N361" s="23">
        <v>0</v>
      </c>
      <c r="O361" s="49">
        <v>1</v>
      </c>
      <c r="P361" s="45" t="s">
        <v>159</v>
      </c>
      <c r="Q361" s="23" t="s">
        <v>24</v>
      </c>
      <c r="R361" s="23" t="s">
        <v>291</v>
      </c>
      <c r="S361" s="22" t="s">
        <v>9</v>
      </c>
    </row>
    <row r="362" spans="1:19" ht="12.75" customHeight="1" x14ac:dyDescent="0.25">
      <c r="A362" s="47" t="s">
        <v>497</v>
      </c>
      <c r="B362" s="23" t="s">
        <v>827</v>
      </c>
      <c r="C362" s="28">
        <v>45887</v>
      </c>
      <c r="D362" s="30" t="s">
        <v>289</v>
      </c>
      <c r="E362" s="28" t="s">
        <v>300</v>
      </c>
      <c r="F362" s="28" t="s">
        <v>295</v>
      </c>
      <c r="G362" s="28">
        <v>45897</v>
      </c>
      <c r="H362" s="23" t="s">
        <v>499</v>
      </c>
      <c r="I362" s="33" t="s">
        <v>14</v>
      </c>
      <c r="J362" s="23">
        <v>1</v>
      </c>
      <c r="K362" s="23">
        <v>1</v>
      </c>
      <c r="L362" s="35">
        <v>0</v>
      </c>
      <c r="M362" s="23">
        <v>4</v>
      </c>
      <c r="N362" s="23">
        <v>4</v>
      </c>
      <c r="O362" s="49">
        <v>0</v>
      </c>
      <c r="P362" s="45" t="s">
        <v>159</v>
      </c>
      <c r="Q362" s="23" t="s">
        <v>24</v>
      </c>
      <c r="R362" s="23" t="s">
        <v>291</v>
      </c>
      <c r="S362" s="22" t="s">
        <v>9</v>
      </c>
    </row>
    <row r="363" spans="1:19" ht="12.75" customHeight="1" thickBot="1" x14ac:dyDescent="0.3">
      <c r="A363" s="51" t="s">
        <v>497</v>
      </c>
      <c r="B363" s="20" t="s">
        <v>828</v>
      </c>
      <c r="C363" s="25">
        <v>45900</v>
      </c>
      <c r="D363" s="27" t="s">
        <v>289</v>
      </c>
      <c r="E363" s="25" t="s">
        <v>370</v>
      </c>
      <c r="F363" s="25" t="s">
        <v>829</v>
      </c>
      <c r="G363" s="25">
        <v>45910</v>
      </c>
      <c r="H363" s="20" t="s">
        <v>499</v>
      </c>
      <c r="I363" s="32" t="s">
        <v>14</v>
      </c>
      <c r="J363" s="20">
        <v>1</v>
      </c>
      <c r="K363" s="20">
        <v>1</v>
      </c>
      <c r="L363" s="34">
        <v>0</v>
      </c>
      <c r="M363" s="20">
        <v>1</v>
      </c>
      <c r="N363" s="20">
        <v>1</v>
      </c>
      <c r="O363" s="54">
        <v>0</v>
      </c>
      <c r="P363" s="45" t="s">
        <v>159</v>
      </c>
      <c r="Q363" s="23" t="s">
        <v>24</v>
      </c>
      <c r="R363" s="23" t="s">
        <v>291</v>
      </c>
      <c r="S363" s="22" t="s">
        <v>9</v>
      </c>
    </row>
    <row r="364" spans="1:19" ht="17.25" customHeight="1" x14ac:dyDescent="0.25">
      <c r="A364" s="60"/>
      <c r="B364" s="50"/>
      <c r="C364" s="55"/>
      <c r="D364" s="56"/>
      <c r="E364" s="56"/>
      <c r="F364" s="57"/>
      <c r="G364" s="57"/>
      <c r="H364" s="57"/>
      <c r="I364" s="58" t="s">
        <v>1087</v>
      </c>
      <c r="J364" s="57">
        <f>SUM(J353:J363)</f>
        <v>10</v>
      </c>
      <c r="K364" s="57">
        <f>SUM(K353:K363)</f>
        <v>11</v>
      </c>
      <c r="L364" s="59">
        <f>(SUM(K353:K363) - SUM(J353:J363)) / SUM(K353:K363)</f>
        <v>9.0909090909090912E-2</v>
      </c>
      <c r="M364" s="57">
        <f>SUM(M353:M363)</f>
        <v>33</v>
      </c>
      <c r="N364" s="56">
        <f>SUM(N353:N363)</f>
        <v>32</v>
      </c>
      <c r="O364" s="61">
        <f>(SUM(M353:M363) - SUM(N353:N363)) / SUM(M353:M363)</f>
        <v>3.0303030303030304E-2</v>
      </c>
      <c r="P364" s="52"/>
      <c r="Q364" s="53"/>
      <c r="R364" s="52"/>
      <c r="S364" s="52"/>
    </row>
    <row r="365" spans="1:19" x14ac:dyDescent="0.25">
      <c r="A365" s="125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2"/>
      <c r="M365" s="121"/>
      <c r="N365" s="121"/>
      <c r="O365" s="127"/>
      <c r="P365" s="120"/>
      <c r="Q365" s="120"/>
      <c r="R365" s="120"/>
      <c r="S365" s="120"/>
    </row>
    <row r="366" spans="1:19" ht="15.75" thickBot="1" x14ac:dyDescent="0.3">
      <c r="A366" s="126"/>
      <c r="B366" s="123"/>
      <c r="C366" s="124"/>
      <c r="D366" s="123"/>
      <c r="E366" s="123"/>
      <c r="F366" s="123"/>
      <c r="G366" s="124"/>
      <c r="H366" s="123"/>
      <c r="I366" s="123"/>
      <c r="J366" s="123"/>
      <c r="K366" s="123"/>
      <c r="L366" s="123"/>
      <c r="M366" s="123"/>
      <c r="N366" s="123"/>
      <c r="O366" s="128"/>
      <c r="P366" s="98"/>
      <c r="Q366" s="98"/>
      <c r="R366" s="98"/>
      <c r="S366" s="98"/>
    </row>
    <row r="367" spans="1:19" ht="15.75" thickBot="1" x14ac:dyDescent="0.3">
      <c r="C367" s="1"/>
      <c r="G367" s="1"/>
    </row>
    <row r="368" spans="1:19" x14ac:dyDescent="0.25">
      <c r="A368" s="9"/>
      <c r="B368" s="10"/>
      <c r="C368" s="11"/>
      <c r="D368" s="11"/>
      <c r="E368" s="11"/>
      <c r="F368" s="11"/>
      <c r="G368" s="11"/>
      <c r="H368" s="12"/>
      <c r="I368" s="11"/>
      <c r="J368" s="13"/>
      <c r="K368" s="13"/>
      <c r="L368" s="13"/>
      <c r="M368" s="13"/>
      <c r="N368" s="11"/>
      <c r="O368" s="14"/>
      <c r="P368" s="4"/>
      <c r="Q368" s="5"/>
      <c r="R368" s="4"/>
      <c r="S368" s="4"/>
    </row>
    <row r="369" spans="1:19" x14ac:dyDescent="0.25">
      <c r="A369" s="6" t="s">
        <v>1095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15"/>
      <c r="P369" s="3"/>
      <c r="Q369" s="3"/>
      <c r="R369" s="3"/>
      <c r="S369" s="3"/>
    </row>
    <row r="370" spans="1:19" x14ac:dyDescent="0.25">
      <c r="A370" s="7" t="s">
        <v>55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15"/>
      <c r="P370" s="3"/>
      <c r="Q370" s="3"/>
      <c r="R370" s="3"/>
      <c r="S370" s="3"/>
    </row>
    <row r="371" spans="1:19" ht="15.75" thickBot="1" x14ac:dyDescent="0.3">
      <c r="A371" s="8"/>
      <c r="B371" s="8"/>
      <c r="C371" s="74"/>
      <c r="D371" s="8"/>
      <c r="E371" s="8"/>
      <c r="F371" s="8"/>
      <c r="G371" s="74"/>
      <c r="H371" s="8"/>
      <c r="I371" s="8"/>
      <c r="J371" s="8"/>
      <c r="K371" s="8"/>
      <c r="L371" s="8"/>
      <c r="M371" s="8"/>
      <c r="N371" s="8"/>
      <c r="O371" s="16"/>
      <c r="P371" s="3"/>
      <c r="Q371" s="3"/>
      <c r="R371" s="3"/>
      <c r="S371" s="3"/>
    </row>
    <row r="372" spans="1:19" ht="17.25" customHeight="1" thickBot="1" x14ac:dyDescent="0.3">
      <c r="A372" s="19" t="s">
        <v>1068</v>
      </c>
      <c r="B372" s="24" t="s">
        <v>1069</v>
      </c>
      <c r="C372" s="26" t="s">
        <v>1070</v>
      </c>
      <c r="D372" s="29" t="s">
        <v>1071</v>
      </c>
      <c r="E372" s="26" t="s">
        <v>1072</v>
      </c>
      <c r="F372" s="31" t="s">
        <v>1073</v>
      </c>
      <c r="G372" s="31" t="s">
        <v>1074</v>
      </c>
      <c r="H372" s="31" t="s">
        <v>1075</v>
      </c>
      <c r="I372" s="29" t="s">
        <v>14</v>
      </c>
      <c r="J372" s="29" t="s">
        <v>1076</v>
      </c>
      <c r="K372" s="29" t="s">
        <v>1077</v>
      </c>
      <c r="L372" s="29" t="s">
        <v>1078</v>
      </c>
      <c r="M372" s="29" t="s">
        <v>1079</v>
      </c>
      <c r="N372" s="29" t="s">
        <v>1080</v>
      </c>
      <c r="O372" s="36" t="s">
        <v>1081</v>
      </c>
      <c r="P372" s="37" t="s">
        <v>1082</v>
      </c>
      <c r="Q372" s="38" t="s">
        <v>1083</v>
      </c>
      <c r="R372" s="38" t="s">
        <v>1084</v>
      </c>
      <c r="S372" s="39" t="s">
        <v>1085</v>
      </c>
    </row>
    <row r="373" spans="1:19" ht="12.75" customHeight="1" x14ac:dyDescent="0.25">
      <c r="A373" s="46" t="s">
        <v>497</v>
      </c>
      <c r="B373" s="40" t="s">
        <v>830</v>
      </c>
      <c r="C373" s="41">
        <v>45907</v>
      </c>
      <c r="D373" s="42" t="s">
        <v>308</v>
      </c>
      <c r="E373" s="41" t="s">
        <v>831</v>
      </c>
      <c r="F373" s="41" t="s">
        <v>832</v>
      </c>
      <c r="G373" s="41">
        <v>45917</v>
      </c>
      <c r="H373" s="40" t="s">
        <v>499</v>
      </c>
      <c r="I373" s="43" t="s">
        <v>14</v>
      </c>
      <c r="J373" s="40">
        <v>1</v>
      </c>
      <c r="K373" s="40">
        <v>1</v>
      </c>
      <c r="L373" s="44">
        <v>0</v>
      </c>
      <c r="M373" s="40">
        <v>3</v>
      </c>
      <c r="N373" s="40">
        <v>3</v>
      </c>
      <c r="O373" s="48">
        <v>0</v>
      </c>
      <c r="P373" s="45" t="s">
        <v>159</v>
      </c>
      <c r="Q373" s="23" t="s">
        <v>55</v>
      </c>
      <c r="R373" s="23" t="s">
        <v>311</v>
      </c>
      <c r="S373" s="22" t="s">
        <v>9</v>
      </c>
    </row>
    <row r="374" spans="1:19" ht="12.75" customHeight="1" x14ac:dyDescent="0.25">
      <c r="A374" s="47" t="s">
        <v>497</v>
      </c>
      <c r="B374" s="23" t="s">
        <v>833</v>
      </c>
      <c r="C374" s="28">
        <v>45907</v>
      </c>
      <c r="D374" s="30" t="s">
        <v>308</v>
      </c>
      <c r="E374" s="28" t="s">
        <v>831</v>
      </c>
      <c r="F374" s="28" t="s">
        <v>832</v>
      </c>
      <c r="G374" s="28">
        <v>45917</v>
      </c>
      <c r="H374" s="23" t="s">
        <v>499</v>
      </c>
      <c r="I374" s="33" t="s">
        <v>14</v>
      </c>
      <c r="J374" s="23">
        <v>1</v>
      </c>
      <c r="K374" s="23">
        <v>1</v>
      </c>
      <c r="L374" s="35">
        <v>0</v>
      </c>
      <c r="M374" s="23">
        <v>4</v>
      </c>
      <c r="N374" s="23">
        <v>4</v>
      </c>
      <c r="O374" s="49">
        <v>0</v>
      </c>
      <c r="P374" s="45" t="s">
        <v>159</v>
      </c>
      <c r="Q374" s="23" t="s">
        <v>55</v>
      </c>
      <c r="R374" s="23" t="s">
        <v>311</v>
      </c>
      <c r="S374" s="22" t="s">
        <v>9</v>
      </c>
    </row>
    <row r="375" spans="1:19" ht="12.75" customHeight="1" x14ac:dyDescent="0.25">
      <c r="A375" s="47" t="s">
        <v>497</v>
      </c>
      <c r="B375" s="23" t="s">
        <v>834</v>
      </c>
      <c r="C375" s="28">
        <v>45907</v>
      </c>
      <c r="D375" s="30" t="s">
        <v>308</v>
      </c>
      <c r="E375" s="28" t="s">
        <v>835</v>
      </c>
      <c r="F375" s="28" t="s">
        <v>302</v>
      </c>
      <c r="G375" s="28">
        <v>45917</v>
      </c>
      <c r="H375" s="23" t="s">
        <v>499</v>
      </c>
      <c r="I375" s="33" t="s">
        <v>14</v>
      </c>
      <c r="J375" s="23">
        <v>1</v>
      </c>
      <c r="K375" s="23">
        <v>1</v>
      </c>
      <c r="L375" s="35">
        <v>0</v>
      </c>
      <c r="M375" s="23">
        <v>2</v>
      </c>
      <c r="N375" s="23">
        <v>2</v>
      </c>
      <c r="O375" s="49">
        <v>0</v>
      </c>
      <c r="P375" s="45" t="s">
        <v>159</v>
      </c>
      <c r="Q375" s="23" t="s">
        <v>55</v>
      </c>
      <c r="R375" s="23" t="s">
        <v>311</v>
      </c>
      <c r="S375" s="22" t="s">
        <v>9</v>
      </c>
    </row>
    <row r="376" spans="1:19" ht="12.75" customHeight="1" x14ac:dyDescent="0.25">
      <c r="A376" s="47" t="s">
        <v>497</v>
      </c>
      <c r="B376" s="23" t="s">
        <v>836</v>
      </c>
      <c r="C376" s="28">
        <v>45907</v>
      </c>
      <c r="D376" s="30" t="s">
        <v>308</v>
      </c>
      <c r="E376" s="28" t="s">
        <v>831</v>
      </c>
      <c r="F376" s="28" t="s">
        <v>832</v>
      </c>
      <c r="G376" s="28">
        <v>45917</v>
      </c>
      <c r="H376" s="23" t="s">
        <v>499</v>
      </c>
      <c r="I376" s="33" t="s">
        <v>14</v>
      </c>
      <c r="J376" s="23">
        <v>1</v>
      </c>
      <c r="K376" s="23">
        <v>1</v>
      </c>
      <c r="L376" s="35">
        <v>0</v>
      </c>
      <c r="M376" s="23">
        <v>2</v>
      </c>
      <c r="N376" s="23">
        <v>2</v>
      </c>
      <c r="O376" s="49">
        <v>0</v>
      </c>
      <c r="P376" s="45" t="s">
        <v>159</v>
      </c>
      <c r="Q376" s="23" t="s">
        <v>55</v>
      </c>
      <c r="R376" s="23" t="s">
        <v>311</v>
      </c>
      <c r="S376" s="22" t="s">
        <v>9</v>
      </c>
    </row>
    <row r="377" spans="1:19" ht="12.75" customHeight="1" x14ac:dyDescent="0.25">
      <c r="A377" s="47" t="s">
        <v>497</v>
      </c>
      <c r="B377" s="23" t="s">
        <v>837</v>
      </c>
      <c r="C377" s="28">
        <v>45907</v>
      </c>
      <c r="D377" s="30" t="s">
        <v>308</v>
      </c>
      <c r="E377" s="28" t="s">
        <v>835</v>
      </c>
      <c r="F377" s="28" t="s">
        <v>302</v>
      </c>
      <c r="G377" s="28">
        <v>45917</v>
      </c>
      <c r="H377" s="23" t="s">
        <v>499</v>
      </c>
      <c r="I377" s="33" t="s">
        <v>14</v>
      </c>
      <c r="J377" s="23">
        <v>1</v>
      </c>
      <c r="K377" s="23">
        <v>1</v>
      </c>
      <c r="L377" s="35">
        <v>0</v>
      </c>
      <c r="M377" s="23">
        <v>2</v>
      </c>
      <c r="N377" s="23">
        <v>2</v>
      </c>
      <c r="O377" s="49">
        <v>0</v>
      </c>
      <c r="P377" s="45" t="s">
        <v>159</v>
      </c>
      <c r="Q377" s="23" t="s">
        <v>55</v>
      </c>
      <c r="R377" s="23" t="s">
        <v>311</v>
      </c>
      <c r="S377" s="22" t="s">
        <v>9</v>
      </c>
    </row>
    <row r="378" spans="1:19" ht="12.75" customHeight="1" x14ac:dyDescent="0.25">
      <c r="A378" s="47" t="s">
        <v>497</v>
      </c>
      <c r="B378" s="23" t="s">
        <v>838</v>
      </c>
      <c r="C378" s="28">
        <v>45907</v>
      </c>
      <c r="D378" s="30" t="s">
        <v>308</v>
      </c>
      <c r="E378" s="28" t="s">
        <v>831</v>
      </c>
      <c r="F378" s="28" t="s">
        <v>839</v>
      </c>
      <c r="G378" s="28">
        <v>45917</v>
      </c>
      <c r="H378" s="23" t="s">
        <v>499</v>
      </c>
      <c r="I378" s="33" t="s">
        <v>14</v>
      </c>
      <c r="J378" s="23">
        <v>1</v>
      </c>
      <c r="K378" s="23">
        <v>1</v>
      </c>
      <c r="L378" s="35">
        <v>0</v>
      </c>
      <c r="M378" s="23">
        <v>3</v>
      </c>
      <c r="N378" s="23">
        <v>3</v>
      </c>
      <c r="O378" s="49">
        <v>0</v>
      </c>
      <c r="P378" s="45" t="s">
        <v>159</v>
      </c>
      <c r="Q378" s="23" t="s">
        <v>55</v>
      </c>
      <c r="R378" s="23" t="s">
        <v>311</v>
      </c>
      <c r="S378" s="22" t="s">
        <v>9</v>
      </c>
    </row>
    <row r="379" spans="1:19" ht="12.75" customHeight="1" x14ac:dyDescent="0.25">
      <c r="A379" s="47" t="s">
        <v>497</v>
      </c>
      <c r="B379" s="23" t="s">
        <v>840</v>
      </c>
      <c r="C379" s="28">
        <v>45907</v>
      </c>
      <c r="D379" s="30" t="s">
        <v>308</v>
      </c>
      <c r="E379" s="28" t="s">
        <v>300</v>
      </c>
      <c r="F379" s="28" t="s">
        <v>284</v>
      </c>
      <c r="G379" s="28">
        <v>45917</v>
      </c>
      <c r="H379" s="23" t="s">
        <v>499</v>
      </c>
      <c r="I379" s="33" t="s">
        <v>14</v>
      </c>
      <c r="J379" s="23">
        <v>1</v>
      </c>
      <c r="K379" s="23">
        <v>1</v>
      </c>
      <c r="L379" s="35">
        <v>0</v>
      </c>
      <c r="M379" s="23">
        <v>3</v>
      </c>
      <c r="N379" s="23">
        <v>3</v>
      </c>
      <c r="O379" s="49">
        <v>0</v>
      </c>
      <c r="P379" s="45" t="s">
        <v>159</v>
      </c>
      <c r="Q379" s="23" t="s">
        <v>55</v>
      </c>
      <c r="R379" s="23" t="s">
        <v>311</v>
      </c>
      <c r="S379" s="22" t="s">
        <v>9</v>
      </c>
    </row>
    <row r="380" spans="1:19" ht="12.75" customHeight="1" x14ac:dyDescent="0.25">
      <c r="A380" s="47" t="s">
        <v>497</v>
      </c>
      <c r="B380" s="23" t="s">
        <v>841</v>
      </c>
      <c r="C380" s="28">
        <v>45907</v>
      </c>
      <c r="D380" s="30" t="s">
        <v>308</v>
      </c>
      <c r="E380" s="28" t="s">
        <v>831</v>
      </c>
      <c r="F380" s="28" t="s">
        <v>832</v>
      </c>
      <c r="G380" s="28">
        <v>45917</v>
      </c>
      <c r="H380" s="23" t="s">
        <v>499</v>
      </c>
      <c r="I380" s="33" t="s">
        <v>14</v>
      </c>
      <c r="J380" s="23">
        <v>1</v>
      </c>
      <c r="K380" s="23">
        <v>1</v>
      </c>
      <c r="L380" s="35">
        <v>0</v>
      </c>
      <c r="M380" s="23">
        <v>2</v>
      </c>
      <c r="N380" s="23">
        <v>2</v>
      </c>
      <c r="O380" s="49">
        <v>0</v>
      </c>
      <c r="P380" s="45" t="s">
        <v>159</v>
      </c>
      <c r="Q380" s="23" t="s">
        <v>55</v>
      </c>
      <c r="R380" s="23" t="s">
        <v>311</v>
      </c>
      <c r="S380" s="22" t="s">
        <v>9</v>
      </c>
    </row>
    <row r="381" spans="1:19" ht="12.75" customHeight="1" x14ac:dyDescent="0.25">
      <c r="A381" s="47" t="s">
        <v>497</v>
      </c>
      <c r="B381" s="23" t="s">
        <v>842</v>
      </c>
      <c r="C381" s="28">
        <v>45907</v>
      </c>
      <c r="D381" s="30" t="s">
        <v>308</v>
      </c>
      <c r="E381" s="28" t="s">
        <v>300</v>
      </c>
      <c r="F381" s="28" t="s">
        <v>284</v>
      </c>
      <c r="G381" s="28">
        <v>45917</v>
      </c>
      <c r="H381" s="23" t="s">
        <v>499</v>
      </c>
      <c r="I381" s="33" t="s">
        <v>14</v>
      </c>
      <c r="J381" s="23">
        <v>1</v>
      </c>
      <c r="K381" s="23">
        <v>1</v>
      </c>
      <c r="L381" s="35">
        <v>0</v>
      </c>
      <c r="M381" s="23">
        <v>3</v>
      </c>
      <c r="N381" s="23">
        <v>3</v>
      </c>
      <c r="O381" s="49">
        <v>0</v>
      </c>
      <c r="P381" s="45" t="s">
        <v>159</v>
      </c>
      <c r="Q381" s="23" t="s">
        <v>55</v>
      </c>
      <c r="R381" s="23" t="s">
        <v>311</v>
      </c>
      <c r="S381" s="22" t="s">
        <v>9</v>
      </c>
    </row>
    <row r="382" spans="1:19" ht="12.75" customHeight="1" x14ac:dyDescent="0.25">
      <c r="A382" s="47" t="s">
        <v>497</v>
      </c>
      <c r="B382" s="23" t="s">
        <v>843</v>
      </c>
      <c r="C382" s="28">
        <v>45909</v>
      </c>
      <c r="D382" s="30" t="s">
        <v>308</v>
      </c>
      <c r="E382" s="28" t="s">
        <v>835</v>
      </c>
      <c r="F382" s="28" t="s">
        <v>273</v>
      </c>
      <c r="G382" s="28">
        <v>45919</v>
      </c>
      <c r="H382" s="23" t="s">
        <v>499</v>
      </c>
      <c r="I382" s="33" t="s">
        <v>14</v>
      </c>
      <c r="J382" s="23">
        <v>1</v>
      </c>
      <c r="K382" s="23">
        <v>1</v>
      </c>
      <c r="L382" s="35">
        <v>0</v>
      </c>
      <c r="M382" s="23">
        <v>4</v>
      </c>
      <c r="N382" s="23">
        <v>4</v>
      </c>
      <c r="O382" s="49">
        <v>0</v>
      </c>
      <c r="P382" s="45" t="s">
        <v>159</v>
      </c>
      <c r="Q382" s="23" t="s">
        <v>55</v>
      </c>
      <c r="R382" s="23" t="s">
        <v>311</v>
      </c>
      <c r="S382" s="22" t="s">
        <v>9</v>
      </c>
    </row>
    <row r="383" spans="1:19" ht="12.75" customHeight="1" x14ac:dyDescent="0.25">
      <c r="A383" s="47" t="s">
        <v>497</v>
      </c>
      <c r="B383" s="23" t="s">
        <v>844</v>
      </c>
      <c r="C383" s="28">
        <v>45911</v>
      </c>
      <c r="D383" s="30" t="s">
        <v>308</v>
      </c>
      <c r="E383" s="28" t="s">
        <v>822</v>
      </c>
      <c r="F383" s="28" t="s">
        <v>845</v>
      </c>
      <c r="G383" s="28">
        <v>45921</v>
      </c>
      <c r="H383" s="23" t="s">
        <v>499</v>
      </c>
      <c r="I383" s="33" t="s">
        <v>14</v>
      </c>
      <c r="J383" s="23">
        <v>1</v>
      </c>
      <c r="K383" s="23">
        <v>1</v>
      </c>
      <c r="L383" s="35">
        <v>0</v>
      </c>
      <c r="M383" s="23">
        <v>2</v>
      </c>
      <c r="N383" s="23">
        <v>2</v>
      </c>
      <c r="O383" s="49">
        <v>0</v>
      </c>
      <c r="P383" s="45" t="s">
        <v>159</v>
      </c>
      <c r="Q383" s="23" t="s">
        <v>55</v>
      </c>
      <c r="R383" s="23" t="s">
        <v>311</v>
      </c>
      <c r="S383" s="22" t="s">
        <v>9</v>
      </c>
    </row>
    <row r="384" spans="1:19" ht="12.75" customHeight="1" x14ac:dyDescent="0.25">
      <c r="A384" s="47" t="s">
        <v>497</v>
      </c>
      <c r="B384" s="23" t="s">
        <v>846</v>
      </c>
      <c r="C384" s="28">
        <v>45911</v>
      </c>
      <c r="D384" s="30" t="s">
        <v>308</v>
      </c>
      <c r="E384" s="28" t="s">
        <v>835</v>
      </c>
      <c r="F384" s="28" t="s">
        <v>306</v>
      </c>
      <c r="G384" s="28">
        <v>45921</v>
      </c>
      <c r="H384" s="23" t="s">
        <v>499</v>
      </c>
      <c r="I384" s="33" t="s">
        <v>14</v>
      </c>
      <c r="J384" s="23">
        <v>1</v>
      </c>
      <c r="K384" s="23">
        <v>1</v>
      </c>
      <c r="L384" s="35">
        <v>0</v>
      </c>
      <c r="M384" s="23">
        <v>2</v>
      </c>
      <c r="N384" s="23">
        <v>2</v>
      </c>
      <c r="O384" s="49">
        <v>0</v>
      </c>
      <c r="P384" s="45" t="s">
        <v>159</v>
      </c>
      <c r="Q384" s="23" t="s">
        <v>55</v>
      </c>
      <c r="R384" s="23" t="s">
        <v>311</v>
      </c>
      <c r="S384" s="22" t="s">
        <v>9</v>
      </c>
    </row>
    <row r="385" spans="1:19" ht="12.75" customHeight="1" x14ac:dyDescent="0.25">
      <c r="A385" s="47" t="s">
        <v>497</v>
      </c>
      <c r="B385" s="23" t="s">
        <v>847</v>
      </c>
      <c r="C385" s="28">
        <v>45911</v>
      </c>
      <c r="D385" s="30" t="s">
        <v>308</v>
      </c>
      <c r="E385" s="28" t="s">
        <v>297</v>
      </c>
      <c r="F385" s="28" t="s">
        <v>848</v>
      </c>
      <c r="G385" s="28">
        <v>45921</v>
      </c>
      <c r="H385" s="23" t="s">
        <v>499</v>
      </c>
      <c r="I385" s="33" t="s">
        <v>14</v>
      </c>
      <c r="J385" s="23">
        <v>1</v>
      </c>
      <c r="K385" s="23">
        <v>1</v>
      </c>
      <c r="L385" s="35">
        <v>0</v>
      </c>
      <c r="M385" s="23">
        <v>2</v>
      </c>
      <c r="N385" s="23">
        <v>2</v>
      </c>
      <c r="O385" s="49">
        <v>0</v>
      </c>
      <c r="P385" s="45" t="s">
        <v>159</v>
      </c>
      <c r="Q385" s="23" t="s">
        <v>55</v>
      </c>
      <c r="R385" s="23" t="s">
        <v>311</v>
      </c>
      <c r="S385" s="22" t="s">
        <v>9</v>
      </c>
    </row>
    <row r="386" spans="1:19" ht="12.75" customHeight="1" x14ac:dyDescent="0.25">
      <c r="A386" s="47" t="s">
        <v>497</v>
      </c>
      <c r="B386" s="23" t="s">
        <v>849</v>
      </c>
      <c r="C386" s="28">
        <v>45915</v>
      </c>
      <c r="D386" s="30" t="s">
        <v>308</v>
      </c>
      <c r="E386" s="28" t="s">
        <v>822</v>
      </c>
      <c r="F386" s="28" t="s">
        <v>273</v>
      </c>
      <c r="G386" s="28">
        <v>45925</v>
      </c>
      <c r="H386" s="23" t="s">
        <v>499</v>
      </c>
      <c r="I386" s="33" t="s">
        <v>14</v>
      </c>
      <c r="J386" s="23">
        <v>1</v>
      </c>
      <c r="K386" s="23">
        <v>1</v>
      </c>
      <c r="L386" s="35">
        <v>0</v>
      </c>
      <c r="M386" s="23">
        <v>1</v>
      </c>
      <c r="N386" s="23">
        <v>1</v>
      </c>
      <c r="O386" s="49">
        <v>0</v>
      </c>
      <c r="P386" s="45" t="s">
        <v>159</v>
      </c>
      <c r="Q386" s="23" t="s">
        <v>55</v>
      </c>
      <c r="R386" s="23" t="s">
        <v>311</v>
      </c>
      <c r="S386" s="22" t="s">
        <v>9</v>
      </c>
    </row>
    <row r="387" spans="1:19" ht="12.75" customHeight="1" x14ac:dyDescent="0.25">
      <c r="A387" s="47" t="s">
        <v>497</v>
      </c>
      <c r="B387" s="23" t="s">
        <v>850</v>
      </c>
      <c r="C387" s="28">
        <v>45921</v>
      </c>
      <c r="D387" s="30" t="s">
        <v>308</v>
      </c>
      <c r="E387" s="28" t="s">
        <v>835</v>
      </c>
      <c r="F387" s="28" t="s">
        <v>851</v>
      </c>
      <c r="G387" s="28">
        <v>45931</v>
      </c>
      <c r="H387" s="23" t="s">
        <v>499</v>
      </c>
      <c r="I387" s="33" t="s">
        <v>14</v>
      </c>
      <c r="J387" s="23">
        <v>1</v>
      </c>
      <c r="K387" s="23">
        <v>1</v>
      </c>
      <c r="L387" s="35">
        <v>0</v>
      </c>
      <c r="M387" s="23">
        <v>1</v>
      </c>
      <c r="N387" s="23">
        <v>1</v>
      </c>
      <c r="O387" s="49">
        <v>0</v>
      </c>
      <c r="P387" s="45" t="s">
        <v>159</v>
      </c>
      <c r="Q387" s="23" t="s">
        <v>55</v>
      </c>
      <c r="R387" s="23" t="s">
        <v>311</v>
      </c>
      <c r="S387" s="22" t="s">
        <v>9</v>
      </c>
    </row>
    <row r="388" spans="1:19" ht="12.75" customHeight="1" x14ac:dyDescent="0.25">
      <c r="A388" s="47" t="s">
        <v>497</v>
      </c>
      <c r="B388" s="23" t="s">
        <v>852</v>
      </c>
      <c r="C388" s="28">
        <v>45927</v>
      </c>
      <c r="D388" s="30" t="s">
        <v>308</v>
      </c>
      <c r="E388" s="28" t="s">
        <v>330</v>
      </c>
      <c r="F388" s="28" t="s">
        <v>310</v>
      </c>
      <c r="G388" s="28">
        <v>45937</v>
      </c>
      <c r="H388" s="23" t="s">
        <v>499</v>
      </c>
      <c r="I388" s="33" t="s">
        <v>14</v>
      </c>
      <c r="J388" s="23">
        <v>1</v>
      </c>
      <c r="K388" s="23">
        <v>1</v>
      </c>
      <c r="L388" s="35">
        <v>0</v>
      </c>
      <c r="M388" s="23">
        <v>1</v>
      </c>
      <c r="N388" s="23">
        <v>1</v>
      </c>
      <c r="O388" s="49">
        <v>0</v>
      </c>
      <c r="P388" s="45" t="s">
        <v>159</v>
      </c>
      <c r="Q388" s="23" t="s">
        <v>55</v>
      </c>
      <c r="R388" s="23" t="s">
        <v>311</v>
      </c>
      <c r="S388" s="22" t="s">
        <v>9</v>
      </c>
    </row>
    <row r="389" spans="1:19" ht="12.75" customHeight="1" x14ac:dyDescent="0.25">
      <c r="A389" s="47" t="s">
        <v>497</v>
      </c>
      <c r="B389" s="23" t="s">
        <v>853</v>
      </c>
      <c r="C389" s="28">
        <v>45927</v>
      </c>
      <c r="D389" s="30" t="s">
        <v>308</v>
      </c>
      <c r="E389" s="28" t="s">
        <v>330</v>
      </c>
      <c r="F389" s="28" t="s">
        <v>848</v>
      </c>
      <c r="G389" s="28">
        <v>45937</v>
      </c>
      <c r="H389" s="23" t="s">
        <v>499</v>
      </c>
      <c r="I389" s="33" t="s">
        <v>14</v>
      </c>
      <c r="J389" s="23">
        <v>1</v>
      </c>
      <c r="K389" s="23">
        <v>1</v>
      </c>
      <c r="L389" s="35">
        <v>0</v>
      </c>
      <c r="M389" s="23">
        <v>2</v>
      </c>
      <c r="N389" s="23">
        <v>2</v>
      </c>
      <c r="O389" s="49">
        <v>0</v>
      </c>
      <c r="P389" s="45" t="s">
        <v>159</v>
      </c>
      <c r="Q389" s="23" t="s">
        <v>55</v>
      </c>
      <c r="R389" s="23" t="s">
        <v>311</v>
      </c>
      <c r="S389" s="22" t="s">
        <v>9</v>
      </c>
    </row>
    <row r="390" spans="1:19" ht="12.75" customHeight="1" x14ac:dyDescent="0.25">
      <c r="A390" s="47" t="s">
        <v>497</v>
      </c>
      <c r="B390" s="23" t="s">
        <v>854</v>
      </c>
      <c r="C390" s="28">
        <v>45929</v>
      </c>
      <c r="D390" s="30" t="s">
        <v>308</v>
      </c>
      <c r="E390" s="28" t="s">
        <v>330</v>
      </c>
      <c r="F390" s="28" t="s">
        <v>855</v>
      </c>
      <c r="G390" s="28">
        <v>45939</v>
      </c>
      <c r="H390" s="23" t="s">
        <v>499</v>
      </c>
      <c r="I390" s="33" t="s">
        <v>14</v>
      </c>
      <c r="J390" s="23">
        <v>1</v>
      </c>
      <c r="K390" s="23">
        <v>1</v>
      </c>
      <c r="L390" s="35">
        <v>0</v>
      </c>
      <c r="M390" s="23">
        <v>2</v>
      </c>
      <c r="N390" s="23">
        <v>2</v>
      </c>
      <c r="O390" s="49">
        <v>0</v>
      </c>
      <c r="P390" s="45" t="s">
        <v>159</v>
      </c>
      <c r="Q390" s="23" t="s">
        <v>55</v>
      </c>
      <c r="R390" s="23" t="s">
        <v>311</v>
      </c>
      <c r="S390" s="22" t="s">
        <v>9</v>
      </c>
    </row>
    <row r="391" spans="1:19" ht="12.75" customHeight="1" thickBot="1" x14ac:dyDescent="0.3">
      <c r="A391" s="51" t="s">
        <v>497</v>
      </c>
      <c r="B391" s="20" t="s">
        <v>856</v>
      </c>
      <c r="C391" s="25">
        <v>45930</v>
      </c>
      <c r="D391" s="27" t="s">
        <v>308</v>
      </c>
      <c r="E391" s="25" t="s">
        <v>333</v>
      </c>
      <c r="F391" s="25" t="s">
        <v>848</v>
      </c>
      <c r="G391" s="25">
        <v>45940</v>
      </c>
      <c r="H391" s="20" t="s">
        <v>499</v>
      </c>
      <c r="I391" s="32" t="s">
        <v>14</v>
      </c>
      <c r="J391" s="20">
        <v>1</v>
      </c>
      <c r="K391" s="20">
        <v>1</v>
      </c>
      <c r="L391" s="34">
        <v>0</v>
      </c>
      <c r="M391" s="20">
        <v>2</v>
      </c>
      <c r="N391" s="20">
        <v>2</v>
      </c>
      <c r="O391" s="54">
        <v>0</v>
      </c>
      <c r="P391" s="45" t="s">
        <v>159</v>
      </c>
      <c r="Q391" s="23" t="s">
        <v>55</v>
      </c>
      <c r="R391" s="23" t="s">
        <v>311</v>
      </c>
      <c r="S391" s="22" t="s">
        <v>9</v>
      </c>
    </row>
    <row r="392" spans="1:19" ht="17.25" customHeight="1" x14ac:dyDescent="0.25">
      <c r="A392" s="60"/>
      <c r="B392" s="50"/>
      <c r="C392" s="55"/>
      <c r="D392" s="56"/>
      <c r="E392" s="56"/>
      <c r="F392" s="57"/>
      <c r="G392" s="57"/>
      <c r="H392" s="57"/>
      <c r="I392" s="58" t="s">
        <v>1087</v>
      </c>
      <c r="J392" s="57">
        <f>SUM(J373:J391)</f>
        <v>19</v>
      </c>
      <c r="K392" s="57">
        <f>SUM(K373:K391)</f>
        <v>19</v>
      </c>
      <c r="L392" s="59">
        <f>(SUM(K373:K391) - SUM(J373:J391)) / SUM(K373:K391)</f>
        <v>0</v>
      </c>
      <c r="M392" s="57">
        <f>SUM(M373:M391)</f>
        <v>43</v>
      </c>
      <c r="N392" s="56">
        <f>SUM(N373:N391)</f>
        <v>43</v>
      </c>
      <c r="O392" s="61">
        <f>(SUM(M373:M391) - SUM(N373:N391)) / SUM(M373:M391)</f>
        <v>0</v>
      </c>
      <c r="P392" s="52"/>
      <c r="Q392" s="53"/>
      <c r="R392" s="52"/>
      <c r="S392" s="52"/>
    </row>
    <row r="393" spans="1:19" x14ac:dyDescent="0.25">
      <c r="A393" s="125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2"/>
      <c r="M393" s="121"/>
      <c r="N393" s="121"/>
      <c r="O393" s="127"/>
      <c r="P393" s="120"/>
      <c r="Q393" s="120"/>
      <c r="R393" s="120"/>
      <c r="S393" s="120"/>
    </row>
    <row r="394" spans="1:19" ht="15.75" thickBot="1" x14ac:dyDescent="0.3">
      <c r="A394" s="126"/>
      <c r="B394" s="123"/>
      <c r="C394" s="124"/>
      <c r="D394" s="123"/>
      <c r="E394" s="123"/>
      <c r="F394" s="123"/>
      <c r="G394" s="124"/>
      <c r="H394" s="123"/>
      <c r="I394" s="123"/>
      <c r="J394" s="123"/>
      <c r="K394" s="123"/>
      <c r="L394" s="123"/>
      <c r="M394" s="123"/>
      <c r="N394" s="123"/>
      <c r="O394" s="128"/>
      <c r="P394" s="98"/>
      <c r="Q394" s="98"/>
      <c r="R394" s="98"/>
      <c r="S394" s="98"/>
    </row>
    <row r="395" spans="1:19" ht="15.75" thickBot="1" x14ac:dyDescent="0.3">
      <c r="C395" s="1"/>
      <c r="G395" s="1"/>
    </row>
    <row r="396" spans="1:19" x14ac:dyDescent="0.25">
      <c r="A396" s="9"/>
      <c r="B396" s="10"/>
      <c r="C396" s="11"/>
      <c r="D396" s="11"/>
      <c r="E396" s="11"/>
      <c r="F396" s="11"/>
      <c r="G396" s="11"/>
      <c r="H396" s="12"/>
      <c r="I396" s="11"/>
      <c r="J396" s="13"/>
      <c r="K396" s="13"/>
      <c r="L396" s="13"/>
      <c r="M396" s="13"/>
      <c r="N396" s="11"/>
      <c r="O396" s="14"/>
      <c r="P396" s="4"/>
      <c r="Q396" s="5"/>
      <c r="R396" s="4"/>
      <c r="S396" s="4"/>
    </row>
    <row r="397" spans="1:19" x14ac:dyDescent="0.25">
      <c r="A397" s="6" t="s">
        <v>1095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15"/>
      <c r="P397" s="3"/>
      <c r="Q397" s="3"/>
      <c r="R397" s="3"/>
      <c r="S397" s="3"/>
    </row>
    <row r="398" spans="1:19" x14ac:dyDescent="0.25">
      <c r="A398" s="7" t="s">
        <v>81</v>
      </c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15"/>
      <c r="P398" s="3"/>
      <c r="Q398" s="3"/>
      <c r="R398" s="3"/>
      <c r="S398" s="3"/>
    </row>
    <row r="399" spans="1:19" ht="15.75" thickBot="1" x14ac:dyDescent="0.3">
      <c r="A399" s="8"/>
      <c r="B399" s="8"/>
      <c r="C399" s="74"/>
      <c r="D399" s="8"/>
      <c r="E399" s="8"/>
      <c r="F399" s="8"/>
      <c r="G399" s="74"/>
      <c r="H399" s="8"/>
      <c r="I399" s="8"/>
      <c r="J399" s="8"/>
      <c r="K399" s="8"/>
      <c r="L399" s="8"/>
      <c r="M399" s="8"/>
      <c r="N399" s="8"/>
      <c r="O399" s="16"/>
      <c r="P399" s="3"/>
      <c r="Q399" s="3"/>
      <c r="R399" s="3"/>
      <c r="S399" s="3"/>
    </row>
    <row r="400" spans="1:19" ht="17.25" customHeight="1" thickBot="1" x14ac:dyDescent="0.3">
      <c r="A400" s="19" t="s">
        <v>1068</v>
      </c>
      <c r="B400" s="24" t="s">
        <v>1069</v>
      </c>
      <c r="C400" s="26" t="s">
        <v>1070</v>
      </c>
      <c r="D400" s="29" t="s">
        <v>1071</v>
      </c>
      <c r="E400" s="26" t="s">
        <v>1072</v>
      </c>
      <c r="F400" s="31" t="s">
        <v>1073</v>
      </c>
      <c r="G400" s="31" t="s">
        <v>1074</v>
      </c>
      <c r="H400" s="31" t="s">
        <v>1075</v>
      </c>
      <c r="I400" s="29" t="s">
        <v>14</v>
      </c>
      <c r="J400" s="29" t="s">
        <v>1076</v>
      </c>
      <c r="K400" s="29" t="s">
        <v>1077</v>
      </c>
      <c r="L400" s="29" t="s">
        <v>1078</v>
      </c>
      <c r="M400" s="29" t="s">
        <v>1079</v>
      </c>
      <c r="N400" s="29" t="s">
        <v>1080</v>
      </c>
      <c r="O400" s="36" t="s">
        <v>1081</v>
      </c>
      <c r="P400" s="37" t="s">
        <v>1082</v>
      </c>
      <c r="Q400" s="38" t="s">
        <v>1083</v>
      </c>
      <c r="R400" s="38" t="s">
        <v>1084</v>
      </c>
      <c r="S400" s="39" t="s">
        <v>1085</v>
      </c>
    </row>
    <row r="401" spans="1:19" ht="12.75" customHeight="1" x14ac:dyDescent="0.25">
      <c r="A401" s="46" t="s">
        <v>497</v>
      </c>
      <c r="B401" s="40" t="s">
        <v>857</v>
      </c>
      <c r="C401" s="41">
        <v>45937</v>
      </c>
      <c r="D401" s="42" t="s">
        <v>322</v>
      </c>
      <c r="E401" s="41" t="s">
        <v>301</v>
      </c>
      <c r="F401" s="41" t="s">
        <v>858</v>
      </c>
      <c r="G401" s="41">
        <v>45947</v>
      </c>
      <c r="H401" s="40" t="s">
        <v>499</v>
      </c>
      <c r="I401" s="43"/>
      <c r="J401" s="40">
        <v>0</v>
      </c>
      <c r="K401" s="40">
        <v>1</v>
      </c>
      <c r="L401" s="44">
        <v>1</v>
      </c>
      <c r="M401" s="40">
        <v>1</v>
      </c>
      <c r="N401" s="40">
        <v>0</v>
      </c>
      <c r="O401" s="48">
        <v>1</v>
      </c>
      <c r="P401" s="45" t="s">
        <v>159</v>
      </c>
      <c r="Q401" s="23" t="s">
        <v>81</v>
      </c>
      <c r="R401" s="23" t="s">
        <v>325</v>
      </c>
      <c r="S401" s="22" t="s">
        <v>9</v>
      </c>
    </row>
    <row r="402" spans="1:19" ht="12.75" customHeight="1" x14ac:dyDescent="0.25">
      <c r="A402" s="47" t="s">
        <v>497</v>
      </c>
      <c r="B402" s="23" t="s">
        <v>859</v>
      </c>
      <c r="C402" s="28">
        <v>45941</v>
      </c>
      <c r="D402" s="30" t="s">
        <v>322</v>
      </c>
      <c r="E402" s="28" t="s">
        <v>860</v>
      </c>
      <c r="F402" s="28" t="s">
        <v>861</v>
      </c>
      <c r="G402" s="28">
        <v>45951</v>
      </c>
      <c r="H402" s="23" t="s">
        <v>499</v>
      </c>
      <c r="I402" s="33" t="s">
        <v>14</v>
      </c>
      <c r="J402" s="23">
        <v>1</v>
      </c>
      <c r="K402" s="23">
        <v>1</v>
      </c>
      <c r="L402" s="35">
        <v>0</v>
      </c>
      <c r="M402" s="23">
        <v>3</v>
      </c>
      <c r="N402" s="23">
        <v>3</v>
      </c>
      <c r="O402" s="49">
        <v>0</v>
      </c>
      <c r="P402" s="45" t="s">
        <v>159</v>
      </c>
      <c r="Q402" s="23" t="s">
        <v>81</v>
      </c>
      <c r="R402" s="23" t="s">
        <v>325</v>
      </c>
      <c r="S402" s="22" t="s">
        <v>9</v>
      </c>
    </row>
    <row r="403" spans="1:19" ht="12.75" customHeight="1" x14ac:dyDescent="0.25">
      <c r="A403" s="47" t="s">
        <v>497</v>
      </c>
      <c r="B403" s="23" t="s">
        <v>862</v>
      </c>
      <c r="C403" s="28">
        <v>45941</v>
      </c>
      <c r="D403" s="30" t="s">
        <v>322</v>
      </c>
      <c r="E403" s="28" t="s">
        <v>860</v>
      </c>
      <c r="F403" s="28" t="s">
        <v>835</v>
      </c>
      <c r="G403" s="28">
        <v>45951</v>
      </c>
      <c r="H403" s="23" t="s">
        <v>499</v>
      </c>
      <c r="I403" s="33" t="s">
        <v>14</v>
      </c>
      <c r="J403" s="23">
        <v>1</v>
      </c>
      <c r="K403" s="23">
        <v>1</v>
      </c>
      <c r="L403" s="35">
        <v>0</v>
      </c>
      <c r="M403" s="23">
        <v>2</v>
      </c>
      <c r="N403" s="23">
        <v>2</v>
      </c>
      <c r="O403" s="49">
        <v>0</v>
      </c>
      <c r="P403" s="45" t="s">
        <v>159</v>
      </c>
      <c r="Q403" s="23" t="s">
        <v>81</v>
      </c>
      <c r="R403" s="23" t="s">
        <v>325</v>
      </c>
      <c r="S403" s="22" t="s">
        <v>9</v>
      </c>
    </row>
    <row r="404" spans="1:19" ht="12.75" customHeight="1" x14ac:dyDescent="0.25">
      <c r="A404" s="47" t="s">
        <v>497</v>
      </c>
      <c r="B404" s="23" t="s">
        <v>863</v>
      </c>
      <c r="C404" s="28">
        <v>45941</v>
      </c>
      <c r="D404" s="30" t="s">
        <v>322</v>
      </c>
      <c r="E404" s="28" t="s">
        <v>323</v>
      </c>
      <c r="F404" s="28" t="s">
        <v>324</v>
      </c>
      <c r="G404" s="28">
        <v>45951</v>
      </c>
      <c r="H404" s="23" t="s">
        <v>499</v>
      </c>
      <c r="I404" s="33" t="s">
        <v>14</v>
      </c>
      <c r="J404" s="23">
        <v>1</v>
      </c>
      <c r="K404" s="23">
        <v>1</v>
      </c>
      <c r="L404" s="35">
        <v>0</v>
      </c>
      <c r="M404" s="23">
        <v>2</v>
      </c>
      <c r="N404" s="23">
        <v>2</v>
      </c>
      <c r="O404" s="49">
        <v>0</v>
      </c>
      <c r="P404" s="45" t="s">
        <v>159</v>
      </c>
      <c r="Q404" s="23" t="s">
        <v>81</v>
      </c>
      <c r="R404" s="23" t="s">
        <v>325</v>
      </c>
      <c r="S404" s="22" t="s">
        <v>9</v>
      </c>
    </row>
    <row r="405" spans="1:19" ht="12.75" customHeight="1" x14ac:dyDescent="0.25">
      <c r="A405" s="47" t="s">
        <v>497</v>
      </c>
      <c r="B405" s="23" t="s">
        <v>864</v>
      </c>
      <c r="C405" s="28">
        <v>45941</v>
      </c>
      <c r="D405" s="30" t="s">
        <v>322</v>
      </c>
      <c r="E405" s="28" t="s">
        <v>323</v>
      </c>
      <c r="F405" s="28" t="s">
        <v>865</v>
      </c>
      <c r="G405" s="28">
        <v>45951</v>
      </c>
      <c r="H405" s="23" t="s">
        <v>499</v>
      </c>
      <c r="I405" s="33" t="s">
        <v>14</v>
      </c>
      <c r="J405" s="23">
        <v>1</v>
      </c>
      <c r="K405" s="23">
        <v>1</v>
      </c>
      <c r="L405" s="35">
        <v>0</v>
      </c>
      <c r="M405" s="23">
        <v>2</v>
      </c>
      <c r="N405" s="23">
        <v>2</v>
      </c>
      <c r="O405" s="49">
        <v>0</v>
      </c>
      <c r="P405" s="45" t="s">
        <v>159</v>
      </c>
      <c r="Q405" s="23" t="s">
        <v>81</v>
      </c>
      <c r="R405" s="23" t="s">
        <v>325</v>
      </c>
      <c r="S405" s="22" t="s">
        <v>9</v>
      </c>
    </row>
    <row r="406" spans="1:19" ht="12.75" customHeight="1" x14ac:dyDescent="0.25">
      <c r="A406" s="47" t="s">
        <v>497</v>
      </c>
      <c r="B406" s="23" t="s">
        <v>866</v>
      </c>
      <c r="C406" s="28">
        <v>45942</v>
      </c>
      <c r="D406" s="30" t="s">
        <v>322</v>
      </c>
      <c r="E406" s="28" t="s">
        <v>860</v>
      </c>
      <c r="F406" s="28" t="s">
        <v>861</v>
      </c>
      <c r="G406" s="28">
        <v>45952</v>
      </c>
      <c r="H406" s="23" t="s">
        <v>499</v>
      </c>
      <c r="I406" s="33" t="s">
        <v>14</v>
      </c>
      <c r="J406" s="23">
        <v>1</v>
      </c>
      <c r="K406" s="23">
        <v>1</v>
      </c>
      <c r="L406" s="35">
        <v>0</v>
      </c>
      <c r="M406" s="23">
        <v>2</v>
      </c>
      <c r="N406" s="23">
        <v>2</v>
      </c>
      <c r="O406" s="49">
        <v>0</v>
      </c>
      <c r="P406" s="45" t="s">
        <v>159</v>
      </c>
      <c r="Q406" s="23" t="s">
        <v>81</v>
      </c>
      <c r="R406" s="23" t="s">
        <v>325</v>
      </c>
      <c r="S406" s="22" t="s">
        <v>9</v>
      </c>
    </row>
    <row r="407" spans="1:19" ht="12.75" customHeight="1" x14ac:dyDescent="0.25">
      <c r="A407" s="47" t="s">
        <v>497</v>
      </c>
      <c r="B407" s="23" t="s">
        <v>867</v>
      </c>
      <c r="C407" s="28">
        <v>45942</v>
      </c>
      <c r="D407" s="30" t="s">
        <v>322</v>
      </c>
      <c r="E407" s="28" t="s">
        <v>330</v>
      </c>
      <c r="F407" s="28" t="s">
        <v>868</v>
      </c>
      <c r="G407" s="28">
        <v>45952</v>
      </c>
      <c r="H407" s="23" t="s">
        <v>499</v>
      </c>
      <c r="I407" s="33" t="s">
        <v>14</v>
      </c>
      <c r="J407" s="23">
        <v>1</v>
      </c>
      <c r="K407" s="23">
        <v>1</v>
      </c>
      <c r="L407" s="35">
        <v>0</v>
      </c>
      <c r="M407" s="23">
        <v>2</v>
      </c>
      <c r="N407" s="23">
        <v>2</v>
      </c>
      <c r="O407" s="49">
        <v>0</v>
      </c>
      <c r="P407" s="45" t="s">
        <v>159</v>
      </c>
      <c r="Q407" s="23" t="s">
        <v>81</v>
      </c>
      <c r="R407" s="23" t="s">
        <v>325</v>
      </c>
      <c r="S407" s="22" t="s">
        <v>9</v>
      </c>
    </row>
    <row r="408" spans="1:19" ht="12.75" customHeight="1" x14ac:dyDescent="0.25">
      <c r="A408" s="47" t="s">
        <v>497</v>
      </c>
      <c r="B408" s="23" t="s">
        <v>869</v>
      </c>
      <c r="C408" s="28">
        <v>45942</v>
      </c>
      <c r="D408" s="30" t="s">
        <v>322</v>
      </c>
      <c r="E408" s="28" t="s">
        <v>860</v>
      </c>
      <c r="F408" s="28" t="s">
        <v>301</v>
      </c>
      <c r="G408" s="28">
        <v>45952</v>
      </c>
      <c r="H408" s="23" t="s">
        <v>499</v>
      </c>
      <c r="I408" s="33" t="s">
        <v>14</v>
      </c>
      <c r="J408" s="23">
        <v>1</v>
      </c>
      <c r="K408" s="23">
        <v>1</v>
      </c>
      <c r="L408" s="35">
        <v>0</v>
      </c>
      <c r="M408" s="23">
        <v>2</v>
      </c>
      <c r="N408" s="23">
        <v>2</v>
      </c>
      <c r="O408" s="49">
        <v>0</v>
      </c>
      <c r="P408" s="45" t="s">
        <v>159</v>
      </c>
      <c r="Q408" s="23" t="s">
        <v>81</v>
      </c>
      <c r="R408" s="23" t="s">
        <v>325</v>
      </c>
      <c r="S408" s="22" t="s">
        <v>9</v>
      </c>
    </row>
    <row r="409" spans="1:19" ht="12.75" customHeight="1" thickBot="1" x14ac:dyDescent="0.3">
      <c r="A409" s="51" t="s">
        <v>497</v>
      </c>
      <c r="B409" s="20" t="s">
        <v>870</v>
      </c>
      <c r="C409" s="25">
        <v>45945</v>
      </c>
      <c r="D409" s="27" t="s">
        <v>322</v>
      </c>
      <c r="E409" s="25" t="s">
        <v>330</v>
      </c>
      <c r="F409" s="25" t="s">
        <v>333</v>
      </c>
      <c r="G409" s="25">
        <v>45955</v>
      </c>
      <c r="H409" s="20" t="s">
        <v>499</v>
      </c>
      <c r="I409" s="32" t="s">
        <v>14</v>
      </c>
      <c r="J409" s="20">
        <v>1</v>
      </c>
      <c r="K409" s="20">
        <v>1</v>
      </c>
      <c r="L409" s="34">
        <v>0</v>
      </c>
      <c r="M409" s="20">
        <v>9</v>
      </c>
      <c r="N409" s="20">
        <v>9</v>
      </c>
      <c r="O409" s="54">
        <v>0</v>
      </c>
      <c r="P409" s="45" t="s">
        <v>159</v>
      </c>
      <c r="Q409" s="23" t="s">
        <v>81</v>
      </c>
      <c r="R409" s="23" t="s">
        <v>325</v>
      </c>
      <c r="S409" s="22" t="s">
        <v>9</v>
      </c>
    </row>
    <row r="410" spans="1:19" ht="17.25" customHeight="1" x14ac:dyDescent="0.25">
      <c r="A410" s="60"/>
      <c r="B410" s="50"/>
      <c r="C410" s="55"/>
      <c r="D410" s="56"/>
      <c r="E410" s="56"/>
      <c r="F410" s="57"/>
      <c r="G410" s="57"/>
      <c r="H410" s="57"/>
      <c r="I410" s="58" t="s">
        <v>1087</v>
      </c>
      <c r="J410" s="57">
        <f>SUM(J401:J409)</f>
        <v>8</v>
      </c>
      <c r="K410" s="57">
        <f>SUM(K401:K409)</f>
        <v>9</v>
      </c>
      <c r="L410" s="59">
        <f>(SUM(K401:K409) - SUM(J401:J409)) / SUM(K401:K409)</f>
        <v>0.1111111111111111</v>
      </c>
      <c r="M410" s="57">
        <f>SUM(M401:M409)</f>
        <v>25</v>
      </c>
      <c r="N410" s="56">
        <f>SUM(N401:N409)</f>
        <v>24</v>
      </c>
      <c r="O410" s="61">
        <f>(SUM(M401:M409) - SUM(N401:N409)) / SUM(M401:M409)</f>
        <v>0.04</v>
      </c>
      <c r="P410" s="52"/>
      <c r="Q410" s="53"/>
      <c r="R410" s="52"/>
      <c r="S410" s="52"/>
    </row>
    <row r="411" spans="1:19" x14ac:dyDescent="0.25">
      <c r="A411" s="125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2"/>
      <c r="M411" s="121"/>
      <c r="N411" s="121"/>
      <c r="O411" s="127"/>
      <c r="P411" s="120"/>
      <c r="Q411" s="120"/>
      <c r="R411" s="120"/>
      <c r="S411" s="120"/>
    </row>
    <row r="412" spans="1:19" ht="15.75" thickBot="1" x14ac:dyDescent="0.3">
      <c r="A412" s="126"/>
      <c r="B412" s="123"/>
      <c r="C412" s="124"/>
      <c r="D412" s="123"/>
      <c r="E412" s="123"/>
      <c r="F412" s="123"/>
      <c r="G412" s="124"/>
      <c r="H412" s="123"/>
      <c r="I412" s="123"/>
      <c r="J412" s="123"/>
      <c r="K412" s="123"/>
      <c r="L412" s="123"/>
      <c r="M412" s="123"/>
      <c r="N412" s="123"/>
      <c r="O412" s="128"/>
      <c r="P412" s="98"/>
      <c r="Q412" s="98"/>
      <c r="R412" s="98"/>
      <c r="S412" s="98"/>
    </row>
    <row r="413" spans="1:19" ht="15.75" thickBot="1" x14ac:dyDescent="0.3">
      <c r="C413" s="1"/>
      <c r="G413" s="1"/>
    </row>
    <row r="414" spans="1:19" x14ac:dyDescent="0.25">
      <c r="A414" s="9"/>
      <c r="B414" s="10"/>
      <c r="C414" s="11"/>
      <c r="D414" s="11"/>
      <c r="E414" s="11"/>
      <c r="F414" s="11"/>
      <c r="G414" s="11"/>
      <c r="H414" s="12"/>
      <c r="I414" s="11"/>
      <c r="J414" s="13"/>
      <c r="K414" s="13"/>
      <c r="L414" s="13"/>
      <c r="M414" s="13"/>
      <c r="N414" s="11"/>
      <c r="O414" s="14"/>
      <c r="P414" s="4"/>
      <c r="Q414" s="5"/>
      <c r="R414" s="4"/>
      <c r="S414" s="4"/>
    </row>
    <row r="415" spans="1:19" x14ac:dyDescent="0.25">
      <c r="A415" s="6" t="s">
        <v>1095</v>
      </c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15"/>
      <c r="P415" s="3"/>
      <c r="Q415" s="3"/>
      <c r="R415" s="3"/>
      <c r="S415" s="3"/>
    </row>
    <row r="416" spans="1:19" x14ac:dyDescent="0.25">
      <c r="A416" s="7" t="s">
        <v>107</v>
      </c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15"/>
      <c r="P416" s="3"/>
      <c r="Q416" s="3"/>
      <c r="R416" s="3"/>
      <c r="S416" s="3"/>
    </row>
    <row r="417" spans="1:19" ht="15.75" thickBot="1" x14ac:dyDescent="0.3">
      <c r="A417" s="8"/>
      <c r="B417" s="8"/>
      <c r="C417" s="74"/>
      <c r="D417" s="8"/>
      <c r="E417" s="8"/>
      <c r="F417" s="8"/>
      <c r="G417" s="74"/>
      <c r="H417" s="8"/>
      <c r="I417" s="8"/>
      <c r="J417" s="8"/>
      <c r="K417" s="8"/>
      <c r="L417" s="8"/>
      <c r="M417" s="8"/>
      <c r="N417" s="8"/>
      <c r="O417" s="16"/>
      <c r="P417" s="3"/>
      <c r="Q417" s="3"/>
      <c r="R417" s="3"/>
      <c r="S417" s="3"/>
    </row>
    <row r="418" spans="1:19" ht="17.25" customHeight="1" thickBot="1" x14ac:dyDescent="0.3">
      <c r="A418" s="19" t="s">
        <v>1068</v>
      </c>
      <c r="B418" s="24" t="s">
        <v>1069</v>
      </c>
      <c r="C418" s="26" t="s">
        <v>1070</v>
      </c>
      <c r="D418" s="29" t="s">
        <v>1071</v>
      </c>
      <c r="E418" s="26" t="s">
        <v>1072</v>
      </c>
      <c r="F418" s="31" t="s">
        <v>1073</v>
      </c>
      <c r="G418" s="31" t="s">
        <v>1074</v>
      </c>
      <c r="H418" s="31" t="s">
        <v>1075</v>
      </c>
      <c r="I418" s="29" t="s">
        <v>14</v>
      </c>
      <c r="J418" s="29" t="s">
        <v>1076</v>
      </c>
      <c r="K418" s="29" t="s">
        <v>1077</v>
      </c>
      <c r="L418" s="29" t="s">
        <v>1078</v>
      </c>
      <c r="M418" s="29" t="s">
        <v>1079</v>
      </c>
      <c r="N418" s="29" t="s">
        <v>1080</v>
      </c>
      <c r="O418" s="36" t="s">
        <v>1081</v>
      </c>
      <c r="P418" s="37" t="s">
        <v>1082</v>
      </c>
      <c r="Q418" s="38" t="s">
        <v>1083</v>
      </c>
      <c r="R418" s="38" t="s">
        <v>1084</v>
      </c>
      <c r="S418" s="39" t="s">
        <v>1085</v>
      </c>
    </row>
    <row r="419" spans="1:19" ht="12.75" customHeight="1" x14ac:dyDescent="0.25">
      <c r="A419" s="46" t="s">
        <v>497</v>
      </c>
      <c r="B419" s="40" t="s">
        <v>871</v>
      </c>
      <c r="C419" s="41">
        <v>45963</v>
      </c>
      <c r="D419" s="42" t="s">
        <v>338</v>
      </c>
      <c r="E419" s="41" t="s">
        <v>330</v>
      </c>
      <c r="F419" s="41" t="s">
        <v>865</v>
      </c>
      <c r="G419" s="41">
        <v>45973</v>
      </c>
      <c r="H419" s="40" t="s">
        <v>499</v>
      </c>
      <c r="I419" s="43"/>
      <c r="J419" s="40">
        <v>0</v>
      </c>
      <c r="K419" s="40">
        <v>1</v>
      </c>
      <c r="L419" s="44">
        <v>1</v>
      </c>
      <c r="M419" s="40">
        <v>16</v>
      </c>
      <c r="N419" s="40">
        <v>0</v>
      </c>
      <c r="O419" s="48">
        <v>1</v>
      </c>
      <c r="P419" s="45" t="s">
        <v>159</v>
      </c>
      <c r="Q419" s="23" t="s">
        <v>107</v>
      </c>
      <c r="R419" s="23" t="s">
        <v>341</v>
      </c>
      <c r="S419" s="22" t="s">
        <v>9</v>
      </c>
    </row>
    <row r="420" spans="1:19" ht="12.75" customHeight="1" x14ac:dyDescent="0.25">
      <c r="A420" s="47" t="s">
        <v>497</v>
      </c>
      <c r="B420" s="23" t="s">
        <v>872</v>
      </c>
      <c r="C420" s="28">
        <v>45970</v>
      </c>
      <c r="D420" s="30" t="s">
        <v>338</v>
      </c>
      <c r="E420" s="28" t="s">
        <v>345</v>
      </c>
      <c r="F420" s="28" t="s">
        <v>873</v>
      </c>
      <c r="G420" s="28">
        <v>45980</v>
      </c>
      <c r="H420" s="23" t="s">
        <v>499</v>
      </c>
      <c r="I420" s="33" t="s">
        <v>14</v>
      </c>
      <c r="J420" s="23">
        <v>1</v>
      </c>
      <c r="K420" s="23">
        <v>1</v>
      </c>
      <c r="L420" s="35">
        <v>0</v>
      </c>
      <c r="M420" s="23">
        <v>1</v>
      </c>
      <c r="N420" s="23">
        <v>1</v>
      </c>
      <c r="O420" s="49">
        <v>0</v>
      </c>
      <c r="P420" s="45" t="s">
        <v>159</v>
      </c>
      <c r="Q420" s="23" t="s">
        <v>107</v>
      </c>
      <c r="R420" s="23" t="s">
        <v>341</v>
      </c>
      <c r="S420" s="22" t="s">
        <v>9</v>
      </c>
    </row>
    <row r="421" spans="1:19" ht="12.75" customHeight="1" x14ac:dyDescent="0.25">
      <c r="A421" s="47" t="s">
        <v>497</v>
      </c>
      <c r="B421" s="23" t="s">
        <v>874</v>
      </c>
      <c r="C421" s="28">
        <v>45971</v>
      </c>
      <c r="D421" s="30" t="s">
        <v>338</v>
      </c>
      <c r="E421" s="28" t="s">
        <v>875</v>
      </c>
      <c r="F421" s="28" t="s">
        <v>334</v>
      </c>
      <c r="G421" s="28">
        <v>45981</v>
      </c>
      <c r="H421" s="23" t="s">
        <v>499</v>
      </c>
      <c r="I421" s="33" t="s">
        <v>14</v>
      </c>
      <c r="J421" s="23">
        <v>1</v>
      </c>
      <c r="K421" s="23">
        <v>1</v>
      </c>
      <c r="L421" s="35">
        <v>0</v>
      </c>
      <c r="M421" s="23">
        <v>1</v>
      </c>
      <c r="N421" s="23">
        <v>1</v>
      </c>
      <c r="O421" s="49">
        <v>0</v>
      </c>
      <c r="P421" s="45" t="s">
        <v>159</v>
      </c>
      <c r="Q421" s="23" t="s">
        <v>107</v>
      </c>
      <c r="R421" s="23" t="s">
        <v>341</v>
      </c>
      <c r="S421" s="22" t="s">
        <v>9</v>
      </c>
    </row>
    <row r="422" spans="1:19" ht="12.75" customHeight="1" x14ac:dyDescent="0.25">
      <c r="A422" s="47" t="s">
        <v>497</v>
      </c>
      <c r="B422" s="23" t="s">
        <v>876</v>
      </c>
      <c r="C422" s="28">
        <v>45972</v>
      </c>
      <c r="D422" s="30" t="s">
        <v>338</v>
      </c>
      <c r="E422" s="28" t="s">
        <v>877</v>
      </c>
      <c r="F422" s="28" t="s">
        <v>340</v>
      </c>
      <c r="G422" s="28">
        <v>45982</v>
      </c>
      <c r="H422" s="23" t="s">
        <v>499</v>
      </c>
      <c r="I422" s="33" t="s">
        <v>14</v>
      </c>
      <c r="J422" s="23">
        <v>1</v>
      </c>
      <c r="K422" s="23">
        <v>1</v>
      </c>
      <c r="L422" s="35">
        <v>0</v>
      </c>
      <c r="M422" s="23">
        <v>2</v>
      </c>
      <c r="N422" s="23">
        <v>2</v>
      </c>
      <c r="O422" s="49">
        <v>0</v>
      </c>
      <c r="P422" s="45" t="s">
        <v>159</v>
      </c>
      <c r="Q422" s="23" t="s">
        <v>107</v>
      </c>
      <c r="R422" s="23" t="s">
        <v>341</v>
      </c>
      <c r="S422" s="22" t="s">
        <v>9</v>
      </c>
    </row>
    <row r="423" spans="1:19" ht="12.75" customHeight="1" x14ac:dyDescent="0.25">
      <c r="A423" s="47" t="s">
        <v>497</v>
      </c>
      <c r="B423" s="23" t="s">
        <v>878</v>
      </c>
      <c r="C423" s="28">
        <v>45972</v>
      </c>
      <c r="D423" s="30" t="s">
        <v>338</v>
      </c>
      <c r="E423" s="28" t="s">
        <v>879</v>
      </c>
      <c r="F423" s="28" t="s">
        <v>880</v>
      </c>
      <c r="G423" s="28">
        <v>45982</v>
      </c>
      <c r="H423" s="23" t="s">
        <v>499</v>
      </c>
      <c r="I423" s="33"/>
      <c r="J423" s="23">
        <v>0</v>
      </c>
      <c r="K423" s="23">
        <v>1</v>
      </c>
      <c r="L423" s="35">
        <v>1</v>
      </c>
      <c r="M423" s="23">
        <v>2</v>
      </c>
      <c r="N423" s="23">
        <v>0</v>
      </c>
      <c r="O423" s="49">
        <v>1</v>
      </c>
      <c r="P423" s="45" t="s">
        <v>159</v>
      </c>
      <c r="Q423" s="23" t="s">
        <v>107</v>
      </c>
      <c r="R423" s="23" t="s">
        <v>341</v>
      </c>
      <c r="S423" s="22" t="s">
        <v>9</v>
      </c>
    </row>
    <row r="424" spans="1:19" ht="12.75" customHeight="1" x14ac:dyDescent="0.25">
      <c r="A424" s="47" t="s">
        <v>497</v>
      </c>
      <c r="B424" s="23" t="s">
        <v>881</v>
      </c>
      <c r="C424" s="28">
        <v>45972</v>
      </c>
      <c r="D424" s="30" t="s">
        <v>338</v>
      </c>
      <c r="E424" s="28" t="s">
        <v>345</v>
      </c>
      <c r="F424" s="28" t="s">
        <v>882</v>
      </c>
      <c r="G424" s="28">
        <v>45982</v>
      </c>
      <c r="H424" s="23" t="s">
        <v>499</v>
      </c>
      <c r="I424" s="33" t="s">
        <v>14</v>
      </c>
      <c r="J424" s="23">
        <v>1</v>
      </c>
      <c r="K424" s="23">
        <v>1</v>
      </c>
      <c r="L424" s="35">
        <v>0</v>
      </c>
      <c r="M424" s="23">
        <v>2</v>
      </c>
      <c r="N424" s="23">
        <v>2</v>
      </c>
      <c r="O424" s="49">
        <v>0</v>
      </c>
      <c r="P424" s="45" t="s">
        <v>159</v>
      </c>
      <c r="Q424" s="23" t="s">
        <v>107</v>
      </c>
      <c r="R424" s="23" t="s">
        <v>341</v>
      </c>
      <c r="S424" s="22" t="s">
        <v>9</v>
      </c>
    </row>
    <row r="425" spans="1:19" ht="12.75" customHeight="1" x14ac:dyDescent="0.25">
      <c r="A425" s="47" t="s">
        <v>497</v>
      </c>
      <c r="B425" s="23" t="s">
        <v>883</v>
      </c>
      <c r="C425" s="28">
        <v>45972</v>
      </c>
      <c r="D425" s="30" t="s">
        <v>338</v>
      </c>
      <c r="E425" s="28" t="s">
        <v>884</v>
      </c>
      <c r="F425" s="28" t="s">
        <v>885</v>
      </c>
      <c r="G425" s="28">
        <v>45982</v>
      </c>
      <c r="H425" s="23" t="s">
        <v>499</v>
      </c>
      <c r="I425" s="33" t="s">
        <v>14</v>
      </c>
      <c r="J425" s="23">
        <v>1</v>
      </c>
      <c r="K425" s="23">
        <v>1</v>
      </c>
      <c r="L425" s="35">
        <v>0</v>
      </c>
      <c r="M425" s="23">
        <v>3</v>
      </c>
      <c r="N425" s="23">
        <v>3</v>
      </c>
      <c r="O425" s="49">
        <v>0</v>
      </c>
      <c r="P425" s="45" t="s">
        <v>159</v>
      </c>
      <c r="Q425" s="23" t="s">
        <v>107</v>
      </c>
      <c r="R425" s="23" t="s">
        <v>341</v>
      </c>
      <c r="S425" s="22" t="s">
        <v>9</v>
      </c>
    </row>
    <row r="426" spans="1:19" ht="12.75" customHeight="1" x14ac:dyDescent="0.25">
      <c r="A426" s="47" t="s">
        <v>497</v>
      </c>
      <c r="B426" s="23" t="s">
        <v>886</v>
      </c>
      <c r="C426" s="28">
        <v>45975</v>
      </c>
      <c r="D426" s="30" t="s">
        <v>338</v>
      </c>
      <c r="E426" s="28" t="s">
        <v>875</v>
      </c>
      <c r="F426" s="28" t="s">
        <v>879</v>
      </c>
      <c r="G426" s="28">
        <v>45985</v>
      </c>
      <c r="H426" s="23" t="s">
        <v>499</v>
      </c>
      <c r="I426" s="33" t="s">
        <v>14</v>
      </c>
      <c r="J426" s="23">
        <v>1</v>
      </c>
      <c r="K426" s="23">
        <v>1</v>
      </c>
      <c r="L426" s="35">
        <v>0</v>
      </c>
      <c r="M426" s="23">
        <v>1</v>
      </c>
      <c r="N426" s="23">
        <v>1</v>
      </c>
      <c r="O426" s="49">
        <v>0</v>
      </c>
      <c r="P426" s="45" t="s">
        <v>159</v>
      </c>
      <c r="Q426" s="23" t="s">
        <v>107</v>
      </c>
      <c r="R426" s="23" t="s">
        <v>341</v>
      </c>
      <c r="S426" s="22" t="s">
        <v>9</v>
      </c>
    </row>
    <row r="427" spans="1:19" ht="12.75" customHeight="1" x14ac:dyDescent="0.25">
      <c r="A427" s="47" t="s">
        <v>497</v>
      </c>
      <c r="B427" s="23" t="s">
        <v>887</v>
      </c>
      <c r="C427" s="28">
        <v>45977</v>
      </c>
      <c r="D427" s="30" t="s">
        <v>338</v>
      </c>
      <c r="E427" s="28" t="s">
        <v>345</v>
      </c>
      <c r="F427" s="28" t="s">
        <v>323</v>
      </c>
      <c r="G427" s="28">
        <v>45987</v>
      </c>
      <c r="H427" s="23" t="s">
        <v>499</v>
      </c>
      <c r="I427" s="33" t="s">
        <v>14</v>
      </c>
      <c r="J427" s="23">
        <v>1</v>
      </c>
      <c r="K427" s="23">
        <v>1</v>
      </c>
      <c r="L427" s="35">
        <v>0</v>
      </c>
      <c r="M427" s="23">
        <v>4</v>
      </c>
      <c r="N427" s="23">
        <v>4</v>
      </c>
      <c r="O427" s="49">
        <v>0</v>
      </c>
      <c r="P427" s="45" t="s">
        <v>159</v>
      </c>
      <c r="Q427" s="23" t="s">
        <v>107</v>
      </c>
      <c r="R427" s="23" t="s">
        <v>341</v>
      </c>
      <c r="S427" s="22" t="s">
        <v>9</v>
      </c>
    </row>
    <row r="428" spans="1:19" ht="12.75" customHeight="1" x14ac:dyDescent="0.25">
      <c r="A428" s="47" t="s">
        <v>497</v>
      </c>
      <c r="B428" s="23" t="s">
        <v>888</v>
      </c>
      <c r="C428" s="28">
        <v>45977</v>
      </c>
      <c r="D428" s="30" t="s">
        <v>338</v>
      </c>
      <c r="E428" s="28" t="s">
        <v>875</v>
      </c>
      <c r="F428" s="28" t="s">
        <v>879</v>
      </c>
      <c r="G428" s="28">
        <v>45987</v>
      </c>
      <c r="H428" s="23" t="s">
        <v>499</v>
      </c>
      <c r="I428" s="33" t="s">
        <v>14</v>
      </c>
      <c r="J428" s="23">
        <v>1</v>
      </c>
      <c r="K428" s="23">
        <v>1</v>
      </c>
      <c r="L428" s="35">
        <v>0</v>
      </c>
      <c r="M428" s="23">
        <v>2</v>
      </c>
      <c r="N428" s="23">
        <v>2</v>
      </c>
      <c r="O428" s="49">
        <v>0</v>
      </c>
      <c r="P428" s="45" t="s">
        <v>159</v>
      </c>
      <c r="Q428" s="23" t="s">
        <v>107</v>
      </c>
      <c r="R428" s="23" t="s">
        <v>341</v>
      </c>
      <c r="S428" s="22" t="s">
        <v>9</v>
      </c>
    </row>
    <row r="429" spans="1:19" ht="12.75" customHeight="1" x14ac:dyDescent="0.25">
      <c r="A429" s="47" t="s">
        <v>497</v>
      </c>
      <c r="B429" s="23" t="s">
        <v>889</v>
      </c>
      <c r="C429" s="28">
        <v>45977</v>
      </c>
      <c r="D429" s="30" t="s">
        <v>338</v>
      </c>
      <c r="E429" s="28" t="s">
        <v>875</v>
      </c>
      <c r="F429" s="28" t="s">
        <v>890</v>
      </c>
      <c r="G429" s="28">
        <v>45987</v>
      </c>
      <c r="H429" s="23" t="s">
        <v>499</v>
      </c>
      <c r="I429" s="33" t="s">
        <v>14</v>
      </c>
      <c r="J429" s="23">
        <v>1</v>
      </c>
      <c r="K429" s="23">
        <v>1</v>
      </c>
      <c r="L429" s="35">
        <v>0</v>
      </c>
      <c r="M429" s="23">
        <v>1</v>
      </c>
      <c r="N429" s="23">
        <v>1</v>
      </c>
      <c r="O429" s="49">
        <v>0</v>
      </c>
      <c r="P429" s="45" t="s">
        <v>159</v>
      </c>
      <c r="Q429" s="23" t="s">
        <v>107</v>
      </c>
      <c r="R429" s="23" t="s">
        <v>341</v>
      </c>
      <c r="S429" s="22" t="s">
        <v>9</v>
      </c>
    </row>
    <row r="430" spans="1:19" ht="12.75" customHeight="1" x14ac:dyDescent="0.25">
      <c r="A430" s="47" t="s">
        <v>497</v>
      </c>
      <c r="B430" s="23" t="s">
        <v>891</v>
      </c>
      <c r="C430" s="28">
        <v>45977</v>
      </c>
      <c r="D430" s="30" t="s">
        <v>338</v>
      </c>
      <c r="E430" s="28" t="s">
        <v>879</v>
      </c>
      <c r="F430" s="28" t="s">
        <v>890</v>
      </c>
      <c r="G430" s="28">
        <v>45987</v>
      </c>
      <c r="H430" s="23" t="s">
        <v>499</v>
      </c>
      <c r="I430" s="33"/>
      <c r="J430" s="23">
        <v>0</v>
      </c>
      <c r="K430" s="23">
        <v>1</v>
      </c>
      <c r="L430" s="35">
        <v>1</v>
      </c>
      <c r="M430" s="23">
        <v>2</v>
      </c>
      <c r="N430" s="23">
        <v>0</v>
      </c>
      <c r="O430" s="49">
        <v>1</v>
      </c>
      <c r="P430" s="45" t="s">
        <v>159</v>
      </c>
      <c r="Q430" s="23" t="s">
        <v>107</v>
      </c>
      <c r="R430" s="23" t="s">
        <v>341</v>
      </c>
      <c r="S430" s="22" t="s">
        <v>9</v>
      </c>
    </row>
    <row r="431" spans="1:19" ht="12.75" customHeight="1" x14ac:dyDescent="0.25">
      <c r="A431" s="47" t="s">
        <v>497</v>
      </c>
      <c r="B431" s="23" t="s">
        <v>892</v>
      </c>
      <c r="C431" s="28">
        <v>45977</v>
      </c>
      <c r="D431" s="30" t="s">
        <v>338</v>
      </c>
      <c r="E431" s="28" t="s">
        <v>345</v>
      </c>
      <c r="F431" s="28" t="s">
        <v>879</v>
      </c>
      <c r="G431" s="28">
        <v>45987</v>
      </c>
      <c r="H431" s="23" t="s">
        <v>499</v>
      </c>
      <c r="I431" s="33" t="s">
        <v>14</v>
      </c>
      <c r="J431" s="23">
        <v>1</v>
      </c>
      <c r="K431" s="23">
        <v>1</v>
      </c>
      <c r="L431" s="35">
        <v>0</v>
      </c>
      <c r="M431" s="23">
        <v>4</v>
      </c>
      <c r="N431" s="23">
        <v>4</v>
      </c>
      <c r="O431" s="49">
        <v>0</v>
      </c>
      <c r="P431" s="45" t="s">
        <v>159</v>
      </c>
      <c r="Q431" s="23" t="s">
        <v>107</v>
      </c>
      <c r="R431" s="23" t="s">
        <v>341</v>
      </c>
      <c r="S431" s="22" t="s">
        <v>9</v>
      </c>
    </row>
    <row r="432" spans="1:19" ht="12.75" customHeight="1" x14ac:dyDescent="0.25">
      <c r="A432" s="47" t="s">
        <v>497</v>
      </c>
      <c r="B432" s="23" t="s">
        <v>893</v>
      </c>
      <c r="C432" s="28">
        <v>45977</v>
      </c>
      <c r="D432" s="30" t="s">
        <v>338</v>
      </c>
      <c r="E432" s="28" t="s">
        <v>345</v>
      </c>
      <c r="F432" s="28" t="s">
        <v>894</v>
      </c>
      <c r="G432" s="28">
        <v>45987</v>
      </c>
      <c r="H432" s="23" t="s">
        <v>499</v>
      </c>
      <c r="I432" s="33" t="s">
        <v>14</v>
      </c>
      <c r="J432" s="23">
        <v>1</v>
      </c>
      <c r="K432" s="23">
        <v>1</v>
      </c>
      <c r="L432" s="35">
        <v>0</v>
      </c>
      <c r="M432" s="23">
        <v>4</v>
      </c>
      <c r="N432" s="23">
        <v>4</v>
      </c>
      <c r="O432" s="49">
        <v>0</v>
      </c>
      <c r="P432" s="45" t="s">
        <v>159</v>
      </c>
      <c r="Q432" s="23" t="s">
        <v>107</v>
      </c>
      <c r="R432" s="23" t="s">
        <v>341</v>
      </c>
      <c r="S432" s="22" t="s">
        <v>9</v>
      </c>
    </row>
    <row r="433" spans="1:19" ht="12.75" customHeight="1" x14ac:dyDescent="0.25">
      <c r="A433" s="47" t="s">
        <v>497</v>
      </c>
      <c r="B433" s="23" t="s">
        <v>895</v>
      </c>
      <c r="C433" s="28">
        <v>45977</v>
      </c>
      <c r="D433" s="30" t="s">
        <v>338</v>
      </c>
      <c r="E433" s="28" t="s">
        <v>345</v>
      </c>
      <c r="F433" s="28" t="s">
        <v>880</v>
      </c>
      <c r="G433" s="28">
        <v>45987</v>
      </c>
      <c r="H433" s="23" t="s">
        <v>499</v>
      </c>
      <c r="I433" s="33" t="s">
        <v>14</v>
      </c>
      <c r="J433" s="23">
        <v>1</v>
      </c>
      <c r="K433" s="23">
        <v>1</v>
      </c>
      <c r="L433" s="35">
        <v>0</v>
      </c>
      <c r="M433" s="23">
        <v>3</v>
      </c>
      <c r="N433" s="23">
        <v>3</v>
      </c>
      <c r="O433" s="49">
        <v>0</v>
      </c>
      <c r="P433" s="45" t="s">
        <v>159</v>
      </c>
      <c r="Q433" s="23" t="s">
        <v>107</v>
      </c>
      <c r="R433" s="23" t="s">
        <v>341</v>
      </c>
      <c r="S433" s="22" t="s">
        <v>9</v>
      </c>
    </row>
    <row r="434" spans="1:19" ht="12.75" customHeight="1" x14ac:dyDescent="0.25">
      <c r="A434" s="47" t="s">
        <v>497</v>
      </c>
      <c r="B434" s="23" t="s">
        <v>896</v>
      </c>
      <c r="C434" s="28">
        <v>45977</v>
      </c>
      <c r="D434" s="30" t="s">
        <v>338</v>
      </c>
      <c r="E434" s="28" t="s">
        <v>345</v>
      </c>
      <c r="F434" s="28" t="s">
        <v>879</v>
      </c>
      <c r="G434" s="28">
        <v>45987</v>
      </c>
      <c r="H434" s="23" t="s">
        <v>499</v>
      </c>
      <c r="I434" s="33" t="s">
        <v>14</v>
      </c>
      <c r="J434" s="23">
        <v>1</v>
      </c>
      <c r="K434" s="23">
        <v>1</v>
      </c>
      <c r="L434" s="35">
        <v>0</v>
      </c>
      <c r="M434" s="23">
        <v>2</v>
      </c>
      <c r="N434" s="23">
        <v>2</v>
      </c>
      <c r="O434" s="49">
        <v>0</v>
      </c>
      <c r="P434" s="45" t="s">
        <v>159</v>
      </c>
      <c r="Q434" s="23" t="s">
        <v>107</v>
      </c>
      <c r="R434" s="23" t="s">
        <v>341</v>
      </c>
      <c r="S434" s="22" t="s">
        <v>9</v>
      </c>
    </row>
    <row r="435" spans="1:19" ht="12.75" customHeight="1" x14ac:dyDescent="0.25">
      <c r="A435" s="47" t="s">
        <v>497</v>
      </c>
      <c r="B435" s="23" t="s">
        <v>897</v>
      </c>
      <c r="C435" s="28">
        <v>45979</v>
      </c>
      <c r="D435" s="30" t="s">
        <v>338</v>
      </c>
      <c r="E435" s="28" t="s">
        <v>875</v>
      </c>
      <c r="F435" s="28" t="s">
        <v>344</v>
      </c>
      <c r="G435" s="28">
        <v>45989</v>
      </c>
      <c r="H435" s="23" t="s">
        <v>499</v>
      </c>
      <c r="I435" s="33" t="s">
        <v>14</v>
      </c>
      <c r="J435" s="23">
        <v>1</v>
      </c>
      <c r="K435" s="23">
        <v>1</v>
      </c>
      <c r="L435" s="35">
        <v>0</v>
      </c>
      <c r="M435" s="23">
        <v>2</v>
      </c>
      <c r="N435" s="23">
        <v>2</v>
      </c>
      <c r="O435" s="49">
        <v>0</v>
      </c>
      <c r="P435" s="45" t="s">
        <v>159</v>
      </c>
      <c r="Q435" s="23" t="s">
        <v>107</v>
      </c>
      <c r="R435" s="23" t="s">
        <v>341</v>
      </c>
      <c r="S435" s="22" t="s">
        <v>9</v>
      </c>
    </row>
    <row r="436" spans="1:19" ht="12.75" customHeight="1" x14ac:dyDescent="0.25">
      <c r="A436" s="47" t="s">
        <v>497</v>
      </c>
      <c r="B436" s="23" t="s">
        <v>898</v>
      </c>
      <c r="C436" s="28">
        <v>45983</v>
      </c>
      <c r="D436" s="30" t="s">
        <v>338</v>
      </c>
      <c r="E436" s="28" t="s">
        <v>345</v>
      </c>
      <c r="F436" s="28" t="s">
        <v>340</v>
      </c>
      <c r="G436" s="28">
        <v>45993</v>
      </c>
      <c r="H436" s="23" t="s">
        <v>499</v>
      </c>
      <c r="I436" s="33" t="s">
        <v>14</v>
      </c>
      <c r="J436" s="23">
        <v>1</v>
      </c>
      <c r="K436" s="23">
        <v>1</v>
      </c>
      <c r="L436" s="35">
        <v>0</v>
      </c>
      <c r="M436" s="23">
        <v>1</v>
      </c>
      <c r="N436" s="23">
        <v>1</v>
      </c>
      <c r="O436" s="49">
        <v>0</v>
      </c>
      <c r="P436" s="45" t="s">
        <v>159</v>
      </c>
      <c r="Q436" s="23" t="s">
        <v>107</v>
      </c>
      <c r="R436" s="23" t="s">
        <v>341</v>
      </c>
      <c r="S436" s="22" t="s">
        <v>9</v>
      </c>
    </row>
    <row r="437" spans="1:19" ht="12.75" customHeight="1" x14ac:dyDescent="0.25">
      <c r="A437" s="47" t="s">
        <v>497</v>
      </c>
      <c r="B437" s="23" t="s">
        <v>899</v>
      </c>
      <c r="C437" s="28">
        <v>45984</v>
      </c>
      <c r="D437" s="30" t="s">
        <v>338</v>
      </c>
      <c r="E437" s="28" t="s">
        <v>875</v>
      </c>
      <c r="F437" s="28" t="s">
        <v>323</v>
      </c>
      <c r="G437" s="28">
        <v>45994</v>
      </c>
      <c r="H437" s="23" t="s">
        <v>499</v>
      </c>
      <c r="I437" s="33" t="s">
        <v>14</v>
      </c>
      <c r="J437" s="23">
        <v>1</v>
      </c>
      <c r="K437" s="23">
        <v>1</v>
      </c>
      <c r="L437" s="35">
        <v>0</v>
      </c>
      <c r="M437" s="23">
        <v>4</v>
      </c>
      <c r="N437" s="23">
        <v>4</v>
      </c>
      <c r="O437" s="49">
        <v>0</v>
      </c>
      <c r="P437" s="45" t="s">
        <v>159</v>
      </c>
      <c r="Q437" s="23" t="s">
        <v>107</v>
      </c>
      <c r="R437" s="23" t="s">
        <v>341</v>
      </c>
      <c r="S437" s="22" t="s">
        <v>9</v>
      </c>
    </row>
    <row r="438" spans="1:19" ht="12.75" customHeight="1" x14ac:dyDescent="0.25">
      <c r="A438" s="47" t="s">
        <v>497</v>
      </c>
      <c r="B438" s="23" t="s">
        <v>900</v>
      </c>
      <c r="C438" s="28">
        <v>45991</v>
      </c>
      <c r="D438" s="30" t="s">
        <v>338</v>
      </c>
      <c r="E438" s="28" t="s">
        <v>339</v>
      </c>
      <c r="F438" s="28" t="s">
        <v>901</v>
      </c>
      <c r="G438" s="28">
        <v>46001</v>
      </c>
      <c r="H438" s="23" t="s">
        <v>499</v>
      </c>
      <c r="I438" s="33" t="s">
        <v>14</v>
      </c>
      <c r="J438" s="23">
        <v>1</v>
      </c>
      <c r="K438" s="23">
        <v>1</v>
      </c>
      <c r="L438" s="35">
        <v>0</v>
      </c>
      <c r="M438" s="23">
        <v>8</v>
      </c>
      <c r="N438" s="23">
        <v>8</v>
      </c>
      <c r="O438" s="49">
        <v>0</v>
      </c>
      <c r="P438" s="45" t="s">
        <v>159</v>
      </c>
      <c r="Q438" s="23" t="s">
        <v>107</v>
      </c>
      <c r="R438" s="23" t="s">
        <v>341</v>
      </c>
      <c r="S438" s="22" t="s">
        <v>9</v>
      </c>
    </row>
    <row r="439" spans="1:19" ht="12.75" customHeight="1" thickBot="1" x14ac:dyDescent="0.3">
      <c r="A439" s="51" t="s">
        <v>497</v>
      </c>
      <c r="B439" s="20" t="s">
        <v>902</v>
      </c>
      <c r="C439" s="25">
        <v>45991</v>
      </c>
      <c r="D439" s="27" t="s">
        <v>338</v>
      </c>
      <c r="E439" s="25" t="s">
        <v>339</v>
      </c>
      <c r="F439" s="25" t="s">
        <v>885</v>
      </c>
      <c r="G439" s="25">
        <v>46001</v>
      </c>
      <c r="H439" s="20" t="s">
        <v>499</v>
      </c>
      <c r="I439" s="32" t="s">
        <v>14</v>
      </c>
      <c r="J439" s="20">
        <v>1</v>
      </c>
      <c r="K439" s="20">
        <v>1</v>
      </c>
      <c r="L439" s="34">
        <v>0</v>
      </c>
      <c r="M439" s="20">
        <v>3</v>
      </c>
      <c r="N439" s="20">
        <v>3</v>
      </c>
      <c r="O439" s="54">
        <v>0</v>
      </c>
      <c r="P439" s="45" t="s">
        <v>159</v>
      </c>
      <c r="Q439" s="23" t="s">
        <v>107</v>
      </c>
      <c r="R439" s="23" t="s">
        <v>341</v>
      </c>
      <c r="S439" s="22" t="s">
        <v>9</v>
      </c>
    </row>
    <row r="440" spans="1:19" ht="17.25" customHeight="1" x14ac:dyDescent="0.25">
      <c r="A440" s="60"/>
      <c r="B440" s="50"/>
      <c r="C440" s="55"/>
      <c r="D440" s="56"/>
      <c r="E440" s="56"/>
      <c r="F440" s="57"/>
      <c r="G440" s="57"/>
      <c r="H440" s="57"/>
      <c r="I440" s="58" t="s">
        <v>1087</v>
      </c>
      <c r="J440" s="57">
        <f>SUM(J419:J439)</f>
        <v>18</v>
      </c>
      <c r="K440" s="57">
        <f>SUM(K419:K439)</f>
        <v>21</v>
      </c>
      <c r="L440" s="59">
        <f>(SUM(K419:K439) - SUM(J419:J439)) / SUM(K419:K439)</f>
        <v>0.14285714285714285</v>
      </c>
      <c r="M440" s="57">
        <f>SUM(M419:M439)</f>
        <v>68</v>
      </c>
      <c r="N440" s="56">
        <f>SUM(N419:N439)</f>
        <v>48</v>
      </c>
      <c r="O440" s="61">
        <f>(SUM(M419:M439) - SUM(N419:N439)) / SUM(M419:M439)</f>
        <v>0.29411764705882354</v>
      </c>
      <c r="P440" s="52"/>
      <c r="Q440" s="53"/>
      <c r="R440" s="52"/>
      <c r="S440" s="52"/>
    </row>
    <row r="441" spans="1:19" x14ac:dyDescent="0.25">
      <c r="A441" s="125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2"/>
      <c r="M441" s="121"/>
      <c r="N441" s="121"/>
      <c r="O441" s="127"/>
      <c r="P441" s="120"/>
      <c r="Q441" s="120"/>
      <c r="R441" s="120"/>
      <c r="S441" s="120"/>
    </row>
    <row r="442" spans="1:19" ht="15.75" thickBot="1" x14ac:dyDescent="0.3">
      <c r="A442" s="126"/>
      <c r="B442" s="123"/>
      <c r="C442" s="124"/>
      <c r="D442" s="123"/>
      <c r="E442" s="123"/>
      <c r="F442" s="123"/>
      <c r="G442" s="124"/>
      <c r="H442" s="123"/>
      <c r="I442" s="123"/>
      <c r="J442" s="123"/>
      <c r="K442" s="123"/>
      <c r="L442" s="123"/>
      <c r="M442" s="123"/>
      <c r="N442" s="123"/>
      <c r="O442" s="128"/>
      <c r="P442" s="98"/>
      <c r="Q442" s="98"/>
      <c r="R442" s="98"/>
      <c r="S442" s="98"/>
    </row>
    <row r="443" spans="1:19" ht="15.75" thickBot="1" x14ac:dyDescent="0.3">
      <c r="C443" s="1"/>
      <c r="G443" s="1"/>
    </row>
    <row r="444" spans="1:19" x14ac:dyDescent="0.25">
      <c r="A444" s="9"/>
      <c r="B444" s="10"/>
      <c r="C444" s="11"/>
      <c r="D444" s="11"/>
      <c r="E444" s="11"/>
      <c r="F444" s="11"/>
      <c r="G444" s="11"/>
      <c r="H444" s="12"/>
      <c r="I444" s="11"/>
      <c r="J444" s="13"/>
      <c r="K444" s="13"/>
      <c r="L444" s="13"/>
      <c r="M444" s="13"/>
      <c r="N444" s="11"/>
      <c r="O444" s="14"/>
      <c r="P444" s="4"/>
      <c r="Q444" s="5"/>
      <c r="R444" s="4"/>
      <c r="S444" s="4"/>
    </row>
    <row r="445" spans="1:19" x14ac:dyDescent="0.25">
      <c r="A445" s="6" t="s">
        <v>1095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15"/>
      <c r="P445" s="3"/>
      <c r="Q445" s="3"/>
      <c r="R445" s="3"/>
      <c r="S445" s="3"/>
    </row>
    <row r="446" spans="1:19" x14ac:dyDescent="0.25">
      <c r="A446" s="7" t="s">
        <v>132</v>
      </c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15"/>
      <c r="P446" s="3"/>
      <c r="Q446" s="3"/>
      <c r="R446" s="3"/>
      <c r="S446" s="3"/>
    </row>
    <row r="447" spans="1:19" ht="15.75" thickBot="1" x14ac:dyDescent="0.3">
      <c r="A447" s="8"/>
      <c r="B447" s="8"/>
      <c r="C447" s="74"/>
      <c r="D447" s="8"/>
      <c r="E447" s="8"/>
      <c r="F447" s="8"/>
      <c r="G447" s="74"/>
      <c r="H447" s="8"/>
      <c r="I447" s="8"/>
      <c r="J447" s="8"/>
      <c r="K447" s="8"/>
      <c r="L447" s="8"/>
      <c r="M447" s="8"/>
      <c r="N447" s="8"/>
      <c r="O447" s="16"/>
      <c r="P447" s="3"/>
      <c r="Q447" s="3"/>
      <c r="R447" s="3"/>
      <c r="S447" s="3"/>
    </row>
    <row r="448" spans="1:19" ht="17.25" customHeight="1" thickBot="1" x14ac:dyDescent="0.3">
      <c r="A448" s="19" t="s">
        <v>1068</v>
      </c>
      <c r="B448" s="24" t="s">
        <v>1069</v>
      </c>
      <c r="C448" s="26" t="s">
        <v>1070</v>
      </c>
      <c r="D448" s="29" t="s">
        <v>1071</v>
      </c>
      <c r="E448" s="26" t="s">
        <v>1072</v>
      </c>
      <c r="F448" s="31" t="s">
        <v>1073</v>
      </c>
      <c r="G448" s="31" t="s">
        <v>1074</v>
      </c>
      <c r="H448" s="31" t="s">
        <v>1075</v>
      </c>
      <c r="I448" s="29" t="s">
        <v>14</v>
      </c>
      <c r="J448" s="29" t="s">
        <v>1076</v>
      </c>
      <c r="K448" s="29" t="s">
        <v>1077</v>
      </c>
      <c r="L448" s="29" t="s">
        <v>1078</v>
      </c>
      <c r="M448" s="29" t="s">
        <v>1079</v>
      </c>
      <c r="N448" s="29" t="s">
        <v>1080</v>
      </c>
      <c r="O448" s="36" t="s">
        <v>1081</v>
      </c>
      <c r="P448" s="37" t="s">
        <v>1082</v>
      </c>
      <c r="Q448" s="38" t="s">
        <v>1083</v>
      </c>
      <c r="R448" s="38" t="s">
        <v>1084</v>
      </c>
      <c r="S448" s="39" t="s">
        <v>1085</v>
      </c>
    </row>
    <row r="449" spans="1:19" ht="12.75" customHeight="1" x14ac:dyDescent="0.25">
      <c r="A449" s="46" t="s">
        <v>497</v>
      </c>
      <c r="B449" s="40" t="s">
        <v>903</v>
      </c>
      <c r="C449" s="41">
        <v>45994</v>
      </c>
      <c r="D449" s="42" t="s">
        <v>353</v>
      </c>
      <c r="E449" s="41" t="s">
        <v>877</v>
      </c>
      <c r="F449" s="41" t="s">
        <v>875</v>
      </c>
      <c r="G449" s="41">
        <v>46004</v>
      </c>
      <c r="H449" s="40" t="s">
        <v>499</v>
      </c>
      <c r="I449" s="43" t="s">
        <v>14</v>
      </c>
      <c r="J449" s="40">
        <v>1</v>
      </c>
      <c r="K449" s="40">
        <v>1</v>
      </c>
      <c r="L449" s="44">
        <v>0</v>
      </c>
      <c r="M449" s="40">
        <v>4</v>
      </c>
      <c r="N449" s="40">
        <v>4</v>
      </c>
      <c r="O449" s="48">
        <v>0</v>
      </c>
      <c r="P449" s="45" t="s">
        <v>159</v>
      </c>
      <c r="Q449" s="23" t="s">
        <v>132</v>
      </c>
      <c r="R449" s="23" t="s">
        <v>355</v>
      </c>
      <c r="S449" s="22" t="s">
        <v>9</v>
      </c>
    </row>
    <row r="450" spans="1:19" ht="12.75" customHeight="1" x14ac:dyDescent="0.25">
      <c r="A450" s="47" t="s">
        <v>497</v>
      </c>
      <c r="B450" s="23" t="s">
        <v>904</v>
      </c>
      <c r="C450" s="28">
        <v>45996</v>
      </c>
      <c r="D450" s="30" t="s">
        <v>353</v>
      </c>
      <c r="E450" s="28" t="s">
        <v>877</v>
      </c>
      <c r="F450" s="28" t="s">
        <v>875</v>
      </c>
      <c r="G450" s="28">
        <v>46006</v>
      </c>
      <c r="H450" s="23" t="s">
        <v>499</v>
      </c>
      <c r="I450" s="33" t="s">
        <v>14</v>
      </c>
      <c r="J450" s="23">
        <v>1</v>
      </c>
      <c r="K450" s="23">
        <v>1</v>
      </c>
      <c r="L450" s="35">
        <v>0</v>
      </c>
      <c r="M450" s="23">
        <v>2</v>
      </c>
      <c r="N450" s="23">
        <v>2</v>
      </c>
      <c r="O450" s="49">
        <v>0</v>
      </c>
      <c r="P450" s="45" t="s">
        <v>159</v>
      </c>
      <c r="Q450" s="23" t="s">
        <v>132</v>
      </c>
      <c r="R450" s="23" t="s">
        <v>355</v>
      </c>
      <c r="S450" s="22" t="s">
        <v>9</v>
      </c>
    </row>
    <row r="451" spans="1:19" ht="12.75" customHeight="1" x14ac:dyDescent="0.25">
      <c r="A451" s="47" t="s">
        <v>497</v>
      </c>
      <c r="B451" s="23" t="s">
        <v>905</v>
      </c>
      <c r="C451" s="28">
        <v>45996</v>
      </c>
      <c r="D451" s="30" t="s">
        <v>353</v>
      </c>
      <c r="E451" s="28" t="s">
        <v>884</v>
      </c>
      <c r="F451" s="28" t="s">
        <v>339</v>
      </c>
      <c r="G451" s="28">
        <v>46006</v>
      </c>
      <c r="H451" s="23" t="s">
        <v>499</v>
      </c>
      <c r="I451" s="33" t="s">
        <v>14</v>
      </c>
      <c r="J451" s="23">
        <v>1</v>
      </c>
      <c r="K451" s="23">
        <v>1</v>
      </c>
      <c r="L451" s="35">
        <v>0</v>
      </c>
      <c r="M451" s="23">
        <v>2</v>
      </c>
      <c r="N451" s="23">
        <v>2</v>
      </c>
      <c r="O451" s="49">
        <v>0</v>
      </c>
      <c r="P451" s="45" t="s">
        <v>159</v>
      </c>
      <c r="Q451" s="23" t="s">
        <v>132</v>
      </c>
      <c r="R451" s="23" t="s">
        <v>355</v>
      </c>
      <c r="S451" s="22" t="s">
        <v>9</v>
      </c>
    </row>
    <row r="452" spans="1:19" ht="12.75" customHeight="1" x14ac:dyDescent="0.25">
      <c r="A452" s="47" t="s">
        <v>497</v>
      </c>
      <c r="B452" s="23" t="s">
        <v>906</v>
      </c>
      <c r="C452" s="28">
        <v>45996</v>
      </c>
      <c r="D452" s="30" t="s">
        <v>353</v>
      </c>
      <c r="E452" s="28" t="s">
        <v>877</v>
      </c>
      <c r="F452" s="28" t="s">
        <v>907</v>
      </c>
      <c r="G452" s="28">
        <v>46006</v>
      </c>
      <c r="H452" s="23" t="s">
        <v>499</v>
      </c>
      <c r="I452" s="33" t="s">
        <v>14</v>
      </c>
      <c r="J452" s="23">
        <v>1</v>
      </c>
      <c r="K452" s="23">
        <v>1</v>
      </c>
      <c r="L452" s="35">
        <v>0</v>
      </c>
      <c r="M452" s="23">
        <v>2</v>
      </c>
      <c r="N452" s="23">
        <v>2</v>
      </c>
      <c r="O452" s="49">
        <v>0</v>
      </c>
      <c r="P452" s="45" t="s">
        <v>159</v>
      </c>
      <c r="Q452" s="23" t="s">
        <v>132</v>
      </c>
      <c r="R452" s="23" t="s">
        <v>355</v>
      </c>
      <c r="S452" s="22" t="s">
        <v>9</v>
      </c>
    </row>
    <row r="453" spans="1:19" ht="12.75" customHeight="1" x14ac:dyDescent="0.25">
      <c r="A453" s="47" t="s">
        <v>497</v>
      </c>
      <c r="B453" s="23" t="s">
        <v>908</v>
      </c>
      <c r="C453" s="28">
        <v>46002</v>
      </c>
      <c r="D453" s="30" t="s">
        <v>353</v>
      </c>
      <c r="E453" s="28" t="s">
        <v>909</v>
      </c>
      <c r="F453" s="28" t="s">
        <v>910</v>
      </c>
      <c r="G453" s="28">
        <v>46012</v>
      </c>
      <c r="H453" s="23" t="s">
        <v>499</v>
      </c>
      <c r="I453" s="33" t="s">
        <v>14</v>
      </c>
      <c r="J453" s="23">
        <v>1</v>
      </c>
      <c r="K453" s="23">
        <v>1</v>
      </c>
      <c r="L453" s="35">
        <v>0</v>
      </c>
      <c r="M453" s="23">
        <v>3</v>
      </c>
      <c r="N453" s="23">
        <v>3</v>
      </c>
      <c r="O453" s="49">
        <v>0</v>
      </c>
      <c r="P453" s="45" t="s">
        <v>159</v>
      </c>
      <c r="Q453" s="23" t="s">
        <v>132</v>
      </c>
      <c r="R453" s="23" t="s">
        <v>355</v>
      </c>
      <c r="S453" s="22" t="s">
        <v>9</v>
      </c>
    </row>
    <row r="454" spans="1:19" ht="12.75" customHeight="1" x14ac:dyDescent="0.25">
      <c r="A454" s="47" t="s">
        <v>497</v>
      </c>
      <c r="B454" s="23" t="s">
        <v>911</v>
      </c>
      <c r="C454" s="28">
        <v>46002</v>
      </c>
      <c r="D454" s="30" t="s">
        <v>353</v>
      </c>
      <c r="E454" s="28" t="s">
        <v>370</v>
      </c>
      <c r="F454" s="28" t="s">
        <v>912</v>
      </c>
      <c r="G454" s="28">
        <v>46012</v>
      </c>
      <c r="H454" s="23" t="s">
        <v>499</v>
      </c>
      <c r="I454" s="33" t="s">
        <v>14</v>
      </c>
      <c r="J454" s="23">
        <v>1</v>
      </c>
      <c r="K454" s="23">
        <v>1</v>
      </c>
      <c r="L454" s="35">
        <v>0</v>
      </c>
      <c r="M454" s="23">
        <v>2</v>
      </c>
      <c r="N454" s="23">
        <v>2</v>
      </c>
      <c r="O454" s="49">
        <v>0</v>
      </c>
      <c r="P454" s="45" t="s">
        <v>159</v>
      </c>
      <c r="Q454" s="23" t="s">
        <v>132</v>
      </c>
      <c r="R454" s="23" t="s">
        <v>355</v>
      </c>
      <c r="S454" s="22" t="s">
        <v>9</v>
      </c>
    </row>
    <row r="455" spans="1:19" ht="12.75" customHeight="1" x14ac:dyDescent="0.25">
      <c r="A455" s="47" t="s">
        <v>497</v>
      </c>
      <c r="B455" s="23" t="s">
        <v>913</v>
      </c>
      <c r="C455" s="28">
        <v>46002</v>
      </c>
      <c r="D455" s="30" t="s">
        <v>353</v>
      </c>
      <c r="E455" s="28" t="s">
        <v>909</v>
      </c>
      <c r="F455" s="28" t="s">
        <v>351</v>
      </c>
      <c r="G455" s="28">
        <v>46012</v>
      </c>
      <c r="H455" s="23" t="s">
        <v>499</v>
      </c>
      <c r="I455" s="33" t="s">
        <v>14</v>
      </c>
      <c r="J455" s="23">
        <v>1</v>
      </c>
      <c r="K455" s="23">
        <v>1</v>
      </c>
      <c r="L455" s="35">
        <v>0</v>
      </c>
      <c r="M455" s="23">
        <v>2</v>
      </c>
      <c r="N455" s="23">
        <v>2</v>
      </c>
      <c r="O455" s="49">
        <v>0</v>
      </c>
      <c r="P455" s="45" t="s">
        <v>159</v>
      </c>
      <c r="Q455" s="23" t="s">
        <v>132</v>
      </c>
      <c r="R455" s="23" t="s">
        <v>355</v>
      </c>
      <c r="S455" s="22" t="s">
        <v>9</v>
      </c>
    </row>
    <row r="456" spans="1:19" ht="12.75" customHeight="1" x14ac:dyDescent="0.25">
      <c r="A456" s="47" t="s">
        <v>497</v>
      </c>
      <c r="B456" s="23" t="s">
        <v>914</v>
      </c>
      <c r="C456" s="28">
        <v>46002</v>
      </c>
      <c r="D456" s="30" t="s">
        <v>353</v>
      </c>
      <c r="E456" s="28" t="s">
        <v>877</v>
      </c>
      <c r="F456" s="28" t="s">
        <v>915</v>
      </c>
      <c r="G456" s="28">
        <v>46012</v>
      </c>
      <c r="H456" s="23" t="s">
        <v>499</v>
      </c>
      <c r="I456" s="33" t="s">
        <v>14</v>
      </c>
      <c r="J456" s="23">
        <v>1</v>
      </c>
      <c r="K456" s="23">
        <v>1</v>
      </c>
      <c r="L456" s="35">
        <v>0</v>
      </c>
      <c r="M456" s="23">
        <v>2</v>
      </c>
      <c r="N456" s="23">
        <v>2</v>
      </c>
      <c r="O456" s="49">
        <v>0</v>
      </c>
      <c r="P456" s="45" t="s">
        <v>159</v>
      </c>
      <c r="Q456" s="23" t="s">
        <v>132</v>
      </c>
      <c r="R456" s="23" t="s">
        <v>355</v>
      </c>
      <c r="S456" s="22" t="s">
        <v>9</v>
      </c>
    </row>
    <row r="457" spans="1:19" ht="12.75" customHeight="1" thickBot="1" x14ac:dyDescent="0.3">
      <c r="A457" s="51" t="s">
        <v>497</v>
      </c>
      <c r="B457" s="20" t="s">
        <v>916</v>
      </c>
      <c r="C457" s="25">
        <v>46002</v>
      </c>
      <c r="D457" s="27" t="s">
        <v>353</v>
      </c>
      <c r="E457" s="25" t="s">
        <v>877</v>
      </c>
      <c r="F457" s="25" t="s">
        <v>912</v>
      </c>
      <c r="G457" s="25">
        <v>46012</v>
      </c>
      <c r="H457" s="20" t="s">
        <v>499</v>
      </c>
      <c r="I457" s="32" t="s">
        <v>14</v>
      </c>
      <c r="J457" s="20">
        <v>1</v>
      </c>
      <c r="K457" s="20">
        <v>1</v>
      </c>
      <c r="L457" s="34">
        <v>0</v>
      </c>
      <c r="M457" s="20">
        <v>3</v>
      </c>
      <c r="N457" s="20">
        <v>3</v>
      </c>
      <c r="O457" s="54">
        <v>0</v>
      </c>
      <c r="P457" s="45" t="s">
        <v>159</v>
      </c>
      <c r="Q457" s="23" t="s">
        <v>132</v>
      </c>
      <c r="R457" s="23" t="s">
        <v>355</v>
      </c>
      <c r="S457" s="22" t="s">
        <v>9</v>
      </c>
    </row>
    <row r="458" spans="1:19" ht="17.25" customHeight="1" x14ac:dyDescent="0.25">
      <c r="A458" s="60"/>
      <c r="B458" s="50"/>
      <c r="C458" s="55"/>
      <c r="D458" s="56"/>
      <c r="E458" s="56"/>
      <c r="F458" s="57"/>
      <c r="G458" s="57"/>
      <c r="H458" s="57"/>
      <c r="I458" s="58" t="s">
        <v>1087</v>
      </c>
      <c r="J458" s="57">
        <f>SUM(J449:J457)</f>
        <v>9</v>
      </c>
      <c r="K458" s="57">
        <f>SUM(K449:K457)</f>
        <v>9</v>
      </c>
      <c r="L458" s="59">
        <f>(SUM(K449:K457) - SUM(J449:J457)) / SUM(K449:K457)</f>
        <v>0</v>
      </c>
      <c r="M458" s="57">
        <f>SUM(M449:M457)</f>
        <v>22</v>
      </c>
      <c r="N458" s="56">
        <f>SUM(N449:N457)</f>
        <v>22</v>
      </c>
      <c r="O458" s="61">
        <f>(SUM(M449:M457) - SUM(N449:N457)) / SUM(M449:M457)</f>
        <v>0</v>
      </c>
      <c r="P458" s="52"/>
      <c r="Q458" s="53"/>
      <c r="R458" s="52"/>
      <c r="S458" s="52"/>
    </row>
    <row r="459" spans="1:19" x14ac:dyDescent="0.25">
      <c r="A459" s="125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2"/>
      <c r="M459" s="121"/>
      <c r="N459" s="121"/>
      <c r="O459" s="127"/>
      <c r="P459" s="120"/>
      <c r="Q459" s="120"/>
      <c r="R459" s="120"/>
      <c r="S459" s="120"/>
    </row>
    <row r="460" spans="1:19" ht="15.75" thickBot="1" x14ac:dyDescent="0.3">
      <c r="A460" s="126"/>
      <c r="B460" s="123"/>
      <c r="C460" s="124"/>
      <c r="D460" s="123"/>
      <c r="E460" s="123"/>
      <c r="F460" s="123"/>
      <c r="G460" s="124"/>
      <c r="H460" s="123"/>
      <c r="I460" s="123"/>
      <c r="J460" s="123"/>
      <c r="K460" s="123"/>
      <c r="L460" s="123"/>
      <c r="M460" s="123"/>
      <c r="N460" s="123"/>
      <c r="O460" s="128"/>
      <c r="P460" s="98"/>
      <c r="Q460" s="98"/>
      <c r="R460" s="98"/>
      <c r="S460" s="98"/>
    </row>
    <row r="461" spans="1:19" ht="15.75" thickBot="1" x14ac:dyDescent="0.3">
      <c r="C461" s="1"/>
      <c r="G461" s="1"/>
    </row>
    <row r="462" spans="1:19" x14ac:dyDescent="0.25">
      <c r="A462" s="9"/>
      <c r="B462" s="10"/>
      <c r="C462" s="11"/>
      <c r="D462" s="11"/>
      <c r="E462" s="11"/>
      <c r="F462" s="11"/>
      <c r="G462" s="11"/>
      <c r="H462" s="12"/>
      <c r="I462" s="11"/>
      <c r="J462" s="13"/>
      <c r="K462" s="13"/>
      <c r="L462" s="13"/>
      <c r="M462" s="13"/>
      <c r="N462" s="11"/>
      <c r="O462" s="14"/>
      <c r="P462" s="4"/>
      <c r="Q462" s="5"/>
      <c r="R462" s="4"/>
      <c r="S462" s="4"/>
    </row>
    <row r="463" spans="1:19" x14ac:dyDescent="0.25">
      <c r="A463" s="6" t="s">
        <v>1096</v>
      </c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15"/>
      <c r="P463" s="3"/>
      <c r="Q463" s="3"/>
      <c r="R463" s="3"/>
      <c r="S463" s="3"/>
    </row>
    <row r="464" spans="1:19" x14ac:dyDescent="0.25">
      <c r="A464" s="7" t="s">
        <v>160</v>
      </c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15"/>
      <c r="P464" s="3"/>
      <c r="Q464" s="3"/>
      <c r="R464" s="3"/>
      <c r="S464" s="3"/>
    </row>
    <row r="465" spans="1:19" ht="15.75" thickBot="1" x14ac:dyDescent="0.3">
      <c r="A465" s="8"/>
      <c r="B465" s="8"/>
      <c r="C465" s="74"/>
      <c r="D465" s="8"/>
      <c r="E465" s="8"/>
      <c r="F465" s="8"/>
      <c r="G465" s="74"/>
      <c r="H465" s="8"/>
      <c r="I465" s="8"/>
      <c r="J465" s="8"/>
      <c r="K465" s="8"/>
      <c r="L465" s="8"/>
      <c r="M465" s="8"/>
      <c r="N465" s="8"/>
      <c r="O465" s="16"/>
      <c r="P465" s="3"/>
      <c r="Q465" s="3"/>
      <c r="R465" s="3"/>
      <c r="S465" s="3"/>
    </row>
    <row r="466" spans="1:19" ht="17.25" customHeight="1" thickBot="1" x14ac:dyDescent="0.3">
      <c r="A466" s="19" t="s">
        <v>1068</v>
      </c>
      <c r="B466" s="24" t="s">
        <v>1069</v>
      </c>
      <c r="C466" s="26" t="s">
        <v>1070</v>
      </c>
      <c r="D466" s="29" t="s">
        <v>1071</v>
      </c>
      <c r="E466" s="26" t="s">
        <v>1072</v>
      </c>
      <c r="F466" s="31" t="s">
        <v>1073</v>
      </c>
      <c r="G466" s="31" t="s">
        <v>1074</v>
      </c>
      <c r="H466" s="31" t="s">
        <v>1075</v>
      </c>
      <c r="I466" s="29" t="s">
        <v>14</v>
      </c>
      <c r="J466" s="29" t="s">
        <v>1076</v>
      </c>
      <c r="K466" s="29" t="s">
        <v>1077</v>
      </c>
      <c r="L466" s="29" t="s">
        <v>1078</v>
      </c>
      <c r="M466" s="29" t="s">
        <v>1079</v>
      </c>
      <c r="N466" s="29" t="s">
        <v>1080</v>
      </c>
      <c r="O466" s="36" t="s">
        <v>1081</v>
      </c>
      <c r="P466" s="37" t="s">
        <v>1082</v>
      </c>
      <c r="Q466" s="38" t="s">
        <v>1083</v>
      </c>
      <c r="R466" s="38" t="s">
        <v>1084</v>
      </c>
      <c r="S466" s="39" t="s">
        <v>1085</v>
      </c>
    </row>
    <row r="467" spans="1:19" ht="12.75" customHeight="1" x14ac:dyDescent="0.25">
      <c r="A467" s="46" t="s">
        <v>497</v>
      </c>
      <c r="B467" s="40" t="s">
        <v>917</v>
      </c>
      <c r="C467" s="41">
        <v>46044</v>
      </c>
      <c r="D467" s="42" t="s">
        <v>372</v>
      </c>
      <c r="E467" s="41" t="s">
        <v>918</v>
      </c>
      <c r="F467" s="41" t="s">
        <v>919</v>
      </c>
      <c r="G467" s="41">
        <v>46054</v>
      </c>
      <c r="H467" s="40" t="s">
        <v>499</v>
      </c>
      <c r="I467" s="43" t="s">
        <v>14</v>
      </c>
      <c r="J467" s="40">
        <v>1</v>
      </c>
      <c r="K467" s="40">
        <v>1</v>
      </c>
      <c r="L467" s="44">
        <v>0</v>
      </c>
      <c r="M467" s="40">
        <v>2</v>
      </c>
      <c r="N467" s="40">
        <v>2</v>
      </c>
      <c r="O467" s="48">
        <v>0</v>
      </c>
      <c r="P467" s="45" t="s">
        <v>375</v>
      </c>
      <c r="Q467" s="23" t="s">
        <v>160</v>
      </c>
      <c r="R467" s="23" t="s">
        <v>376</v>
      </c>
      <c r="S467" s="22" t="s">
        <v>9</v>
      </c>
    </row>
    <row r="468" spans="1:19" ht="12.75" customHeight="1" x14ac:dyDescent="0.25">
      <c r="A468" s="47" t="s">
        <v>497</v>
      </c>
      <c r="B468" s="23" t="s">
        <v>920</v>
      </c>
      <c r="C468" s="28">
        <v>46044</v>
      </c>
      <c r="D468" s="30" t="s">
        <v>372</v>
      </c>
      <c r="E468" s="28"/>
      <c r="F468" s="28"/>
      <c r="G468" s="28">
        <v>46054</v>
      </c>
      <c r="H468" s="23" t="s">
        <v>499</v>
      </c>
      <c r="I468" s="33" t="s">
        <v>113</v>
      </c>
      <c r="J468" s="23">
        <v>0</v>
      </c>
      <c r="K468" s="23">
        <v>1</v>
      </c>
      <c r="L468" s="35">
        <v>1</v>
      </c>
      <c r="M468" s="23">
        <v>2</v>
      </c>
      <c r="N468" s="23">
        <v>0</v>
      </c>
      <c r="O468" s="49">
        <v>1</v>
      </c>
      <c r="P468" s="45" t="s">
        <v>375</v>
      </c>
      <c r="Q468" s="23" t="s">
        <v>160</v>
      </c>
      <c r="R468" s="23" t="s">
        <v>376</v>
      </c>
      <c r="S468" s="22" t="s">
        <v>9</v>
      </c>
    </row>
    <row r="469" spans="1:19" ht="12.75" customHeight="1" x14ac:dyDescent="0.25">
      <c r="A469" s="47" t="s">
        <v>497</v>
      </c>
      <c r="B469" s="23" t="s">
        <v>921</v>
      </c>
      <c r="C469" s="28">
        <v>46044</v>
      </c>
      <c r="D469" s="30" t="s">
        <v>372</v>
      </c>
      <c r="E469" s="28" t="s">
        <v>922</v>
      </c>
      <c r="F469" s="28" t="s">
        <v>360</v>
      </c>
      <c r="G469" s="28">
        <v>46054</v>
      </c>
      <c r="H469" s="23" t="s">
        <v>499</v>
      </c>
      <c r="I469" s="33" t="s">
        <v>14</v>
      </c>
      <c r="J469" s="23">
        <v>1</v>
      </c>
      <c r="K469" s="23">
        <v>1</v>
      </c>
      <c r="L469" s="35">
        <v>0</v>
      </c>
      <c r="M469" s="23">
        <v>2</v>
      </c>
      <c r="N469" s="23">
        <v>2</v>
      </c>
      <c r="O469" s="49">
        <v>0</v>
      </c>
      <c r="P469" s="45" t="s">
        <v>375</v>
      </c>
      <c r="Q469" s="23" t="s">
        <v>160</v>
      </c>
      <c r="R469" s="23" t="s">
        <v>376</v>
      </c>
      <c r="S469" s="22" t="s">
        <v>9</v>
      </c>
    </row>
    <row r="470" spans="1:19" ht="12.75" customHeight="1" x14ac:dyDescent="0.25">
      <c r="A470" s="47" t="s">
        <v>497</v>
      </c>
      <c r="B470" s="23" t="s">
        <v>923</v>
      </c>
      <c r="C470" s="28">
        <v>46044</v>
      </c>
      <c r="D470" s="30" t="s">
        <v>372</v>
      </c>
      <c r="E470" s="28" t="s">
        <v>918</v>
      </c>
      <c r="F470" s="28" t="s">
        <v>924</v>
      </c>
      <c r="G470" s="28">
        <v>46054</v>
      </c>
      <c r="H470" s="23" t="s">
        <v>499</v>
      </c>
      <c r="I470" s="33" t="s">
        <v>14</v>
      </c>
      <c r="J470" s="23">
        <v>1</v>
      </c>
      <c r="K470" s="23">
        <v>1</v>
      </c>
      <c r="L470" s="35">
        <v>0</v>
      </c>
      <c r="M470" s="23">
        <v>3</v>
      </c>
      <c r="N470" s="23">
        <v>3</v>
      </c>
      <c r="O470" s="49">
        <v>0</v>
      </c>
      <c r="P470" s="45" t="s">
        <v>375</v>
      </c>
      <c r="Q470" s="23" t="s">
        <v>160</v>
      </c>
      <c r="R470" s="23" t="s">
        <v>376</v>
      </c>
      <c r="S470" s="22" t="s">
        <v>9</v>
      </c>
    </row>
    <row r="471" spans="1:19" ht="12.75" customHeight="1" x14ac:dyDescent="0.25">
      <c r="A471" s="47" t="s">
        <v>497</v>
      </c>
      <c r="B471" s="23" t="s">
        <v>925</v>
      </c>
      <c r="C471" s="28">
        <v>46045</v>
      </c>
      <c r="D471" s="30" t="s">
        <v>372</v>
      </c>
      <c r="E471" s="28" t="s">
        <v>918</v>
      </c>
      <c r="F471" s="28" t="s">
        <v>919</v>
      </c>
      <c r="G471" s="28">
        <v>46055</v>
      </c>
      <c r="H471" s="23" t="s">
        <v>499</v>
      </c>
      <c r="I471" s="33" t="s">
        <v>14</v>
      </c>
      <c r="J471" s="23">
        <v>1</v>
      </c>
      <c r="K471" s="23">
        <v>1</v>
      </c>
      <c r="L471" s="35">
        <v>0</v>
      </c>
      <c r="M471" s="23">
        <v>3</v>
      </c>
      <c r="N471" s="23">
        <v>3</v>
      </c>
      <c r="O471" s="49">
        <v>0</v>
      </c>
      <c r="P471" s="45" t="s">
        <v>375</v>
      </c>
      <c r="Q471" s="23" t="s">
        <v>160</v>
      </c>
      <c r="R471" s="23" t="s">
        <v>376</v>
      </c>
      <c r="S471" s="22" t="s">
        <v>9</v>
      </c>
    </row>
    <row r="472" spans="1:19" ht="12.75" customHeight="1" x14ac:dyDescent="0.25">
      <c r="A472" s="47" t="s">
        <v>497</v>
      </c>
      <c r="B472" s="23" t="s">
        <v>926</v>
      </c>
      <c r="C472" s="28">
        <v>46045</v>
      </c>
      <c r="D472" s="30" t="s">
        <v>372</v>
      </c>
      <c r="E472" s="28" t="s">
        <v>918</v>
      </c>
      <c r="F472" s="28" t="s">
        <v>370</v>
      </c>
      <c r="G472" s="28">
        <v>46055</v>
      </c>
      <c r="H472" s="23" t="s">
        <v>499</v>
      </c>
      <c r="I472" s="33" t="s">
        <v>14</v>
      </c>
      <c r="J472" s="23">
        <v>1</v>
      </c>
      <c r="K472" s="23">
        <v>1</v>
      </c>
      <c r="L472" s="35">
        <v>0</v>
      </c>
      <c r="M472" s="23">
        <v>2</v>
      </c>
      <c r="N472" s="23">
        <v>2</v>
      </c>
      <c r="O472" s="49">
        <v>0</v>
      </c>
      <c r="P472" s="45" t="s">
        <v>375</v>
      </c>
      <c r="Q472" s="23" t="s">
        <v>160</v>
      </c>
      <c r="R472" s="23" t="s">
        <v>376</v>
      </c>
      <c r="S472" s="22" t="s">
        <v>9</v>
      </c>
    </row>
    <row r="473" spans="1:19" ht="12.75" customHeight="1" x14ac:dyDescent="0.25">
      <c r="A473" s="47" t="s">
        <v>497</v>
      </c>
      <c r="B473" s="23" t="s">
        <v>927</v>
      </c>
      <c r="C473" s="28">
        <v>46049</v>
      </c>
      <c r="D473" s="30" t="s">
        <v>372</v>
      </c>
      <c r="E473" s="28" t="s">
        <v>918</v>
      </c>
      <c r="F473" s="28" t="s">
        <v>924</v>
      </c>
      <c r="G473" s="28">
        <v>46059</v>
      </c>
      <c r="H473" s="23" t="s">
        <v>499</v>
      </c>
      <c r="I473" s="33" t="s">
        <v>14</v>
      </c>
      <c r="J473" s="23">
        <v>1</v>
      </c>
      <c r="K473" s="23">
        <v>1</v>
      </c>
      <c r="L473" s="35">
        <v>0</v>
      </c>
      <c r="M473" s="23">
        <v>2</v>
      </c>
      <c r="N473" s="23">
        <v>2</v>
      </c>
      <c r="O473" s="49">
        <v>0</v>
      </c>
      <c r="P473" s="45" t="s">
        <v>375</v>
      </c>
      <c r="Q473" s="23" t="s">
        <v>160</v>
      </c>
      <c r="R473" s="23" t="s">
        <v>376</v>
      </c>
      <c r="S473" s="22" t="s">
        <v>9</v>
      </c>
    </row>
    <row r="474" spans="1:19" ht="12.75" customHeight="1" thickBot="1" x14ac:dyDescent="0.3">
      <c r="A474" s="51" t="s">
        <v>497</v>
      </c>
      <c r="B474" s="20" t="s">
        <v>928</v>
      </c>
      <c r="C474" s="25">
        <v>46052</v>
      </c>
      <c r="D474" s="27" t="s">
        <v>372</v>
      </c>
      <c r="E474" s="25" t="s">
        <v>918</v>
      </c>
      <c r="F474" s="25" t="s">
        <v>374</v>
      </c>
      <c r="G474" s="25">
        <v>46062</v>
      </c>
      <c r="H474" s="20" t="s">
        <v>499</v>
      </c>
      <c r="I474" s="32" t="s">
        <v>14</v>
      </c>
      <c r="J474" s="20">
        <v>1</v>
      </c>
      <c r="K474" s="20">
        <v>1</v>
      </c>
      <c r="L474" s="34">
        <v>0</v>
      </c>
      <c r="M474" s="20">
        <v>2</v>
      </c>
      <c r="N474" s="20">
        <v>2</v>
      </c>
      <c r="O474" s="54">
        <v>0</v>
      </c>
      <c r="P474" s="45" t="s">
        <v>375</v>
      </c>
      <c r="Q474" s="23" t="s">
        <v>160</v>
      </c>
      <c r="R474" s="23" t="s">
        <v>376</v>
      </c>
      <c r="S474" s="22" t="s">
        <v>9</v>
      </c>
    </row>
    <row r="475" spans="1:19" ht="17.25" customHeight="1" x14ac:dyDescent="0.25">
      <c r="A475" s="60"/>
      <c r="B475" s="50"/>
      <c r="C475" s="55"/>
      <c r="D475" s="56"/>
      <c r="E475" s="56"/>
      <c r="F475" s="57"/>
      <c r="G475" s="57"/>
      <c r="H475" s="57"/>
      <c r="I475" s="58" t="s">
        <v>1087</v>
      </c>
      <c r="J475" s="57">
        <f>SUM(J467:J474)</f>
        <v>7</v>
      </c>
      <c r="K475" s="57">
        <f>SUM(K467:K474)</f>
        <v>8</v>
      </c>
      <c r="L475" s="59">
        <f>(SUM(K467:K474) - SUM(J467:J474)) / SUM(K467:K474)</f>
        <v>0.125</v>
      </c>
      <c r="M475" s="57">
        <f>SUM(M467:M474)</f>
        <v>18</v>
      </c>
      <c r="N475" s="56">
        <f>SUM(N467:N474)</f>
        <v>16</v>
      </c>
      <c r="O475" s="61">
        <f>(SUM(M467:M474) - SUM(N467:N474)) / SUM(M467:M474)</f>
        <v>0.1111111111111111</v>
      </c>
      <c r="P475" s="52"/>
      <c r="Q475" s="53"/>
      <c r="R475" s="52"/>
      <c r="S475" s="52"/>
    </row>
    <row r="476" spans="1:19" x14ac:dyDescent="0.25">
      <c r="A476" s="125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2"/>
      <c r="M476" s="121"/>
      <c r="N476" s="121"/>
      <c r="O476" s="127"/>
      <c r="P476" s="120"/>
      <c r="Q476" s="120"/>
      <c r="R476" s="120"/>
      <c r="S476" s="120"/>
    </row>
    <row r="477" spans="1:19" ht="15.75" thickBot="1" x14ac:dyDescent="0.3">
      <c r="A477" s="126"/>
      <c r="B477" s="123"/>
      <c r="C477" s="124"/>
      <c r="D477" s="123"/>
      <c r="E477" s="123"/>
      <c r="F477" s="123"/>
      <c r="G477" s="124"/>
      <c r="H477" s="123"/>
      <c r="I477" s="123"/>
      <c r="J477" s="123"/>
      <c r="K477" s="123"/>
      <c r="L477" s="123"/>
      <c r="M477" s="123"/>
      <c r="N477" s="123"/>
      <c r="O477" s="128"/>
      <c r="P477" s="98"/>
      <c r="Q477" s="98"/>
      <c r="R477" s="98"/>
      <c r="S477" s="98"/>
    </row>
    <row r="478" spans="1:19" ht="15.75" thickBot="1" x14ac:dyDescent="0.3">
      <c r="C478" s="1"/>
      <c r="G478" s="1"/>
    </row>
    <row r="479" spans="1:19" x14ac:dyDescent="0.25">
      <c r="A479" s="9"/>
      <c r="B479" s="10"/>
      <c r="C479" s="11"/>
      <c r="D479" s="11"/>
      <c r="E479" s="11"/>
      <c r="F479" s="11"/>
      <c r="G479" s="11"/>
      <c r="H479" s="12"/>
      <c r="I479" s="11"/>
      <c r="J479" s="13"/>
      <c r="K479" s="13"/>
      <c r="L479" s="13"/>
      <c r="M479" s="13"/>
      <c r="N479" s="11"/>
      <c r="O479" s="14"/>
      <c r="P479" s="4"/>
      <c r="Q479" s="5"/>
      <c r="R479" s="4"/>
      <c r="S479" s="4"/>
    </row>
    <row r="480" spans="1:19" x14ac:dyDescent="0.25">
      <c r="A480" s="6" t="s">
        <v>1096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15"/>
      <c r="P480" s="3"/>
      <c r="Q480" s="3"/>
      <c r="R480" s="3"/>
      <c r="S480" s="3"/>
    </row>
    <row r="481" spans="1:19" x14ac:dyDescent="0.25">
      <c r="A481" s="7" t="s">
        <v>182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15"/>
      <c r="P481" s="3"/>
      <c r="Q481" s="3"/>
      <c r="R481" s="3"/>
      <c r="S481" s="3"/>
    </row>
    <row r="482" spans="1:19" ht="15.75" thickBot="1" x14ac:dyDescent="0.3">
      <c r="A482" s="8"/>
      <c r="B482" s="8"/>
      <c r="C482" s="74"/>
      <c r="D482" s="8"/>
      <c r="E482" s="8"/>
      <c r="F482" s="8"/>
      <c r="G482" s="74"/>
      <c r="H482" s="8"/>
      <c r="I482" s="8"/>
      <c r="J482" s="8"/>
      <c r="K482" s="8"/>
      <c r="L482" s="8"/>
      <c r="M482" s="8"/>
      <c r="N482" s="8"/>
      <c r="O482" s="16"/>
      <c r="P482" s="3"/>
      <c r="Q482" s="3"/>
      <c r="R482" s="3"/>
      <c r="S482" s="3"/>
    </row>
    <row r="483" spans="1:19" ht="17.25" customHeight="1" thickBot="1" x14ac:dyDescent="0.3">
      <c r="A483" s="19" t="s">
        <v>1068</v>
      </c>
      <c r="B483" s="24" t="s">
        <v>1069</v>
      </c>
      <c r="C483" s="26" t="s">
        <v>1070</v>
      </c>
      <c r="D483" s="29" t="s">
        <v>1071</v>
      </c>
      <c r="E483" s="26" t="s">
        <v>1072</v>
      </c>
      <c r="F483" s="31" t="s">
        <v>1073</v>
      </c>
      <c r="G483" s="31" t="s">
        <v>1074</v>
      </c>
      <c r="H483" s="31" t="s">
        <v>1075</v>
      </c>
      <c r="I483" s="29" t="s">
        <v>14</v>
      </c>
      <c r="J483" s="29" t="s">
        <v>1076</v>
      </c>
      <c r="K483" s="29" t="s">
        <v>1077</v>
      </c>
      <c r="L483" s="29" t="s">
        <v>1078</v>
      </c>
      <c r="M483" s="29" t="s">
        <v>1079</v>
      </c>
      <c r="N483" s="29" t="s">
        <v>1080</v>
      </c>
      <c r="O483" s="36" t="s">
        <v>1081</v>
      </c>
      <c r="P483" s="37" t="s">
        <v>1082</v>
      </c>
      <c r="Q483" s="38" t="s">
        <v>1083</v>
      </c>
      <c r="R483" s="38" t="s">
        <v>1084</v>
      </c>
      <c r="S483" s="39" t="s">
        <v>1085</v>
      </c>
    </row>
    <row r="484" spans="1:19" ht="12.75" customHeight="1" x14ac:dyDescent="0.25">
      <c r="A484" s="46" t="s">
        <v>497</v>
      </c>
      <c r="B484" s="40" t="s">
        <v>929</v>
      </c>
      <c r="C484" s="41">
        <v>46054</v>
      </c>
      <c r="D484" s="42" t="s">
        <v>391</v>
      </c>
      <c r="E484" s="41" t="s">
        <v>930</v>
      </c>
      <c r="F484" s="41" t="s">
        <v>378</v>
      </c>
      <c r="G484" s="41">
        <v>46064</v>
      </c>
      <c r="H484" s="40" t="s">
        <v>499</v>
      </c>
      <c r="I484" s="43" t="s">
        <v>14</v>
      </c>
      <c r="J484" s="40">
        <v>1</v>
      </c>
      <c r="K484" s="40">
        <v>1</v>
      </c>
      <c r="L484" s="44">
        <v>0</v>
      </c>
      <c r="M484" s="40">
        <v>2</v>
      </c>
      <c r="N484" s="40">
        <v>2</v>
      </c>
      <c r="O484" s="48">
        <v>0</v>
      </c>
      <c r="P484" s="45" t="s">
        <v>375</v>
      </c>
      <c r="Q484" s="23" t="s">
        <v>182</v>
      </c>
      <c r="R484" s="23" t="s">
        <v>393</v>
      </c>
      <c r="S484" s="22" t="s">
        <v>9</v>
      </c>
    </row>
    <row r="485" spans="1:19" ht="12.75" customHeight="1" x14ac:dyDescent="0.25">
      <c r="A485" s="47" t="s">
        <v>497</v>
      </c>
      <c r="B485" s="23" t="s">
        <v>931</v>
      </c>
      <c r="C485" s="28">
        <v>46054</v>
      </c>
      <c r="D485" s="30" t="s">
        <v>391</v>
      </c>
      <c r="E485" s="28" t="s">
        <v>932</v>
      </c>
      <c r="F485" s="28" t="s">
        <v>368</v>
      </c>
      <c r="G485" s="28">
        <v>46064</v>
      </c>
      <c r="H485" s="23" t="s">
        <v>499</v>
      </c>
      <c r="I485" s="33" t="s">
        <v>14</v>
      </c>
      <c r="J485" s="23">
        <v>1</v>
      </c>
      <c r="K485" s="23">
        <v>1</v>
      </c>
      <c r="L485" s="35">
        <v>0</v>
      </c>
      <c r="M485" s="23">
        <v>2</v>
      </c>
      <c r="N485" s="23">
        <v>2</v>
      </c>
      <c r="O485" s="49">
        <v>0</v>
      </c>
      <c r="P485" s="45" t="s">
        <v>375</v>
      </c>
      <c r="Q485" s="23" t="s">
        <v>182</v>
      </c>
      <c r="R485" s="23" t="s">
        <v>393</v>
      </c>
      <c r="S485" s="22" t="s">
        <v>9</v>
      </c>
    </row>
    <row r="486" spans="1:19" ht="12.75" customHeight="1" x14ac:dyDescent="0.25">
      <c r="A486" s="47" t="s">
        <v>497</v>
      </c>
      <c r="B486" s="23" t="s">
        <v>933</v>
      </c>
      <c r="C486" s="28">
        <v>46054</v>
      </c>
      <c r="D486" s="30" t="s">
        <v>391</v>
      </c>
      <c r="E486" s="28" t="s">
        <v>930</v>
      </c>
      <c r="F486" s="28" t="s">
        <v>378</v>
      </c>
      <c r="G486" s="28">
        <v>46064</v>
      </c>
      <c r="H486" s="23" t="s">
        <v>499</v>
      </c>
      <c r="I486" s="33" t="s">
        <v>14</v>
      </c>
      <c r="J486" s="23">
        <v>1</v>
      </c>
      <c r="K486" s="23">
        <v>1</v>
      </c>
      <c r="L486" s="35">
        <v>0</v>
      </c>
      <c r="M486" s="23">
        <v>2</v>
      </c>
      <c r="N486" s="23">
        <v>2</v>
      </c>
      <c r="O486" s="49">
        <v>0</v>
      </c>
      <c r="P486" s="45" t="s">
        <v>375</v>
      </c>
      <c r="Q486" s="23" t="s">
        <v>182</v>
      </c>
      <c r="R486" s="23" t="s">
        <v>393</v>
      </c>
      <c r="S486" s="22" t="s">
        <v>9</v>
      </c>
    </row>
    <row r="487" spans="1:19" ht="12.75" customHeight="1" x14ac:dyDescent="0.25">
      <c r="A487" s="47" t="s">
        <v>497</v>
      </c>
      <c r="B487" s="23" t="s">
        <v>934</v>
      </c>
      <c r="C487" s="28">
        <v>46054</v>
      </c>
      <c r="D487" s="30" t="s">
        <v>391</v>
      </c>
      <c r="E487" s="28" t="s">
        <v>918</v>
      </c>
      <c r="F487" s="28" t="s">
        <v>368</v>
      </c>
      <c r="G487" s="28">
        <v>46064</v>
      </c>
      <c r="H487" s="23" t="s">
        <v>499</v>
      </c>
      <c r="I487" s="33"/>
      <c r="J487" s="23">
        <v>0</v>
      </c>
      <c r="K487" s="23">
        <v>1</v>
      </c>
      <c r="L487" s="35">
        <v>1</v>
      </c>
      <c r="M487" s="23">
        <v>4</v>
      </c>
      <c r="N487" s="23">
        <v>0</v>
      </c>
      <c r="O487" s="49">
        <v>1</v>
      </c>
      <c r="P487" s="45" t="s">
        <v>375</v>
      </c>
      <c r="Q487" s="23" t="s">
        <v>182</v>
      </c>
      <c r="R487" s="23" t="s">
        <v>393</v>
      </c>
      <c r="S487" s="22" t="s">
        <v>9</v>
      </c>
    </row>
    <row r="488" spans="1:19" ht="12.75" customHeight="1" x14ac:dyDescent="0.25">
      <c r="A488" s="47" t="s">
        <v>497</v>
      </c>
      <c r="B488" s="23" t="s">
        <v>935</v>
      </c>
      <c r="C488" s="28">
        <v>46054</v>
      </c>
      <c r="D488" s="30" t="s">
        <v>391</v>
      </c>
      <c r="E488" s="28" t="s">
        <v>918</v>
      </c>
      <c r="F488" s="28" t="s">
        <v>368</v>
      </c>
      <c r="G488" s="28">
        <v>46064</v>
      </c>
      <c r="H488" s="23" t="s">
        <v>499</v>
      </c>
      <c r="I488" s="33"/>
      <c r="J488" s="23">
        <v>0</v>
      </c>
      <c r="K488" s="23">
        <v>1</v>
      </c>
      <c r="L488" s="35">
        <v>1</v>
      </c>
      <c r="M488" s="23">
        <v>2</v>
      </c>
      <c r="N488" s="23">
        <v>0</v>
      </c>
      <c r="O488" s="49">
        <v>1</v>
      </c>
      <c r="P488" s="45" t="s">
        <v>375</v>
      </c>
      <c r="Q488" s="23" t="s">
        <v>182</v>
      </c>
      <c r="R488" s="23" t="s">
        <v>393</v>
      </c>
      <c r="S488" s="22" t="s">
        <v>9</v>
      </c>
    </row>
    <row r="489" spans="1:19" ht="12.75" customHeight="1" x14ac:dyDescent="0.25">
      <c r="A489" s="47" t="s">
        <v>497</v>
      </c>
      <c r="B489" s="23" t="s">
        <v>936</v>
      </c>
      <c r="C489" s="28">
        <v>46055</v>
      </c>
      <c r="D489" s="30" t="s">
        <v>391</v>
      </c>
      <c r="E489" s="28" t="s">
        <v>918</v>
      </c>
      <c r="F489" s="28" t="s">
        <v>368</v>
      </c>
      <c r="G489" s="28">
        <v>46065</v>
      </c>
      <c r="H489" s="23" t="s">
        <v>499</v>
      </c>
      <c r="I489" s="33"/>
      <c r="J489" s="23">
        <v>0</v>
      </c>
      <c r="K489" s="23">
        <v>1</v>
      </c>
      <c r="L489" s="35">
        <v>1</v>
      </c>
      <c r="M489" s="23">
        <v>2</v>
      </c>
      <c r="N489" s="23">
        <v>0</v>
      </c>
      <c r="O489" s="49">
        <v>1</v>
      </c>
      <c r="P489" s="45" t="s">
        <v>375</v>
      </c>
      <c r="Q489" s="23" t="s">
        <v>182</v>
      </c>
      <c r="R489" s="23" t="s">
        <v>393</v>
      </c>
      <c r="S489" s="22" t="s">
        <v>9</v>
      </c>
    </row>
    <row r="490" spans="1:19" ht="12.75" customHeight="1" x14ac:dyDescent="0.25">
      <c r="A490" s="47" t="s">
        <v>497</v>
      </c>
      <c r="B490" s="23" t="s">
        <v>937</v>
      </c>
      <c r="C490" s="28">
        <v>46058</v>
      </c>
      <c r="D490" s="30" t="s">
        <v>391</v>
      </c>
      <c r="E490" s="28" t="s">
        <v>930</v>
      </c>
      <c r="F490" s="28" t="s">
        <v>384</v>
      </c>
      <c r="G490" s="28">
        <v>46068</v>
      </c>
      <c r="H490" s="23" t="s">
        <v>499</v>
      </c>
      <c r="I490" s="33"/>
      <c r="J490" s="23">
        <v>0</v>
      </c>
      <c r="K490" s="23">
        <v>1</v>
      </c>
      <c r="L490" s="35">
        <v>1</v>
      </c>
      <c r="M490" s="23">
        <v>2</v>
      </c>
      <c r="N490" s="23">
        <v>0</v>
      </c>
      <c r="O490" s="49">
        <v>1</v>
      </c>
      <c r="P490" s="45" t="s">
        <v>375</v>
      </c>
      <c r="Q490" s="23" t="s">
        <v>182</v>
      </c>
      <c r="R490" s="23" t="s">
        <v>393</v>
      </c>
      <c r="S490" s="22" t="s">
        <v>9</v>
      </c>
    </row>
    <row r="491" spans="1:19" ht="12.75" customHeight="1" x14ac:dyDescent="0.25">
      <c r="A491" s="47" t="s">
        <v>497</v>
      </c>
      <c r="B491" s="23" t="s">
        <v>938</v>
      </c>
      <c r="C491" s="28">
        <v>46061</v>
      </c>
      <c r="D491" s="30" t="s">
        <v>391</v>
      </c>
      <c r="E491" s="28" t="s">
        <v>939</v>
      </c>
      <c r="F491" s="28" t="s">
        <v>930</v>
      </c>
      <c r="G491" s="28">
        <v>46071</v>
      </c>
      <c r="H491" s="23" t="s">
        <v>499</v>
      </c>
      <c r="I491" s="33" t="s">
        <v>14</v>
      </c>
      <c r="J491" s="23">
        <v>1</v>
      </c>
      <c r="K491" s="23">
        <v>1</v>
      </c>
      <c r="L491" s="35">
        <v>0</v>
      </c>
      <c r="M491" s="23">
        <v>1</v>
      </c>
      <c r="N491" s="23">
        <v>1</v>
      </c>
      <c r="O491" s="49">
        <v>0</v>
      </c>
      <c r="P491" s="45" t="s">
        <v>375</v>
      </c>
      <c r="Q491" s="23" t="s">
        <v>182</v>
      </c>
      <c r="R491" s="23" t="s">
        <v>393</v>
      </c>
      <c r="S491" s="22" t="s">
        <v>9</v>
      </c>
    </row>
    <row r="492" spans="1:19" ht="12.75" customHeight="1" x14ac:dyDescent="0.25">
      <c r="A492" s="47" t="s">
        <v>497</v>
      </c>
      <c r="B492" s="23" t="s">
        <v>940</v>
      </c>
      <c r="C492" s="28">
        <v>46061</v>
      </c>
      <c r="D492" s="30" t="s">
        <v>391</v>
      </c>
      <c r="E492" s="28"/>
      <c r="F492" s="28"/>
      <c r="G492" s="28">
        <v>46071</v>
      </c>
      <c r="H492" s="23" t="s">
        <v>499</v>
      </c>
      <c r="I492" s="33" t="s">
        <v>113</v>
      </c>
      <c r="J492" s="23">
        <v>0</v>
      </c>
      <c r="K492" s="23">
        <v>1</v>
      </c>
      <c r="L492" s="35">
        <v>1</v>
      </c>
      <c r="M492" s="23">
        <v>2</v>
      </c>
      <c r="N492" s="23">
        <v>0</v>
      </c>
      <c r="O492" s="49">
        <v>1</v>
      </c>
      <c r="P492" s="45" t="s">
        <v>375</v>
      </c>
      <c r="Q492" s="23" t="s">
        <v>182</v>
      </c>
      <c r="R492" s="23" t="s">
        <v>393</v>
      </c>
      <c r="S492" s="22" t="s">
        <v>9</v>
      </c>
    </row>
    <row r="493" spans="1:19" ht="12.75" customHeight="1" x14ac:dyDescent="0.25">
      <c r="A493" s="47" t="s">
        <v>497</v>
      </c>
      <c r="B493" s="23" t="s">
        <v>941</v>
      </c>
      <c r="C493" s="28">
        <v>46061</v>
      </c>
      <c r="D493" s="30" t="s">
        <v>391</v>
      </c>
      <c r="E493" s="28" t="s">
        <v>373</v>
      </c>
      <c r="F493" s="28" t="s">
        <v>918</v>
      </c>
      <c r="G493" s="28">
        <v>46071</v>
      </c>
      <c r="H493" s="23" t="s">
        <v>499</v>
      </c>
      <c r="I493" s="33" t="s">
        <v>14</v>
      </c>
      <c r="J493" s="23">
        <v>1</v>
      </c>
      <c r="K493" s="23">
        <v>1</v>
      </c>
      <c r="L493" s="35">
        <v>0</v>
      </c>
      <c r="M493" s="23">
        <v>4</v>
      </c>
      <c r="N493" s="23">
        <v>4</v>
      </c>
      <c r="O493" s="49">
        <v>0</v>
      </c>
      <c r="P493" s="45" t="s">
        <v>375</v>
      </c>
      <c r="Q493" s="23" t="s">
        <v>182</v>
      </c>
      <c r="R493" s="23" t="s">
        <v>393</v>
      </c>
      <c r="S493" s="22" t="s">
        <v>9</v>
      </c>
    </row>
    <row r="494" spans="1:19" ht="12.75" customHeight="1" x14ac:dyDescent="0.25">
      <c r="A494" s="47" t="s">
        <v>497</v>
      </c>
      <c r="B494" s="23" t="s">
        <v>942</v>
      </c>
      <c r="C494" s="28">
        <v>46061</v>
      </c>
      <c r="D494" s="30" t="s">
        <v>391</v>
      </c>
      <c r="E494" s="28" t="s">
        <v>383</v>
      </c>
      <c r="F494" s="28" t="s">
        <v>943</v>
      </c>
      <c r="G494" s="28">
        <v>46071</v>
      </c>
      <c r="H494" s="23" t="s">
        <v>499</v>
      </c>
      <c r="I494" s="33" t="s">
        <v>14</v>
      </c>
      <c r="J494" s="23">
        <v>1</v>
      </c>
      <c r="K494" s="23">
        <v>1</v>
      </c>
      <c r="L494" s="35">
        <v>0</v>
      </c>
      <c r="M494" s="23">
        <v>2</v>
      </c>
      <c r="N494" s="23">
        <v>2</v>
      </c>
      <c r="O494" s="49">
        <v>0</v>
      </c>
      <c r="P494" s="45" t="s">
        <v>375</v>
      </c>
      <c r="Q494" s="23" t="s">
        <v>182</v>
      </c>
      <c r="R494" s="23" t="s">
        <v>393</v>
      </c>
      <c r="S494" s="22" t="s">
        <v>9</v>
      </c>
    </row>
    <row r="495" spans="1:19" ht="12.75" customHeight="1" x14ac:dyDescent="0.25">
      <c r="A495" s="47" t="s">
        <v>497</v>
      </c>
      <c r="B495" s="23" t="s">
        <v>944</v>
      </c>
      <c r="C495" s="28">
        <v>46064</v>
      </c>
      <c r="D495" s="30" t="s">
        <v>391</v>
      </c>
      <c r="E495" s="28" t="s">
        <v>922</v>
      </c>
      <c r="F495" s="28" t="s">
        <v>943</v>
      </c>
      <c r="G495" s="28">
        <v>46074</v>
      </c>
      <c r="H495" s="23" t="s">
        <v>499</v>
      </c>
      <c r="I495" s="33" t="s">
        <v>14</v>
      </c>
      <c r="J495" s="23">
        <v>1</v>
      </c>
      <c r="K495" s="23">
        <v>1</v>
      </c>
      <c r="L495" s="35">
        <v>0</v>
      </c>
      <c r="M495" s="23">
        <v>2</v>
      </c>
      <c r="N495" s="23">
        <v>2</v>
      </c>
      <c r="O495" s="49">
        <v>0</v>
      </c>
      <c r="P495" s="45" t="s">
        <v>375</v>
      </c>
      <c r="Q495" s="23" t="s">
        <v>182</v>
      </c>
      <c r="R495" s="23" t="s">
        <v>393</v>
      </c>
      <c r="S495" s="22" t="s">
        <v>9</v>
      </c>
    </row>
    <row r="496" spans="1:19" ht="12.75" customHeight="1" x14ac:dyDescent="0.25">
      <c r="A496" s="47" t="s">
        <v>497</v>
      </c>
      <c r="B496" s="23" t="s">
        <v>945</v>
      </c>
      <c r="C496" s="28">
        <v>46065</v>
      </c>
      <c r="D496" s="30" t="s">
        <v>391</v>
      </c>
      <c r="E496" s="28" t="s">
        <v>383</v>
      </c>
      <c r="F496" s="28" t="s">
        <v>943</v>
      </c>
      <c r="G496" s="28">
        <v>46075</v>
      </c>
      <c r="H496" s="23" t="s">
        <v>499</v>
      </c>
      <c r="I496" s="33" t="s">
        <v>14</v>
      </c>
      <c r="J496" s="23">
        <v>1</v>
      </c>
      <c r="K496" s="23">
        <v>1</v>
      </c>
      <c r="L496" s="35">
        <v>0</v>
      </c>
      <c r="M496" s="23">
        <v>2</v>
      </c>
      <c r="N496" s="23">
        <v>2</v>
      </c>
      <c r="O496" s="49">
        <v>0</v>
      </c>
      <c r="P496" s="45" t="s">
        <v>375</v>
      </c>
      <c r="Q496" s="23" t="s">
        <v>182</v>
      </c>
      <c r="R496" s="23" t="s">
        <v>393</v>
      </c>
      <c r="S496" s="22" t="s">
        <v>9</v>
      </c>
    </row>
    <row r="497" spans="1:19" ht="12.75" customHeight="1" x14ac:dyDescent="0.25">
      <c r="A497" s="47" t="s">
        <v>497</v>
      </c>
      <c r="B497" s="23" t="s">
        <v>946</v>
      </c>
      <c r="C497" s="28">
        <v>46066</v>
      </c>
      <c r="D497" s="30" t="s">
        <v>391</v>
      </c>
      <c r="E497" s="28" t="s">
        <v>373</v>
      </c>
      <c r="F497" s="28" t="s">
        <v>943</v>
      </c>
      <c r="G497" s="28">
        <v>46076</v>
      </c>
      <c r="H497" s="23" t="s">
        <v>499</v>
      </c>
      <c r="I497" s="33"/>
      <c r="J497" s="23">
        <v>0</v>
      </c>
      <c r="K497" s="23">
        <v>1</v>
      </c>
      <c r="L497" s="35">
        <v>1</v>
      </c>
      <c r="M497" s="23">
        <v>2</v>
      </c>
      <c r="N497" s="23">
        <v>0</v>
      </c>
      <c r="O497" s="49">
        <v>1</v>
      </c>
      <c r="P497" s="45" t="s">
        <v>375</v>
      </c>
      <c r="Q497" s="23" t="s">
        <v>182</v>
      </c>
      <c r="R497" s="23" t="s">
        <v>393</v>
      </c>
      <c r="S497" s="22" t="s">
        <v>9</v>
      </c>
    </row>
    <row r="498" spans="1:19" ht="12.75" customHeight="1" x14ac:dyDescent="0.25">
      <c r="A498" s="47" t="s">
        <v>497</v>
      </c>
      <c r="B498" s="23" t="s">
        <v>947</v>
      </c>
      <c r="C498" s="28">
        <v>46068</v>
      </c>
      <c r="D498" s="30" t="s">
        <v>391</v>
      </c>
      <c r="E498" s="28" t="s">
        <v>387</v>
      </c>
      <c r="F498" s="28" t="s">
        <v>399</v>
      </c>
      <c r="G498" s="28">
        <v>46078</v>
      </c>
      <c r="H498" s="23" t="s">
        <v>499</v>
      </c>
      <c r="I498" s="33" t="s">
        <v>14</v>
      </c>
      <c r="J498" s="23">
        <v>1</v>
      </c>
      <c r="K498" s="23">
        <v>1</v>
      </c>
      <c r="L498" s="35">
        <v>0</v>
      </c>
      <c r="M498" s="23">
        <v>3</v>
      </c>
      <c r="N498" s="23">
        <v>3</v>
      </c>
      <c r="O498" s="49">
        <v>0</v>
      </c>
      <c r="P498" s="45" t="s">
        <v>375</v>
      </c>
      <c r="Q498" s="23" t="s">
        <v>182</v>
      </c>
      <c r="R498" s="23" t="s">
        <v>393</v>
      </c>
      <c r="S498" s="22" t="s">
        <v>9</v>
      </c>
    </row>
    <row r="499" spans="1:19" ht="12.75" customHeight="1" x14ac:dyDescent="0.25">
      <c r="A499" s="47" t="s">
        <v>497</v>
      </c>
      <c r="B499" s="23" t="s">
        <v>948</v>
      </c>
      <c r="C499" s="28">
        <v>46068</v>
      </c>
      <c r="D499" s="30" t="s">
        <v>391</v>
      </c>
      <c r="E499" s="28" t="s">
        <v>405</v>
      </c>
      <c r="F499" s="28" t="s">
        <v>949</v>
      </c>
      <c r="G499" s="28">
        <v>46078</v>
      </c>
      <c r="H499" s="23" t="s">
        <v>499</v>
      </c>
      <c r="I499" s="33" t="s">
        <v>14</v>
      </c>
      <c r="J499" s="23">
        <v>1</v>
      </c>
      <c r="K499" s="23">
        <v>1</v>
      </c>
      <c r="L499" s="35">
        <v>0</v>
      </c>
      <c r="M499" s="23">
        <v>2</v>
      </c>
      <c r="N499" s="23">
        <v>2</v>
      </c>
      <c r="O499" s="49">
        <v>0</v>
      </c>
      <c r="P499" s="45" t="s">
        <v>375</v>
      </c>
      <c r="Q499" s="23" t="s">
        <v>182</v>
      </c>
      <c r="R499" s="23" t="s">
        <v>393</v>
      </c>
      <c r="S499" s="22" t="s">
        <v>9</v>
      </c>
    </row>
    <row r="500" spans="1:19" ht="12.75" customHeight="1" x14ac:dyDescent="0.25">
      <c r="A500" s="47" t="s">
        <v>497</v>
      </c>
      <c r="B500" s="23" t="s">
        <v>950</v>
      </c>
      <c r="C500" s="28">
        <v>46068</v>
      </c>
      <c r="D500" s="30" t="s">
        <v>391</v>
      </c>
      <c r="E500" s="28" t="s">
        <v>383</v>
      </c>
      <c r="F500" s="28" t="s">
        <v>943</v>
      </c>
      <c r="G500" s="28">
        <v>46078</v>
      </c>
      <c r="H500" s="23" t="s">
        <v>499</v>
      </c>
      <c r="I500" s="33"/>
      <c r="J500" s="23">
        <v>0</v>
      </c>
      <c r="K500" s="23">
        <v>1</v>
      </c>
      <c r="L500" s="35">
        <v>1</v>
      </c>
      <c r="M500" s="23">
        <v>2</v>
      </c>
      <c r="N500" s="23">
        <v>0</v>
      </c>
      <c r="O500" s="49">
        <v>1</v>
      </c>
      <c r="P500" s="45" t="s">
        <v>375</v>
      </c>
      <c r="Q500" s="23" t="s">
        <v>182</v>
      </c>
      <c r="R500" s="23" t="s">
        <v>393</v>
      </c>
      <c r="S500" s="22" t="s">
        <v>9</v>
      </c>
    </row>
    <row r="501" spans="1:19" ht="12.75" customHeight="1" x14ac:dyDescent="0.25">
      <c r="A501" s="47" t="s">
        <v>497</v>
      </c>
      <c r="B501" s="23" t="s">
        <v>951</v>
      </c>
      <c r="C501" s="28">
        <v>46068</v>
      </c>
      <c r="D501" s="30" t="s">
        <v>391</v>
      </c>
      <c r="E501" s="28"/>
      <c r="F501" s="28"/>
      <c r="G501" s="28">
        <v>46078</v>
      </c>
      <c r="H501" s="23" t="s">
        <v>499</v>
      </c>
      <c r="I501" s="33" t="s">
        <v>113</v>
      </c>
      <c r="J501" s="23">
        <v>0</v>
      </c>
      <c r="K501" s="23">
        <v>1</v>
      </c>
      <c r="L501" s="35">
        <v>1</v>
      </c>
      <c r="M501" s="23">
        <v>2</v>
      </c>
      <c r="N501" s="23">
        <v>0</v>
      </c>
      <c r="O501" s="49">
        <v>1</v>
      </c>
      <c r="P501" s="45" t="s">
        <v>375</v>
      </c>
      <c r="Q501" s="23" t="s">
        <v>182</v>
      </c>
      <c r="R501" s="23" t="s">
        <v>393</v>
      </c>
      <c r="S501" s="22" t="s">
        <v>9</v>
      </c>
    </row>
    <row r="502" spans="1:19" ht="12.75" customHeight="1" x14ac:dyDescent="0.25">
      <c r="A502" s="47" t="s">
        <v>497</v>
      </c>
      <c r="B502" s="23" t="s">
        <v>952</v>
      </c>
      <c r="C502" s="28">
        <v>46073</v>
      </c>
      <c r="D502" s="30" t="s">
        <v>391</v>
      </c>
      <c r="E502" s="28" t="s">
        <v>939</v>
      </c>
      <c r="F502" s="28" t="s">
        <v>383</v>
      </c>
      <c r="G502" s="28">
        <v>46083</v>
      </c>
      <c r="H502" s="23" t="s">
        <v>499</v>
      </c>
      <c r="I502" s="33" t="s">
        <v>14</v>
      </c>
      <c r="J502" s="23">
        <v>1</v>
      </c>
      <c r="K502" s="23">
        <v>1</v>
      </c>
      <c r="L502" s="35">
        <v>0</v>
      </c>
      <c r="M502" s="23">
        <v>14</v>
      </c>
      <c r="N502" s="23">
        <v>14</v>
      </c>
      <c r="O502" s="49">
        <v>0</v>
      </c>
      <c r="P502" s="45" t="s">
        <v>375</v>
      </c>
      <c r="Q502" s="23" t="s">
        <v>182</v>
      </c>
      <c r="R502" s="23" t="s">
        <v>393</v>
      </c>
      <c r="S502" s="22" t="s">
        <v>9</v>
      </c>
    </row>
    <row r="503" spans="1:19" ht="12.75" customHeight="1" x14ac:dyDescent="0.25">
      <c r="A503" s="47" t="s">
        <v>497</v>
      </c>
      <c r="B503" s="23" t="s">
        <v>953</v>
      </c>
      <c r="C503" s="28">
        <v>46075</v>
      </c>
      <c r="D503" s="30" t="s">
        <v>391</v>
      </c>
      <c r="E503" s="28" t="s">
        <v>387</v>
      </c>
      <c r="F503" s="28" t="s">
        <v>392</v>
      </c>
      <c r="G503" s="28">
        <v>46085</v>
      </c>
      <c r="H503" s="23" t="s">
        <v>499</v>
      </c>
      <c r="I503" s="33" t="s">
        <v>14</v>
      </c>
      <c r="J503" s="23">
        <v>1</v>
      </c>
      <c r="K503" s="23">
        <v>1</v>
      </c>
      <c r="L503" s="35">
        <v>0</v>
      </c>
      <c r="M503" s="23">
        <v>2</v>
      </c>
      <c r="N503" s="23">
        <v>2</v>
      </c>
      <c r="O503" s="49">
        <v>0</v>
      </c>
      <c r="P503" s="45" t="s">
        <v>375</v>
      </c>
      <c r="Q503" s="23" t="s">
        <v>182</v>
      </c>
      <c r="R503" s="23" t="s">
        <v>393</v>
      </c>
      <c r="S503" s="22" t="s">
        <v>9</v>
      </c>
    </row>
    <row r="504" spans="1:19" ht="12.75" customHeight="1" x14ac:dyDescent="0.25">
      <c r="A504" s="47" t="s">
        <v>497</v>
      </c>
      <c r="B504" s="23" t="s">
        <v>954</v>
      </c>
      <c r="C504" s="28">
        <v>46075</v>
      </c>
      <c r="D504" s="30" t="s">
        <v>391</v>
      </c>
      <c r="E504" s="28" t="s">
        <v>939</v>
      </c>
      <c r="F504" s="28" t="s">
        <v>383</v>
      </c>
      <c r="G504" s="28">
        <v>46085</v>
      </c>
      <c r="H504" s="23" t="s">
        <v>499</v>
      </c>
      <c r="I504" s="33"/>
      <c r="J504" s="23">
        <v>0</v>
      </c>
      <c r="K504" s="23">
        <v>1</v>
      </c>
      <c r="L504" s="35">
        <v>1</v>
      </c>
      <c r="M504" s="23">
        <v>2</v>
      </c>
      <c r="N504" s="23">
        <v>0</v>
      </c>
      <c r="O504" s="49">
        <v>1</v>
      </c>
      <c r="P504" s="45" t="s">
        <v>375</v>
      </c>
      <c r="Q504" s="23" t="s">
        <v>182</v>
      </c>
      <c r="R504" s="23" t="s">
        <v>393</v>
      </c>
      <c r="S504" s="22" t="s">
        <v>9</v>
      </c>
    </row>
    <row r="505" spans="1:19" ht="12.75" customHeight="1" thickBot="1" x14ac:dyDescent="0.3">
      <c r="A505" s="51" t="s">
        <v>497</v>
      </c>
      <c r="B505" s="20" t="s">
        <v>955</v>
      </c>
      <c r="C505" s="25">
        <v>46077</v>
      </c>
      <c r="D505" s="27" t="s">
        <v>391</v>
      </c>
      <c r="E505" s="25" t="s">
        <v>939</v>
      </c>
      <c r="F505" s="25" t="s">
        <v>956</v>
      </c>
      <c r="G505" s="25">
        <v>46087</v>
      </c>
      <c r="H505" s="20" t="s">
        <v>499</v>
      </c>
      <c r="I505" s="32"/>
      <c r="J505" s="20">
        <v>0</v>
      </c>
      <c r="K505" s="20">
        <v>1</v>
      </c>
      <c r="L505" s="34">
        <v>1</v>
      </c>
      <c r="M505" s="20">
        <v>2</v>
      </c>
      <c r="N505" s="20">
        <v>0</v>
      </c>
      <c r="O505" s="54">
        <v>1</v>
      </c>
      <c r="P505" s="45" t="s">
        <v>375</v>
      </c>
      <c r="Q505" s="23" t="s">
        <v>182</v>
      </c>
      <c r="R505" s="23" t="s">
        <v>393</v>
      </c>
      <c r="S505" s="22" t="s">
        <v>9</v>
      </c>
    </row>
    <row r="506" spans="1:19" ht="17.25" customHeight="1" x14ac:dyDescent="0.25">
      <c r="A506" s="60"/>
      <c r="B506" s="50"/>
      <c r="C506" s="55"/>
      <c r="D506" s="56"/>
      <c r="E506" s="56"/>
      <c r="F506" s="57"/>
      <c r="G506" s="57"/>
      <c r="H506" s="57"/>
      <c r="I506" s="58" t="s">
        <v>1087</v>
      </c>
      <c r="J506" s="57">
        <f>SUM(J484:J505)</f>
        <v>12</v>
      </c>
      <c r="K506" s="57">
        <f>SUM(K484:K505)</f>
        <v>22</v>
      </c>
      <c r="L506" s="59">
        <f>(SUM(K484:K505) - SUM(J484:J505)) / SUM(K484:K505)</f>
        <v>0.45454545454545453</v>
      </c>
      <c r="M506" s="57">
        <f>SUM(M484:M505)</f>
        <v>60</v>
      </c>
      <c r="N506" s="56">
        <f>SUM(N484:N505)</f>
        <v>38</v>
      </c>
      <c r="O506" s="61">
        <f>(SUM(M484:M505) - SUM(N484:N505)) / SUM(M484:M505)</f>
        <v>0.36666666666666664</v>
      </c>
      <c r="P506" s="52"/>
      <c r="Q506" s="53"/>
      <c r="R506" s="52"/>
      <c r="S506" s="52"/>
    </row>
    <row r="507" spans="1:19" x14ac:dyDescent="0.25">
      <c r="A507" s="125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2"/>
      <c r="M507" s="121"/>
      <c r="N507" s="121"/>
      <c r="O507" s="127"/>
      <c r="P507" s="120"/>
      <c r="Q507" s="120"/>
      <c r="R507" s="120"/>
      <c r="S507" s="120"/>
    </row>
    <row r="508" spans="1:19" ht="15.75" thickBot="1" x14ac:dyDescent="0.3">
      <c r="A508" s="126"/>
      <c r="B508" s="123"/>
      <c r="C508" s="124"/>
      <c r="D508" s="123"/>
      <c r="E508" s="123"/>
      <c r="F508" s="123"/>
      <c r="G508" s="124"/>
      <c r="H508" s="123"/>
      <c r="I508" s="123"/>
      <c r="J508" s="123"/>
      <c r="K508" s="123"/>
      <c r="L508" s="123"/>
      <c r="M508" s="123"/>
      <c r="N508" s="123"/>
      <c r="O508" s="128"/>
      <c r="P508" s="98"/>
      <c r="Q508" s="98"/>
      <c r="R508" s="98"/>
      <c r="S508" s="98"/>
    </row>
    <row r="509" spans="1:19" ht="15.75" thickBot="1" x14ac:dyDescent="0.3">
      <c r="C509" s="1"/>
      <c r="G509" s="1"/>
    </row>
    <row r="510" spans="1:19" x14ac:dyDescent="0.25">
      <c r="A510" s="9"/>
      <c r="B510" s="10"/>
      <c r="C510" s="11"/>
      <c r="D510" s="11"/>
      <c r="E510" s="11"/>
      <c r="F510" s="11"/>
      <c r="G510" s="11"/>
      <c r="H510" s="12"/>
      <c r="I510" s="11"/>
      <c r="J510" s="13"/>
      <c r="K510" s="13"/>
      <c r="L510" s="13"/>
      <c r="M510" s="13"/>
      <c r="N510" s="11"/>
      <c r="O510" s="14"/>
      <c r="P510" s="4"/>
      <c r="Q510" s="5"/>
      <c r="R510" s="4"/>
      <c r="S510" s="4"/>
    </row>
    <row r="511" spans="1:19" x14ac:dyDescent="0.25">
      <c r="A511" s="6" t="s">
        <v>1096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15"/>
      <c r="P511" s="3"/>
      <c r="Q511" s="3"/>
      <c r="R511" s="3"/>
      <c r="S511" s="3"/>
    </row>
    <row r="512" spans="1:19" x14ac:dyDescent="0.25">
      <c r="A512" s="7" t="s">
        <v>201</v>
      </c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15"/>
      <c r="P512" s="3"/>
      <c r="Q512" s="3"/>
      <c r="R512" s="3"/>
      <c r="S512" s="3"/>
    </row>
    <row r="513" spans="1:19" ht="15.75" thickBot="1" x14ac:dyDescent="0.3">
      <c r="A513" s="8"/>
      <c r="B513" s="8"/>
      <c r="C513" s="74"/>
      <c r="D513" s="8"/>
      <c r="E513" s="8"/>
      <c r="F513" s="8"/>
      <c r="G513" s="74"/>
      <c r="H513" s="8"/>
      <c r="I513" s="8"/>
      <c r="J513" s="8"/>
      <c r="K513" s="8"/>
      <c r="L513" s="8"/>
      <c r="M513" s="8"/>
      <c r="N513" s="8"/>
      <c r="O513" s="16"/>
      <c r="P513" s="3"/>
      <c r="Q513" s="3"/>
      <c r="R513" s="3"/>
      <c r="S513" s="3"/>
    </row>
    <row r="514" spans="1:19" ht="17.25" customHeight="1" thickBot="1" x14ac:dyDescent="0.3">
      <c r="A514" s="19" t="s">
        <v>1068</v>
      </c>
      <c r="B514" s="24" t="s">
        <v>1069</v>
      </c>
      <c r="C514" s="26" t="s">
        <v>1070</v>
      </c>
      <c r="D514" s="29" t="s">
        <v>1071</v>
      </c>
      <c r="E514" s="26" t="s">
        <v>1072</v>
      </c>
      <c r="F514" s="31" t="s">
        <v>1073</v>
      </c>
      <c r="G514" s="31" t="s">
        <v>1074</v>
      </c>
      <c r="H514" s="31" t="s">
        <v>1075</v>
      </c>
      <c r="I514" s="29" t="s">
        <v>14</v>
      </c>
      <c r="J514" s="29" t="s">
        <v>1076</v>
      </c>
      <c r="K514" s="29" t="s">
        <v>1077</v>
      </c>
      <c r="L514" s="29" t="s">
        <v>1078</v>
      </c>
      <c r="M514" s="29" t="s">
        <v>1079</v>
      </c>
      <c r="N514" s="29" t="s">
        <v>1080</v>
      </c>
      <c r="O514" s="36" t="s">
        <v>1081</v>
      </c>
      <c r="P514" s="37" t="s">
        <v>1082</v>
      </c>
      <c r="Q514" s="38" t="s">
        <v>1083</v>
      </c>
      <c r="R514" s="38" t="s">
        <v>1084</v>
      </c>
      <c r="S514" s="39" t="s">
        <v>1085</v>
      </c>
    </row>
    <row r="515" spans="1:19" ht="12.75" customHeight="1" x14ac:dyDescent="0.25">
      <c r="A515" s="46" t="s">
        <v>497</v>
      </c>
      <c r="B515" s="40" t="s">
        <v>957</v>
      </c>
      <c r="C515" s="41">
        <v>46083</v>
      </c>
      <c r="D515" s="42" t="s">
        <v>403</v>
      </c>
      <c r="E515" s="41" t="s">
        <v>387</v>
      </c>
      <c r="F515" s="41" t="s">
        <v>958</v>
      </c>
      <c r="G515" s="41">
        <v>46093</v>
      </c>
      <c r="H515" s="40" t="s">
        <v>499</v>
      </c>
      <c r="I515" s="43" t="s">
        <v>14</v>
      </c>
      <c r="J515" s="40">
        <v>1</v>
      </c>
      <c r="K515" s="40">
        <v>1</v>
      </c>
      <c r="L515" s="44">
        <v>0</v>
      </c>
      <c r="M515" s="40">
        <v>20</v>
      </c>
      <c r="N515" s="40">
        <v>20</v>
      </c>
      <c r="O515" s="48">
        <v>0</v>
      </c>
      <c r="P515" s="45" t="s">
        <v>375</v>
      </c>
      <c r="Q515" s="23" t="s">
        <v>201</v>
      </c>
      <c r="R515" s="23" t="s">
        <v>406</v>
      </c>
      <c r="S515" s="22" t="s">
        <v>9</v>
      </c>
    </row>
    <row r="516" spans="1:19" ht="12.75" customHeight="1" x14ac:dyDescent="0.25">
      <c r="A516" s="47" t="s">
        <v>497</v>
      </c>
      <c r="B516" s="23" t="s">
        <v>959</v>
      </c>
      <c r="C516" s="28">
        <v>46084</v>
      </c>
      <c r="D516" s="30" t="s">
        <v>403</v>
      </c>
      <c r="E516" s="28" t="s">
        <v>387</v>
      </c>
      <c r="F516" s="28" t="s">
        <v>396</v>
      </c>
      <c r="G516" s="28">
        <v>46094</v>
      </c>
      <c r="H516" s="23" t="s">
        <v>499</v>
      </c>
      <c r="I516" s="33" t="s">
        <v>14</v>
      </c>
      <c r="J516" s="23">
        <v>1</v>
      </c>
      <c r="K516" s="23">
        <v>1</v>
      </c>
      <c r="L516" s="35">
        <v>0</v>
      </c>
      <c r="M516" s="23">
        <v>2</v>
      </c>
      <c r="N516" s="23">
        <v>2</v>
      </c>
      <c r="O516" s="49">
        <v>0</v>
      </c>
      <c r="P516" s="45" t="s">
        <v>375</v>
      </c>
      <c r="Q516" s="23" t="s">
        <v>201</v>
      </c>
      <c r="R516" s="23" t="s">
        <v>406</v>
      </c>
      <c r="S516" s="22" t="s">
        <v>9</v>
      </c>
    </row>
    <row r="517" spans="1:19" ht="12.75" customHeight="1" x14ac:dyDescent="0.25">
      <c r="A517" s="47" t="s">
        <v>497</v>
      </c>
      <c r="B517" s="23" t="s">
        <v>960</v>
      </c>
      <c r="C517" s="28">
        <v>46084</v>
      </c>
      <c r="D517" s="30" t="s">
        <v>403</v>
      </c>
      <c r="E517" s="28" t="s">
        <v>387</v>
      </c>
      <c r="F517" s="28" t="s">
        <v>961</v>
      </c>
      <c r="G517" s="28">
        <v>46094</v>
      </c>
      <c r="H517" s="23" t="s">
        <v>499</v>
      </c>
      <c r="I517" s="33" t="s">
        <v>14</v>
      </c>
      <c r="J517" s="23">
        <v>1</v>
      </c>
      <c r="K517" s="23">
        <v>1</v>
      </c>
      <c r="L517" s="35">
        <v>0</v>
      </c>
      <c r="M517" s="23">
        <v>3</v>
      </c>
      <c r="N517" s="23">
        <v>3</v>
      </c>
      <c r="O517" s="49">
        <v>0</v>
      </c>
      <c r="P517" s="45" t="s">
        <v>375</v>
      </c>
      <c r="Q517" s="23" t="s">
        <v>201</v>
      </c>
      <c r="R517" s="23" t="s">
        <v>406</v>
      </c>
      <c r="S517" s="22" t="s">
        <v>9</v>
      </c>
    </row>
    <row r="518" spans="1:19" ht="12.75" customHeight="1" x14ac:dyDescent="0.25">
      <c r="A518" s="47" t="s">
        <v>497</v>
      </c>
      <c r="B518" s="23" t="s">
        <v>962</v>
      </c>
      <c r="C518" s="28">
        <v>46084</v>
      </c>
      <c r="D518" s="30" t="s">
        <v>403</v>
      </c>
      <c r="E518" s="28" t="s">
        <v>387</v>
      </c>
      <c r="F518" s="28" t="s">
        <v>961</v>
      </c>
      <c r="G518" s="28">
        <v>46094</v>
      </c>
      <c r="H518" s="23" t="s">
        <v>499</v>
      </c>
      <c r="I518" s="33" t="s">
        <v>14</v>
      </c>
      <c r="J518" s="23">
        <v>1</v>
      </c>
      <c r="K518" s="23">
        <v>1</v>
      </c>
      <c r="L518" s="35">
        <v>0</v>
      </c>
      <c r="M518" s="23">
        <v>2</v>
      </c>
      <c r="N518" s="23">
        <v>2</v>
      </c>
      <c r="O518" s="49">
        <v>0</v>
      </c>
      <c r="P518" s="45" t="s">
        <v>375</v>
      </c>
      <c r="Q518" s="23" t="s">
        <v>201</v>
      </c>
      <c r="R518" s="23" t="s">
        <v>406</v>
      </c>
      <c r="S518" s="22" t="s">
        <v>9</v>
      </c>
    </row>
    <row r="519" spans="1:19" ht="12.75" customHeight="1" x14ac:dyDescent="0.25">
      <c r="A519" s="47" t="s">
        <v>497</v>
      </c>
      <c r="B519" s="23" t="s">
        <v>963</v>
      </c>
      <c r="C519" s="28">
        <v>46091</v>
      </c>
      <c r="D519" s="30" t="s">
        <v>403</v>
      </c>
      <c r="E519" s="28" t="s">
        <v>387</v>
      </c>
      <c r="F519" s="28" t="s">
        <v>964</v>
      </c>
      <c r="G519" s="28">
        <v>46101</v>
      </c>
      <c r="H519" s="23" t="s">
        <v>499</v>
      </c>
      <c r="I519" s="33"/>
      <c r="J519" s="23">
        <v>0</v>
      </c>
      <c r="K519" s="23">
        <v>1</v>
      </c>
      <c r="L519" s="35">
        <v>1</v>
      </c>
      <c r="M519" s="23">
        <v>2</v>
      </c>
      <c r="N519" s="23">
        <v>0</v>
      </c>
      <c r="O519" s="49">
        <v>1</v>
      </c>
      <c r="P519" s="45" t="s">
        <v>375</v>
      </c>
      <c r="Q519" s="23" t="s">
        <v>201</v>
      </c>
      <c r="R519" s="23" t="s">
        <v>406</v>
      </c>
      <c r="S519" s="22" t="s">
        <v>9</v>
      </c>
    </row>
    <row r="520" spans="1:19" ht="12.75" customHeight="1" x14ac:dyDescent="0.25">
      <c r="A520" s="47" t="s">
        <v>497</v>
      </c>
      <c r="B520" s="23" t="s">
        <v>965</v>
      </c>
      <c r="C520" s="28">
        <v>46091</v>
      </c>
      <c r="D520" s="30" t="s">
        <v>403</v>
      </c>
      <c r="E520" s="28" t="s">
        <v>398</v>
      </c>
      <c r="F520" s="28" t="s">
        <v>964</v>
      </c>
      <c r="G520" s="28">
        <v>46101</v>
      </c>
      <c r="H520" s="23" t="s">
        <v>499</v>
      </c>
      <c r="I520" s="33" t="s">
        <v>14</v>
      </c>
      <c r="J520" s="23">
        <v>1</v>
      </c>
      <c r="K520" s="23">
        <v>1</v>
      </c>
      <c r="L520" s="35">
        <v>0</v>
      </c>
      <c r="M520" s="23">
        <v>2</v>
      </c>
      <c r="N520" s="23">
        <v>2</v>
      </c>
      <c r="O520" s="49">
        <v>0</v>
      </c>
      <c r="P520" s="45" t="s">
        <v>375</v>
      </c>
      <c r="Q520" s="23" t="s">
        <v>201</v>
      </c>
      <c r="R520" s="23" t="s">
        <v>406</v>
      </c>
      <c r="S520" s="22" t="s">
        <v>9</v>
      </c>
    </row>
    <row r="521" spans="1:19" ht="12.75" customHeight="1" x14ac:dyDescent="0.25">
      <c r="A521" s="47" t="s">
        <v>497</v>
      </c>
      <c r="B521" s="23" t="s">
        <v>966</v>
      </c>
      <c r="C521" s="28">
        <v>46092</v>
      </c>
      <c r="D521" s="30" t="s">
        <v>403</v>
      </c>
      <c r="E521" s="28" t="s">
        <v>404</v>
      </c>
      <c r="F521" s="28" t="s">
        <v>410</v>
      </c>
      <c r="G521" s="28">
        <v>46102</v>
      </c>
      <c r="H521" s="23" t="s">
        <v>499</v>
      </c>
      <c r="I521" s="33" t="s">
        <v>14</v>
      </c>
      <c r="J521" s="23">
        <v>1</v>
      </c>
      <c r="K521" s="23">
        <v>1</v>
      </c>
      <c r="L521" s="35">
        <v>0</v>
      </c>
      <c r="M521" s="23">
        <v>2</v>
      </c>
      <c r="N521" s="23">
        <v>2</v>
      </c>
      <c r="O521" s="49">
        <v>0</v>
      </c>
      <c r="P521" s="45" t="s">
        <v>375</v>
      </c>
      <c r="Q521" s="23" t="s">
        <v>201</v>
      </c>
      <c r="R521" s="23" t="s">
        <v>406</v>
      </c>
      <c r="S521" s="22" t="s">
        <v>9</v>
      </c>
    </row>
    <row r="522" spans="1:19" ht="12.75" customHeight="1" x14ac:dyDescent="0.25">
      <c r="A522" s="47" t="s">
        <v>497</v>
      </c>
      <c r="B522" s="23" t="s">
        <v>967</v>
      </c>
      <c r="C522" s="28">
        <v>46092</v>
      </c>
      <c r="D522" s="30" t="s">
        <v>403</v>
      </c>
      <c r="E522" s="28" t="s">
        <v>968</v>
      </c>
      <c r="F522" s="28" t="s">
        <v>408</v>
      </c>
      <c r="G522" s="28">
        <v>46102</v>
      </c>
      <c r="H522" s="23" t="s">
        <v>499</v>
      </c>
      <c r="I522" s="33" t="s">
        <v>14</v>
      </c>
      <c r="J522" s="23">
        <v>1</v>
      </c>
      <c r="K522" s="23">
        <v>1</v>
      </c>
      <c r="L522" s="35">
        <v>0</v>
      </c>
      <c r="M522" s="23">
        <v>3</v>
      </c>
      <c r="N522" s="23">
        <v>3</v>
      </c>
      <c r="O522" s="49">
        <v>0</v>
      </c>
      <c r="P522" s="45" t="s">
        <v>375</v>
      </c>
      <c r="Q522" s="23" t="s">
        <v>201</v>
      </c>
      <c r="R522" s="23" t="s">
        <v>406</v>
      </c>
      <c r="S522" s="22" t="s">
        <v>9</v>
      </c>
    </row>
    <row r="523" spans="1:19" ht="12.75" customHeight="1" x14ac:dyDescent="0.25">
      <c r="A523" s="47" t="s">
        <v>497</v>
      </c>
      <c r="B523" s="23" t="s">
        <v>969</v>
      </c>
      <c r="C523" s="28">
        <v>46092</v>
      </c>
      <c r="D523" s="30" t="s">
        <v>403</v>
      </c>
      <c r="E523" s="28" t="s">
        <v>405</v>
      </c>
      <c r="F523" s="28" t="s">
        <v>408</v>
      </c>
      <c r="G523" s="28">
        <v>46102</v>
      </c>
      <c r="H523" s="23" t="s">
        <v>499</v>
      </c>
      <c r="I523" s="33" t="s">
        <v>14</v>
      </c>
      <c r="J523" s="23">
        <v>1</v>
      </c>
      <c r="K523" s="23">
        <v>1</v>
      </c>
      <c r="L523" s="35">
        <v>0</v>
      </c>
      <c r="M523" s="23">
        <v>2</v>
      </c>
      <c r="N523" s="23">
        <v>2</v>
      </c>
      <c r="O523" s="49">
        <v>0</v>
      </c>
      <c r="P523" s="45" t="s">
        <v>375</v>
      </c>
      <c r="Q523" s="23" t="s">
        <v>201</v>
      </c>
      <c r="R523" s="23" t="s">
        <v>406</v>
      </c>
      <c r="S523" s="22" t="s">
        <v>9</v>
      </c>
    </row>
    <row r="524" spans="1:19" ht="12.75" customHeight="1" x14ac:dyDescent="0.25">
      <c r="A524" s="47" t="s">
        <v>497</v>
      </c>
      <c r="B524" s="23" t="s">
        <v>970</v>
      </c>
      <c r="C524" s="28">
        <v>46092</v>
      </c>
      <c r="D524" s="30" t="s">
        <v>403</v>
      </c>
      <c r="E524" s="28" t="s">
        <v>404</v>
      </c>
      <c r="F524" s="28" t="s">
        <v>971</v>
      </c>
      <c r="G524" s="28">
        <v>46102</v>
      </c>
      <c r="H524" s="23" t="s">
        <v>499</v>
      </c>
      <c r="I524" s="33" t="s">
        <v>14</v>
      </c>
      <c r="J524" s="23">
        <v>1</v>
      </c>
      <c r="K524" s="23">
        <v>1</v>
      </c>
      <c r="L524" s="35">
        <v>0</v>
      </c>
      <c r="M524" s="23">
        <v>2</v>
      </c>
      <c r="N524" s="23">
        <v>2</v>
      </c>
      <c r="O524" s="49">
        <v>0</v>
      </c>
      <c r="P524" s="45" t="s">
        <v>375</v>
      </c>
      <c r="Q524" s="23" t="s">
        <v>201</v>
      </c>
      <c r="R524" s="23" t="s">
        <v>406</v>
      </c>
      <c r="S524" s="22" t="s">
        <v>9</v>
      </c>
    </row>
    <row r="525" spans="1:19" ht="12.75" customHeight="1" x14ac:dyDescent="0.25">
      <c r="A525" s="47" t="s">
        <v>497</v>
      </c>
      <c r="B525" s="23" t="s">
        <v>972</v>
      </c>
      <c r="C525" s="28">
        <v>46093</v>
      </c>
      <c r="D525" s="30" t="s">
        <v>403</v>
      </c>
      <c r="E525" s="28" t="s">
        <v>404</v>
      </c>
      <c r="F525" s="28" t="s">
        <v>964</v>
      </c>
      <c r="G525" s="28">
        <v>46103</v>
      </c>
      <c r="H525" s="23" t="s">
        <v>499</v>
      </c>
      <c r="I525" s="33" t="s">
        <v>14</v>
      </c>
      <c r="J525" s="23">
        <v>1</v>
      </c>
      <c r="K525" s="23">
        <v>1</v>
      </c>
      <c r="L525" s="35">
        <v>0</v>
      </c>
      <c r="M525" s="23">
        <v>2</v>
      </c>
      <c r="N525" s="23">
        <v>2</v>
      </c>
      <c r="O525" s="49">
        <v>0</v>
      </c>
      <c r="P525" s="45" t="s">
        <v>375</v>
      </c>
      <c r="Q525" s="23" t="s">
        <v>201</v>
      </c>
      <c r="R525" s="23" t="s">
        <v>406</v>
      </c>
      <c r="S525" s="22" t="s">
        <v>9</v>
      </c>
    </row>
    <row r="526" spans="1:19" ht="12.75" customHeight="1" x14ac:dyDescent="0.25">
      <c r="A526" s="47" t="s">
        <v>497</v>
      </c>
      <c r="B526" s="23" t="s">
        <v>973</v>
      </c>
      <c r="C526" s="28">
        <v>46095</v>
      </c>
      <c r="D526" s="30" t="s">
        <v>403</v>
      </c>
      <c r="E526" s="28" t="s">
        <v>974</v>
      </c>
      <c r="F526" s="28" t="s">
        <v>975</v>
      </c>
      <c r="G526" s="28">
        <v>46105</v>
      </c>
      <c r="H526" s="23" t="s">
        <v>499</v>
      </c>
      <c r="I526" s="33" t="s">
        <v>14</v>
      </c>
      <c r="J526" s="23">
        <v>1</v>
      </c>
      <c r="K526" s="23">
        <v>1</v>
      </c>
      <c r="L526" s="35">
        <v>0</v>
      </c>
      <c r="M526" s="23">
        <v>4</v>
      </c>
      <c r="N526" s="23">
        <v>4</v>
      </c>
      <c r="O526" s="49">
        <v>0</v>
      </c>
      <c r="P526" s="45" t="s">
        <v>375</v>
      </c>
      <c r="Q526" s="23" t="s">
        <v>201</v>
      </c>
      <c r="R526" s="23" t="s">
        <v>406</v>
      </c>
      <c r="S526" s="22" t="s">
        <v>9</v>
      </c>
    </row>
    <row r="527" spans="1:19" ht="12.75" customHeight="1" thickBot="1" x14ac:dyDescent="0.3">
      <c r="A527" s="51" t="s">
        <v>497</v>
      </c>
      <c r="B527" s="20" t="s">
        <v>976</v>
      </c>
      <c r="C527" s="25">
        <v>46099</v>
      </c>
      <c r="D527" s="27" t="s">
        <v>403</v>
      </c>
      <c r="E527" s="25" t="s">
        <v>398</v>
      </c>
      <c r="F527" s="25" t="s">
        <v>387</v>
      </c>
      <c r="G527" s="25">
        <v>46109</v>
      </c>
      <c r="H527" s="20" t="s">
        <v>499</v>
      </c>
      <c r="I527" s="32"/>
      <c r="J527" s="20">
        <v>0</v>
      </c>
      <c r="K527" s="20">
        <v>1</v>
      </c>
      <c r="L527" s="34">
        <v>1</v>
      </c>
      <c r="M527" s="20">
        <v>1</v>
      </c>
      <c r="N527" s="20">
        <v>0</v>
      </c>
      <c r="O527" s="54">
        <v>1</v>
      </c>
      <c r="P527" s="45" t="s">
        <v>375</v>
      </c>
      <c r="Q527" s="23" t="s">
        <v>201</v>
      </c>
      <c r="R527" s="23" t="s">
        <v>406</v>
      </c>
      <c r="S527" s="22" t="s">
        <v>9</v>
      </c>
    </row>
    <row r="528" spans="1:19" ht="17.25" customHeight="1" x14ac:dyDescent="0.25">
      <c r="A528" s="60"/>
      <c r="B528" s="50"/>
      <c r="C528" s="55"/>
      <c r="D528" s="56"/>
      <c r="E528" s="56"/>
      <c r="F528" s="57"/>
      <c r="G528" s="57"/>
      <c r="H528" s="57"/>
      <c r="I528" s="58" t="s">
        <v>1087</v>
      </c>
      <c r="J528" s="57">
        <f>SUM(J515:J527)</f>
        <v>11</v>
      </c>
      <c r="K528" s="57">
        <f>SUM(K515:K527)</f>
        <v>13</v>
      </c>
      <c r="L528" s="59">
        <f>(SUM(K515:K527) - SUM(J515:J527)) / SUM(K515:K527)</f>
        <v>0.15384615384615385</v>
      </c>
      <c r="M528" s="57">
        <f>SUM(M515:M527)</f>
        <v>47</v>
      </c>
      <c r="N528" s="56">
        <f>SUM(N515:N527)</f>
        <v>44</v>
      </c>
      <c r="O528" s="61">
        <f>(SUM(M515:M527) - SUM(N515:N527)) / SUM(M515:M527)</f>
        <v>6.3829787234042548E-2</v>
      </c>
      <c r="P528" s="52"/>
      <c r="Q528" s="53"/>
      <c r="R528" s="52"/>
      <c r="S528" s="52"/>
    </row>
    <row r="529" spans="1:19" x14ac:dyDescent="0.25">
      <c r="A529" s="125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2"/>
      <c r="M529" s="121"/>
      <c r="N529" s="121"/>
      <c r="O529" s="127"/>
      <c r="P529" s="120"/>
      <c r="Q529" s="120"/>
      <c r="R529" s="120"/>
      <c r="S529" s="120"/>
    </row>
    <row r="530" spans="1:19" ht="15.75" thickBot="1" x14ac:dyDescent="0.3">
      <c r="A530" s="126"/>
      <c r="B530" s="123"/>
      <c r="C530" s="124"/>
      <c r="D530" s="123"/>
      <c r="E530" s="123"/>
      <c r="F530" s="123"/>
      <c r="G530" s="124"/>
      <c r="H530" s="123"/>
      <c r="I530" s="123"/>
      <c r="J530" s="123"/>
      <c r="K530" s="123"/>
      <c r="L530" s="123"/>
      <c r="M530" s="123"/>
      <c r="N530" s="123"/>
      <c r="O530" s="128"/>
      <c r="P530" s="98"/>
      <c r="Q530" s="98"/>
      <c r="R530" s="98"/>
      <c r="S530" s="98"/>
    </row>
    <row r="531" spans="1:19" ht="15.75" thickBot="1" x14ac:dyDescent="0.3">
      <c r="C531" s="1"/>
      <c r="G531" s="1"/>
    </row>
    <row r="532" spans="1:19" x14ac:dyDescent="0.25">
      <c r="A532" s="9"/>
      <c r="B532" s="10"/>
      <c r="C532" s="11"/>
      <c r="D532" s="11"/>
      <c r="E532" s="11"/>
      <c r="F532" s="11"/>
      <c r="G532" s="11"/>
      <c r="H532" s="12"/>
      <c r="I532" s="11"/>
      <c r="J532" s="13"/>
      <c r="K532" s="13"/>
      <c r="L532" s="13"/>
      <c r="M532" s="13"/>
      <c r="N532" s="11"/>
      <c r="O532" s="14"/>
      <c r="P532" s="4"/>
      <c r="Q532" s="5"/>
      <c r="R532" s="4"/>
      <c r="S532" s="4"/>
    </row>
    <row r="533" spans="1:19" x14ac:dyDescent="0.25">
      <c r="A533" s="6" t="s">
        <v>1096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5"/>
      <c r="P533" s="3"/>
      <c r="Q533" s="3"/>
      <c r="R533" s="3"/>
      <c r="S533" s="3"/>
    </row>
    <row r="534" spans="1:19" x14ac:dyDescent="0.25">
      <c r="A534" s="7" t="s">
        <v>218</v>
      </c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15"/>
      <c r="P534" s="3"/>
      <c r="Q534" s="3"/>
      <c r="R534" s="3"/>
      <c r="S534" s="3"/>
    </row>
    <row r="535" spans="1:19" ht="15.75" thickBot="1" x14ac:dyDescent="0.3">
      <c r="A535" s="8"/>
      <c r="B535" s="8"/>
      <c r="C535" s="74"/>
      <c r="D535" s="8"/>
      <c r="E535" s="8"/>
      <c r="F535" s="8"/>
      <c r="G535" s="74"/>
      <c r="H535" s="8"/>
      <c r="I535" s="8"/>
      <c r="J535" s="8"/>
      <c r="K535" s="8"/>
      <c r="L535" s="8"/>
      <c r="M535" s="8"/>
      <c r="N535" s="8"/>
      <c r="O535" s="16"/>
      <c r="P535" s="3"/>
      <c r="Q535" s="3"/>
      <c r="R535" s="3"/>
      <c r="S535" s="3"/>
    </row>
    <row r="536" spans="1:19" ht="17.25" customHeight="1" thickBot="1" x14ac:dyDescent="0.3">
      <c r="A536" s="19" t="s">
        <v>1068</v>
      </c>
      <c r="B536" s="24" t="s">
        <v>1069</v>
      </c>
      <c r="C536" s="26" t="s">
        <v>1070</v>
      </c>
      <c r="D536" s="29" t="s">
        <v>1071</v>
      </c>
      <c r="E536" s="26" t="s">
        <v>1072</v>
      </c>
      <c r="F536" s="31" t="s">
        <v>1073</v>
      </c>
      <c r="G536" s="31" t="s">
        <v>1074</v>
      </c>
      <c r="H536" s="31" t="s">
        <v>1075</v>
      </c>
      <c r="I536" s="29" t="s">
        <v>14</v>
      </c>
      <c r="J536" s="29" t="s">
        <v>1076</v>
      </c>
      <c r="K536" s="29" t="s">
        <v>1077</v>
      </c>
      <c r="L536" s="29" t="s">
        <v>1078</v>
      </c>
      <c r="M536" s="29" t="s">
        <v>1079</v>
      </c>
      <c r="N536" s="29" t="s">
        <v>1080</v>
      </c>
      <c r="O536" s="36" t="s">
        <v>1081</v>
      </c>
      <c r="P536" s="37" t="s">
        <v>1082</v>
      </c>
      <c r="Q536" s="38" t="s">
        <v>1083</v>
      </c>
      <c r="R536" s="38" t="s">
        <v>1084</v>
      </c>
      <c r="S536" s="39" t="s">
        <v>1085</v>
      </c>
    </row>
    <row r="537" spans="1:19" ht="12.75" customHeight="1" x14ac:dyDescent="0.25">
      <c r="A537" s="46" t="s">
        <v>497</v>
      </c>
      <c r="B537" s="40" t="s">
        <v>977</v>
      </c>
      <c r="C537" s="41">
        <v>46113</v>
      </c>
      <c r="D537" s="42" t="s">
        <v>424</v>
      </c>
      <c r="E537" s="41"/>
      <c r="F537" s="41"/>
      <c r="G537" s="41">
        <v>46123</v>
      </c>
      <c r="H537" s="40" t="s">
        <v>499</v>
      </c>
      <c r="I537" s="43" t="s">
        <v>113</v>
      </c>
      <c r="J537" s="40">
        <v>0</v>
      </c>
      <c r="K537" s="40">
        <v>1</v>
      </c>
      <c r="L537" s="44">
        <v>1</v>
      </c>
      <c r="M537" s="40">
        <v>4</v>
      </c>
      <c r="N537" s="40">
        <v>0</v>
      </c>
      <c r="O537" s="48">
        <v>1</v>
      </c>
      <c r="P537" s="45" t="s">
        <v>375</v>
      </c>
      <c r="Q537" s="23" t="s">
        <v>218</v>
      </c>
      <c r="R537" s="23" t="s">
        <v>427</v>
      </c>
      <c r="S537" s="22" t="s">
        <v>9</v>
      </c>
    </row>
    <row r="538" spans="1:19" ht="12.75" customHeight="1" x14ac:dyDescent="0.25">
      <c r="A538" s="47" t="s">
        <v>497</v>
      </c>
      <c r="B538" s="23" t="s">
        <v>978</v>
      </c>
      <c r="C538" s="28">
        <v>46116</v>
      </c>
      <c r="D538" s="30" t="s">
        <v>424</v>
      </c>
      <c r="E538" s="28" t="s">
        <v>974</v>
      </c>
      <c r="F538" s="28" t="s">
        <v>422</v>
      </c>
      <c r="G538" s="28">
        <v>46126</v>
      </c>
      <c r="H538" s="23" t="s">
        <v>499</v>
      </c>
      <c r="I538" s="33"/>
      <c r="J538" s="23">
        <v>0</v>
      </c>
      <c r="K538" s="23">
        <v>1</v>
      </c>
      <c r="L538" s="35">
        <v>1</v>
      </c>
      <c r="M538" s="23">
        <v>1</v>
      </c>
      <c r="N538" s="23">
        <v>0</v>
      </c>
      <c r="O538" s="49">
        <v>1</v>
      </c>
      <c r="P538" s="45" t="s">
        <v>375</v>
      </c>
      <c r="Q538" s="23" t="s">
        <v>218</v>
      </c>
      <c r="R538" s="23" t="s">
        <v>427</v>
      </c>
      <c r="S538" s="22" t="s">
        <v>9</v>
      </c>
    </row>
    <row r="539" spans="1:19" ht="12.75" customHeight="1" x14ac:dyDescent="0.25">
      <c r="A539" s="47" t="s">
        <v>497</v>
      </c>
      <c r="B539" s="23" t="s">
        <v>979</v>
      </c>
      <c r="C539" s="28">
        <v>46119</v>
      </c>
      <c r="D539" s="30" t="s">
        <v>424</v>
      </c>
      <c r="E539" s="28" t="s">
        <v>404</v>
      </c>
      <c r="F539" s="28" t="s">
        <v>980</v>
      </c>
      <c r="G539" s="28">
        <v>46129</v>
      </c>
      <c r="H539" s="23" t="s">
        <v>499</v>
      </c>
      <c r="I539" s="33" t="s">
        <v>14</v>
      </c>
      <c r="J539" s="23">
        <v>1</v>
      </c>
      <c r="K539" s="23">
        <v>1</v>
      </c>
      <c r="L539" s="35">
        <v>0</v>
      </c>
      <c r="M539" s="23">
        <v>4</v>
      </c>
      <c r="N539" s="23">
        <v>4</v>
      </c>
      <c r="O539" s="49">
        <v>0</v>
      </c>
      <c r="P539" s="45" t="s">
        <v>375</v>
      </c>
      <c r="Q539" s="23" t="s">
        <v>218</v>
      </c>
      <c r="R539" s="23" t="s">
        <v>427</v>
      </c>
      <c r="S539" s="22" t="s">
        <v>9</v>
      </c>
    </row>
    <row r="540" spans="1:19" ht="12.75" customHeight="1" x14ac:dyDescent="0.25">
      <c r="A540" s="47" t="s">
        <v>497</v>
      </c>
      <c r="B540" s="23" t="s">
        <v>981</v>
      </c>
      <c r="C540" s="28">
        <v>46119</v>
      </c>
      <c r="D540" s="30" t="s">
        <v>424</v>
      </c>
      <c r="E540" s="28"/>
      <c r="F540" s="28"/>
      <c r="G540" s="28">
        <v>46129</v>
      </c>
      <c r="H540" s="23" t="s">
        <v>499</v>
      </c>
      <c r="I540" s="33" t="s">
        <v>113</v>
      </c>
      <c r="J540" s="23">
        <v>0</v>
      </c>
      <c r="K540" s="23">
        <v>1</v>
      </c>
      <c r="L540" s="35">
        <v>1</v>
      </c>
      <c r="M540" s="23">
        <v>2</v>
      </c>
      <c r="N540" s="23">
        <v>0</v>
      </c>
      <c r="O540" s="49">
        <v>1</v>
      </c>
      <c r="P540" s="45" t="s">
        <v>375</v>
      </c>
      <c r="Q540" s="23" t="s">
        <v>218</v>
      </c>
      <c r="R540" s="23" t="s">
        <v>427</v>
      </c>
      <c r="S540" s="22" t="s">
        <v>9</v>
      </c>
    </row>
    <row r="541" spans="1:19" ht="12.75" customHeight="1" x14ac:dyDescent="0.25">
      <c r="A541" s="47" t="s">
        <v>497</v>
      </c>
      <c r="B541" s="23" t="s">
        <v>982</v>
      </c>
      <c r="C541" s="28">
        <v>46119</v>
      </c>
      <c r="D541" s="30" t="s">
        <v>424</v>
      </c>
      <c r="E541" s="28" t="s">
        <v>404</v>
      </c>
      <c r="F541" s="28" t="s">
        <v>983</v>
      </c>
      <c r="G541" s="28">
        <v>46129</v>
      </c>
      <c r="H541" s="23" t="s">
        <v>499</v>
      </c>
      <c r="I541" s="33" t="s">
        <v>14</v>
      </c>
      <c r="J541" s="23">
        <v>1</v>
      </c>
      <c r="K541" s="23">
        <v>1</v>
      </c>
      <c r="L541" s="35">
        <v>0</v>
      </c>
      <c r="M541" s="23">
        <v>10</v>
      </c>
      <c r="N541" s="23">
        <v>10</v>
      </c>
      <c r="O541" s="49">
        <v>0</v>
      </c>
      <c r="P541" s="45" t="s">
        <v>375</v>
      </c>
      <c r="Q541" s="23" t="s">
        <v>218</v>
      </c>
      <c r="R541" s="23" t="s">
        <v>427</v>
      </c>
      <c r="S541" s="22" t="s">
        <v>9</v>
      </c>
    </row>
    <row r="542" spans="1:19" ht="12.75" customHeight="1" x14ac:dyDescent="0.25">
      <c r="A542" s="47" t="s">
        <v>497</v>
      </c>
      <c r="B542" s="23" t="s">
        <v>984</v>
      </c>
      <c r="C542" s="28">
        <v>46119</v>
      </c>
      <c r="D542" s="30" t="s">
        <v>424</v>
      </c>
      <c r="E542" s="28" t="s">
        <v>404</v>
      </c>
      <c r="F542" s="28" t="s">
        <v>413</v>
      </c>
      <c r="G542" s="28">
        <v>46129</v>
      </c>
      <c r="H542" s="23" t="s">
        <v>499</v>
      </c>
      <c r="I542" s="33" t="s">
        <v>14</v>
      </c>
      <c r="J542" s="23">
        <v>1</v>
      </c>
      <c r="K542" s="23">
        <v>1</v>
      </c>
      <c r="L542" s="35">
        <v>0</v>
      </c>
      <c r="M542" s="23">
        <v>3</v>
      </c>
      <c r="N542" s="23">
        <v>3</v>
      </c>
      <c r="O542" s="49">
        <v>0</v>
      </c>
      <c r="P542" s="45" t="s">
        <v>375</v>
      </c>
      <c r="Q542" s="23" t="s">
        <v>218</v>
      </c>
      <c r="R542" s="23" t="s">
        <v>427</v>
      </c>
      <c r="S542" s="22" t="s">
        <v>9</v>
      </c>
    </row>
    <row r="543" spans="1:19" ht="12.75" customHeight="1" x14ac:dyDescent="0.25">
      <c r="A543" s="47" t="s">
        <v>497</v>
      </c>
      <c r="B543" s="23" t="s">
        <v>985</v>
      </c>
      <c r="C543" s="28">
        <v>46120</v>
      </c>
      <c r="D543" s="30" t="s">
        <v>424</v>
      </c>
      <c r="E543" s="28" t="s">
        <v>404</v>
      </c>
      <c r="F543" s="28" t="s">
        <v>413</v>
      </c>
      <c r="G543" s="28">
        <v>46130</v>
      </c>
      <c r="H543" s="23" t="s">
        <v>499</v>
      </c>
      <c r="I543" s="33" t="s">
        <v>14</v>
      </c>
      <c r="J543" s="23">
        <v>1</v>
      </c>
      <c r="K543" s="23">
        <v>1</v>
      </c>
      <c r="L543" s="35">
        <v>0</v>
      </c>
      <c r="M543" s="23">
        <v>2</v>
      </c>
      <c r="N543" s="23">
        <v>2</v>
      </c>
      <c r="O543" s="49">
        <v>0</v>
      </c>
      <c r="P543" s="45" t="s">
        <v>375</v>
      </c>
      <c r="Q543" s="23" t="s">
        <v>218</v>
      </c>
      <c r="R543" s="23" t="s">
        <v>427</v>
      </c>
      <c r="S543" s="22" t="s">
        <v>9</v>
      </c>
    </row>
    <row r="544" spans="1:19" ht="12.75" customHeight="1" x14ac:dyDescent="0.25">
      <c r="A544" s="47" t="s">
        <v>497</v>
      </c>
      <c r="B544" s="23" t="s">
        <v>986</v>
      </c>
      <c r="C544" s="28">
        <v>46121</v>
      </c>
      <c r="D544" s="30" t="s">
        <v>424</v>
      </c>
      <c r="E544" s="28" t="s">
        <v>425</v>
      </c>
      <c r="F544" s="28" t="s">
        <v>436</v>
      </c>
      <c r="G544" s="28">
        <v>46131</v>
      </c>
      <c r="H544" s="23" t="s">
        <v>499</v>
      </c>
      <c r="I544" s="33" t="s">
        <v>14</v>
      </c>
      <c r="J544" s="23">
        <v>1</v>
      </c>
      <c r="K544" s="23">
        <v>1</v>
      </c>
      <c r="L544" s="35">
        <v>0</v>
      </c>
      <c r="M544" s="23">
        <v>2</v>
      </c>
      <c r="N544" s="23">
        <v>2</v>
      </c>
      <c r="O544" s="49">
        <v>0</v>
      </c>
      <c r="P544" s="45" t="s">
        <v>375</v>
      </c>
      <c r="Q544" s="23" t="s">
        <v>218</v>
      </c>
      <c r="R544" s="23" t="s">
        <v>427</v>
      </c>
      <c r="S544" s="22" t="s">
        <v>9</v>
      </c>
    </row>
    <row r="545" spans="1:19" ht="12.75" customHeight="1" x14ac:dyDescent="0.25">
      <c r="A545" s="47" t="s">
        <v>497</v>
      </c>
      <c r="B545" s="23" t="s">
        <v>987</v>
      </c>
      <c r="C545" s="28">
        <v>46121</v>
      </c>
      <c r="D545" s="30" t="s">
        <v>424</v>
      </c>
      <c r="E545" s="28" t="s">
        <v>439</v>
      </c>
      <c r="F545" s="28" t="s">
        <v>988</v>
      </c>
      <c r="G545" s="28">
        <v>46131</v>
      </c>
      <c r="H545" s="23" t="s">
        <v>499</v>
      </c>
      <c r="I545" s="33" t="s">
        <v>14</v>
      </c>
      <c r="J545" s="23">
        <v>1</v>
      </c>
      <c r="K545" s="23">
        <v>1</v>
      </c>
      <c r="L545" s="35">
        <v>0</v>
      </c>
      <c r="M545" s="23">
        <v>3</v>
      </c>
      <c r="N545" s="23">
        <v>3</v>
      </c>
      <c r="O545" s="49">
        <v>0</v>
      </c>
      <c r="P545" s="45" t="s">
        <v>375</v>
      </c>
      <c r="Q545" s="23" t="s">
        <v>218</v>
      </c>
      <c r="R545" s="23" t="s">
        <v>427</v>
      </c>
      <c r="S545" s="22" t="s">
        <v>9</v>
      </c>
    </row>
    <row r="546" spans="1:19" ht="12.75" customHeight="1" x14ac:dyDescent="0.25">
      <c r="A546" s="47" t="s">
        <v>497</v>
      </c>
      <c r="B546" s="23" t="s">
        <v>989</v>
      </c>
      <c r="C546" s="28">
        <v>46121</v>
      </c>
      <c r="D546" s="30" t="s">
        <v>424</v>
      </c>
      <c r="E546" s="28" t="s">
        <v>404</v>
      </c>
      <c r="F546" s="28" t="s">
        <v>413</v>
      </c>
      <c r="G546" s="28">
        <v>46131</v>
      </c>
      <c r="H546" s="23" t="s">
        <v>499</v>
      </c>
      <c r="I546" s="33" t="s">
        <v>14</v>
      </c>
      <c r="J546" s="23">
        <v>1</v>
      </c>
      <c r="K546" s="23">
        <v>1</v>
      </c>
      <c r="L546" s="35">
        <v>0</v>
      </c>
      <c r="M546" s="23">
        <v>2</v>
      </c>
      <c r="N546" s="23">
        <v>2</v>
      </c>
      <c r="O546" s="49">
        <v>0</v>
      </c>
      <c r="P546" s="45" t="s">
        <v>375</v>
      </c>
      <c r="Q546" s="23" t="s">
        <v>218</v>
      </c>
      <c r="R546" s="23" t="s">
        <v>427</v>
      </c>
      <c r="S546" s="22" t="s">
        <v>9</v>
      </c>
    </row>
    <row r="547" spans="1:19" ht="12.75" customHeight="1" x14ac:dyDescent="0.25">
      <c r="A547" s="47" t="s">
        <v>497</v>
      </c>
      <c r="B547" s="23" t="s">
        <v>990</v>
      </c>
      <c r="C547" s="28">
        <v>46121</v>
      </c>
      <c r="D547" s="30" t="s">
        <v>424</v>
      </c>
      <c r="E547" s="28" t="s">
        <v>425</v>
      </c>
      <c r="F547" s="28" t="s">
        <v>991</v>
      </c>
      <c r="G547" s="28">
        <v>46131</v>
      </c>
      <c r="H547" s="23" t="s">
        <v>499</v>
      </c>
      <c r="I547" s="33" t="s">
        <v>14</v>
      </c>
      <c r="J547" s="23">
        <v>1</v>
      </c>
      <c r="K547" s="23">
        <v>1</v>
      </c>
      <c r="L547" s="35">
        <v>0</v>
      </c>
      <c r="M547" s="23">
        <v>2</v>
      </c>
      <c r="N547" s="23">
        <v>2</v>
      </c>
      <c r="O547" s="49">
        <v>0</v>
      </c>
      <c r="P547" s="45" t="s">
        <v>375</v>
      </c>
      <c r="Q547" s="23" t="s">
        <v>218</v>
      </c>
      <c r="R547" s="23" t="s">
        <v>427</v>
      </c>
      <c r="S547" s="22" t="s">
        <v>9</v>
      </c>
    </row>
    <row r="548" spans="1:19" ht="12.75" customHeight="1" x14ac:dyDescent="0.25">
      <c r="A548" s="47" t="s">
        <v>497</v>
      </c>
      <c r="B548" s="23" t="s">
        <v>992</v>
      </c>
      <c r="C548" s="28">
        <v>46122</v>
      </c>
      <c r="D548" s="30" t="s">
        <v>424</v>
      </c>
      <c r="E548" s="28" t="s">
        <v>404</v>
      </c>
      <c r="F548" s="28" t="s">
        <v>413</v>
      </c>
      <c r="G548" s="28">
        <v>46132</v>
      </c>
      <c r="H548" s="23" t="s">
        <v>499</v>
      </c>
      <c r="I548" s="33"/>
      <c r="J548" s="23">
        <v>0</v>
      </c>
      <c r="K548" s="23">
        <v>1</v>
      </c>
      <c r="L548" s="35">
        <v>1</v>
      </c>
      <c r="M548" s="23">
        <v>1</v>
      </c>
      <c r="N548" s="23">
        <v>0</v>
      </c>
      <c r="O548" s="49">
        <v>1</v>
      </c>
      <c r="P548" s="45" t="s">
        <v>375</v>
      </c>
      <c r="Q548" s="23" t="s">
        <v>218</v>
      </c>
      <c r="R548" s="23" t="s">
        <v>427</v>
      </c>
      <c r="S548" s="22" t="s">
        <v>9</v>
      </c>
    </row>
    <row r="549" spans="1:19" ht="12.75" customHeight="1" x14ac:dyDescent="0.25">
      <c r="A549" s="47" t="s">
        <v>497</v>
      </c>
      <c r="B549" s="23" t="s">
        <v>993</v>
      </c>
      <c r="C549" s="28">
        <v>46122</v>
      </c>
      <c r="D549" s="30" t="s">
        <v>424</v>
      </c>
      <c r="E549" s="28" t="s">
        <v>404</v>
      </c>
      <c r="F549" s="28" t="s">
        <v>413</v>
      </c>
      <c r="G549" s="28">
        <v>46132</v>
      </c>
      <c r="H549" s="23" t="s">
        <v>499</v>
      </c>
      <c r="I549" s="33"/>
      <c r="J549" s="23">
        <v>0</v>
      </c>
      <c r="K549" s="23">
        <v>1</v>
      </c>
      <c r="L549" s="35">
        <v>1</v>
      </c>
      <c r="M549" s="23">
        <v>1</v>
      </c>
      <c r="N549" s="23">
        <v>0</v>
      </c>
      <c r="O549" s="49">
        <v>1</v>
      </c>
      <c r="P549" s="45" t="s">
        <v>375</v>
      </c>
      <c r="Q549" s="23" t="s">
        <v>218</v>
      </c>
      <c r="R549" s="23" t="s">
        <v>427</v>
      </c>
      <c r="S549" s="22" t="s">
        <v>9</v>
      </c>
    </row>
    <row r="550" spans="1:19" ht="12.75" customHeight="1" x14ac:dyDescent="0.25">
      <c r="A550" s="47" t="s">
        <v>497</v>
      </c>
      <c r="B550" s="23" t="s">
        <v>994</v>
      </c>
      <c r="C550" s="28">
        <v>46122</v>
      </c>
      <c r="D550" s="30" t="s">
        <v>424</v>
      </c>
      <c r="E550" s="28" t="s">
        <v>404</v>
      </c>
      <c r="F550" s="28" t="s">
        <v>413</v>
      </c>
      <c r="G550" s="28">
        <v>46132</v>
      </c>
      <c r="H550" s="23" t="s">
        <v>499</v>
      </c>
      <c r="I550" s="33"/>
      <c r="J550" s="23">
        <v>0</v>
      </c>
      <c r="K550" s="23">
        <v>1</v>
      </c>
      <c r="L550" s="35">
        <v>1</v>
      </c>
      <c r="M550" s="23">
        <v>1</v>
      </c>
      <c r="N550" s="23">
        <v>0</v>
      </c>
      <c r="O550" s="49">
        <v>1</v>
      </c>
      <c r="P550" s="45" t="s">
        <v>375</v>
      </c>
      <c r="Q550" s="23" t="s">
        <v>218</v>
      </c>
      <c r="R550" s="23" t="s">
        <v>427</v>
      </c>
      <c r="S550" s="22" t="s">
        <v>9</v>
      </c>
    </row>
    <row r="551" spans="1:19" ht="12.75" customHeight="1" x14ac:dyDescent="0.25">
      <c r="A551" s="47" t="s">
        <v>497</v>
      </c>
      <c r="B551" s="23" t="s">
        <v>995</v>
      </c>
      <c r="C551" s="28">
        <v>46122</v>
      </c>
      <c r="D551" s="30" t="s">
        <v>424</v>
      </c>
      <c r="E551" s="28" t="s">
        <v>412</v>
      </c>
      <c r="F551" s="28" t="s">
        <v>988</v>
      </c>
      <c r="G551" s="28">
        <v>46132</v>
      </c>
      <c r="H551" s="23" t="s">
        <v>499</v>
      </c>
      <c r="I551" s="33" t="s">
        <v>14</v>
      </c>
      <c r="J551" s="23">
        <v>1</v>
      </c>
      <c r="K551" s="23">
        <v>1</v>
      </c>
      <c r="L551" s="35">
        <v>0</v>
      </c>
      <c r="M551" s="23">
        <v>3</v>
      </c>
      <c r="N551" s="23">
        <v>3</v>
      </c>
      <c r="O551" s="49">
        <v>0</v>
      </c>
      <c r="P551" s="45" t="s">
        <v>375</v>
      </c>
      <c r="Q551" s="23" t="s">
        <v>218</v>
      </c>
      <c r="R551" s="23" t="s">
        <v>427</v>
      </c>
      <c r="S551" s="22" t="s">
        <v>9</v>
      </c>
    </row>
    <row r="552" spans="1:19" ht="12.75" customHeight="1" x14ac:dyDescent="0.25">
      <c r="A552" s="47" t="s">
        <v>497</v>
      </c>
      <c r="B552" s="23" t="s">
        <v>996</v>
      </c>
      <c r="C552" s="28">
        <v>46122</v>
      </c>
      <c r="D552" s="30" t="s">
        <v>424</v>
      </c>
      <c r="E552" s="28" t="s">
        <v>412</v>
      </c>
      <c r="F552" s="28" t="s">
        <v>436</v>
      </c>
      <c r="G552" s="28">
        <v>46132</v>
      </c>
      <c r="H552" s="23" t="s">
        <v>499</v>
      </c>
      <c r="I552" s="33" t="s">
        <v>14</v>
      </c>
      <c r="J552" s="23">
        <v>1</v>
      </c>
      <c r="K552" s="23">
        <v>1</v>
      </c>
      <c r="L552" s="35">
        <v>0</v>
      </c>
      <c r="M552" s="23">
        <v>1</v>
      </c>
      <c r="N552" s="23">
        <v>1</v>
      </c>
      <c r="O552" s="49">
        <v>0</v>
      </c>
      <c r="P552" s="45" t="s">
        <v>375</v>
      </c>
      <c r="Q552" s="23" t="s">
        <v>218</v>
      </c>
      <c r="R552" s="23" t="s">
        <v>427</v>
      </c>
      <c r="S552" s="22" t="s">
        <v>9</v>
      </c>
    </row>
    <row r="553" spans="1:19" ht="12.75" customHeight="1" x14ac:dyDescent="0.25">
      <c r="A553" s="47" t="s">
        <v>497</v>
      </c>
      <c r="B553" s="23" t="s">
        <v>997</v>
      </c>
      <c r="C553" s="28">
        <v>46134</v>
      </c>
      <c r="D553" s="30" t="s">
        <v>424</v>
      </c>
      <c r="E553" s="28" t="s">
        <v>425</v>
      </c>
      <c r="F553" s="28" t="s">
        <v>426</v>
      </c>
      <c r="G553" s="28">
        <v>46144</v>
      </c>
      <c r="H553" s="23" t="s">
        <v>499</v>
      </c>
      <c r="I553" s="33" t="s">
        <v>14</v>
      </c>
      <c r="J553" s="23">
        <v>1</v>
      </c>
      <c r="K553" s="23">
        <v>1</v>
      </c>
      <c r="L553" s="35">
        <v>0</v>
      </c>
      <c r="M553" s="23">
        <v>2</v>
      </c>
      <c r="N553" s="23">
        <v>2</v>
      </c>
      <c r="O553" s="49">
        <v>0</v>
      </c>
      <c r="P553" s="45" t="s">
        <v>375</v>
      </c>
      <c r="Q553" s="23" t="s">
        <v>218</v>
      </c>
      <c r="R553" s="23" t="s">
        <v>427</v>
      </c>
      <c r="S553" s="22" t="s">
        <v>9</v>
      </c>
    </row>
    <row r="554" spans="1:19" ht="12.75" customHeight="1" x14ac:dyDescent="0.25">
      <c r="A554" s="47" t="s">
        <v>497</v>
      </c>
      <c r="B554" s="23" t="s">
        <v>998</v>
      </c>
      <c r="C554" s="28">
        <v>46135</v>
      </c>
      <c r="D554" s="30" t="s">
        <v>424</v>
      </c>
      <c r="E554" s="28" t="s">
        <v>425</v>
      </c>
      <c r="F554" s="28" t="s">
        <v>991</v>
      </c>
      <c r="G554" s="28">
        <v>46145</v>
      </c>
      <c r="H554" s="23" t="s">
        <v>499</v>
      </c>
      <c r="I554" s="33" t="s">
        <v>14</v>
      </c>
      <c r="J554" s="23">
        <v>1</v>
      </c>
      <c r="K554" s="23">
        <v>1</v>
      </c>
      <c r="L554" s="35">
        <v>0</v>
      </c>
      <c r="M554" s="23">
        <v>5</v>
      </c>
      <c r="N554" s="23">
        <v>5</v>
      </c>
      <c r="O554" s="49">
        <v>0</v>
      </c>
      <c r="P554" s="45" t="s">
        <v>375</v>
      </c>
      <c r="Q554" s="23" t="s">
        <v>218</v>
      </c>
      <c r="R554" s="23" t="s">
        <v>427</v>
      </c>
      <c r="S554" s="22" t="s">
        <v>9</v>
      </c>
    </row>
    <row r="555" spans="1:19" ht="12.75" customHeight="1" x14ac:dyDescent="0.25">
      <c r="A555" s="47" t="s">
        <v>497</v>
      </c>
      <c r="B555" s="23" t="s">
        <v>999</v>
      </c>
      <c r="C555" s="28">
        <v>46138</v>
      </c>
      <c r="D555" s="30" t="s">
        <v>424</v>
      </c>
      <c r="E555" s="28" t="s">
        <v>425</v>
      </c>
      <c r="F555" s="28" t="s">
        <v>1000</v>
      </c>
      <c r="G555" s="28">
        <v>46148</v>
      </c>
      <c r="H555" s="23" t="s">
        <v>499</v>
      </c>
      <c r="I555" s="33" t="s">
        <v>14</v>
      </c>
      <c r="J555" s="23">
        <v>1</v>
      </c>
      <c r="K555" s="23">
        <v>1</v>
      </c>
      <c r="L555" s="35">
        <v>0</v>
      </c>
      <c r="M555" s="23">
        <v>2</v>
      </c>
      <c r="N555" s="23">
        <v>2</v>
      </c>
      <c r="O555" s="49">
        <v>0</v>
      </c>
      <c r="P555" s="45" t="s">
        <v>375</v>
      </c>
      <c r="Q555" s="23" t="s">
        <v>218</v>
      </c>
      <c r="R555" s="23" t="s">
        <v>427</v>
      </c>
      <c r="S555" s="22" t="s">
        <v>9</v>
      </c>
    </row>
    <row r="556" spans="1:19" ht="12.75" customHeight="1" x14ac:dyDescent="0.25">
      <c r="A556" s="47" t="s">
        <v>497</v>
      </c>
      <c r="B556" s="23" t="s">
        <v>1001</v>
      </c>
      <c r="C556" s="28">
        <v>46139</v>
      </c>
      <c r="D556" s="30" t="s">
        <v>424</v>
      </c>
      <c r="E556" s="28" t="s">
        <v>439</v>
      </c>
      <c r="F556" s="28" t="s">
        <v>1002</v>
      </c>
      <c r="G556" s="28">
        <v>46149</v>
      </c>
      <c r="H556" s="23" t="s">
        <v>499</v>
      </c>
      <c r="I556" s="33"/>
      <c r="J556" s="23">
        <v>0</v>
      </c>
      <c r="K556" s="23">
        <v>1</v>
      </c>
      <c r="L556" s="35">
        <v>1</v>
      </c>
      <c r="M556" s="23">
        <v>1</v>
      </c>
      <c r="N556" s="23">
        <v>0</v>
      </c>
      <c r="O556" s="49">
        <v>1</v>
      </c>
      <c r="P556" s="45" t="s">
        <v>375</v>
      </c>
      <c r="Q556" s="23" t="s">
        <v>218</v>
      </c>
      <c r="R556" s="23" t="s">
        <v>427</v>
      </c>
      <c r="S556" s="22" t="s">
        <v>9</v>
      </c>
    </row>
    <row r="557" spans="1:19" ht="12.75" customHeight="1" x14ac:dyDescent="0.25">
      <c r="A557" s="47" t="s">
        <v>497</v>
      </c>
      <c r="B557" s="23" t="s">
        <v>1003</v>
      </c>
      <c r="C557" s="28">
        <v>46139</v>
      </c>
      <c r="D557" s="30" t="s">
        <v>424</v>
      </c>
      <c r="E557" s="28" t="s">
        <v>439</v>
      </c>
      <c r="F557" s="28" t="s">
        <v>1004</v>
      </c>
      <c r="G557" s="28">
        <v>46149</v>
      </c>
      <c r="H557" s="23" t="s">
        <v>499</v>
      </c>
      <c r="I557" s="33"/>
      <c r="J557" s="23">
        <v>0</v>
      </c>
      <c r="K557" s="23">
        <v>1</v>
      </c>
      <c r="L557" s="35">
        <v>1</v>
      </c>
      <c r="M557" s="23">
        <v>1</v>
      </c>
      <c r="N557" s="23">
        <v>0</v>
      </c>
      <c r="O557" s="49">
        <v>1</v>
      </c>
      <c r="P557" s="45" t="s">
        <v>375</v>
      </c>
      <c r="Q557" s="23" t="s">
        <v>218</v>
      </c>
      <c r="R557" s="23" t="s">
        <v>427</v>
      </c>
      <c r="S557" s="22" t="s">
        <v>9</v>
      </c>
    </row>
    <row r="558" spans="1:19" ht="12.75" customHeight="1" x14ac:dyDescent="0.25">
      <c r="A558" s="47" t="s">
        <v>497</v>
      </c>
      <c r="B558" s="23" t="s">
        <v>1005</v>
      </c>
      <c r="C558" s="28">
        <v>46140</v>
      </c>
      <c r="D558" s="30" t="s">
        <v>424</v>
      </c>
      <c r="E558" s="28" t="s">
        <v>439</v>
      </c>
      <c r="F558" s="28" t="s">
        <v>1004</v>
      </c>
      <c r="G558" s="28">
        <v>46150</v>
      </c>
      <c r="H558" s="23" t="s">
        <v>499</v>
      </c>
      <c r="I558" s="33"/>
      <c r="J558" s="23">
        <v>0</v>
      </c>
      <c r="K558" s="23">
        <v>1</v>
      </c>
      <c r="L558" s="35">
        <v>1</v>
      </c>
      <c r="M558" s="23">
        <v>1</v>
      </c>
      <c r="N558" s="23">
        <v>0</v>
      </c>
      <c r="O558" s="49">
        <v>1</v>
      </c>
      <c r="P558" s="45" t="s">
        <v>375</v>
      </c>
      <c r="Q558" s="23" t="s">
        <v>218</v>
      </c>
      <c r="R558" s="23" t="s">
        <v>427</v>
      </c>
      <c r="S558" s="22" t="s">
        <v>9</v>
      </c>
    </row>
    <row r="559" spans="1:19" ht="12.75" customHeight="1" x14ac:dyDescent="0.25">
      <c r="A559" s="47" t="s">
        <v>497</v>
      </c>
      <c r="B559" s="23" t="s">
        <v>1006</v>
      </c>
      <c r="C559" s="28">
        <v>46140</v>
      </c>
      <c r="D559" s="30" t="s">
        <v>424</v>
      </c>
      <c r="E559" s="28" t="s">
        <v>439</v>
      </c>
      <c r="F559" s="28" t="s">
        <v>1002</v>
      </c>
      <c r="G559" s="28">
        <v>46150</v>
      </c>
      <c r="H559" s="23" t="s">
        <v>499</v>
      </c>
      <c r="I559" s="33"/>
      <c r="J559" s="23">
        <v>0</v>
      </c>
      <c r="K559" s="23">
        <v>1</v>
      </c>
      <c r="L559" s="35">
        <v>1</v>
      </c>
      <c r="M559" s="23">
        <v>1</v>
      </c>
      <c r="N559" s="23">
        <v>0</v>
      </c>
      <c r="O559" s="49">
        <v>1</v>
      </c>
      <c r="P559" s="45" t="s">
        <v>375</v>
      </c>
      <c r="Q559" s="23" t="s">
        <v>218</v>
      </c>
      <c r="R559" s="23" t="s">
        <v>427</v>
      </c>
      <c r="S559" s="22" t="s">
        <v>9</v>
      </c>
    </row>
    <row r="560" spans="1:19" ht="12.75" customHeight="1" x14ac:dyDescent="0.25">
      <c r="A560" s="47" t="s">
        <v>497</v>
      </c>
      <c r="B560" s="23" t="s">
        <v>1007</v>
      </c>
      <c r="C560" s="28">
        <v>46142</v>
      </c>
      <c r="D560" s="30" t="s">
        <v>424</v>
      </c>
      <c r="E560" s="28" t="s">
        <v>425</v>
      </c>
      <c r="F560" s="28" t="s">
        <v>1008</v>
      </c>
      <c r="G560" s="28">
        <v>46152</v>
      </c>
      <c r="H560" s="23" t="s">
        <v>499</v>
      </c>
      <c r="I560" s="33" t="s">
        <v>14</v>
      </c>
      <c r="J560" s="23">
        <v>1</v>
      </c>
      <c r="K560" s="23">
        <v>1</v>
      </c>
      <c r="L560" s="35">
        <v>0</v>
      </c>
      <c r="M560" s="23">
        <v>2</v>
      </c>
      <c r="N560" s="23">
        <v>2</v>
      </c>
      <c r="O560" s="49">
        <v>0</v>
      </c>
      <c r="P560" s="45" t="s">
        <v>375</v>
      </c>
      <c r="Q560" s="23" t="s">
        <v>218</v>
      </c>
      <c r="R560" s="23" t="s">
        <v>427</v>
      </c>
      <c r="S560" s="22" t="s">
        <v>9</v>
      </c>
    </row>
    <row r="561" spans="1:19" ht="12.75" customHeight="1" x14ac:dyDescent="0.25">
      <c r="A561" s="47" t="s">
        <v>497</v>
      </c>
      <c r="B561" s="23" t="s">
        <v>1009</v>
      </c>
      <c r="C561" s="28">
        <v>46142</v>
      </c>
      <c r="D561" s="30" t="s">
        <v>424</v>
      </c>
      <c r="E561" s="28" t="s">
        <v>1010</v>
      </c>
      <c r="F561" s="28"/>
      <c r="G561" s="28">
        <v>46152</v>
      </c>
      <c r="H561" s="23" t="s">
        <v>499</v>
      </c>
      <c r="I561" s="33" t="s">
        <v>14</v>
      </c>
      <c r="J561" s="23">
        <v>1</v>
      </c>
      <c r="K561" s="23">
        <v>1</v>
      </c>
      <c r="L561" s="35">
        <v>0</v>
      </c>
      <c r="M561" s="23">
        <v>2</v>
      </c>
      <c r="N561" s="23">
        <v>2</v>
      </c>
      <c r="O561" s="49">
        <v>0</v>
      </c>
      <c r="P561" s="45" t="s">
        <v>375</v>
      </c>
      <c r="Q561" s="23" t="s">
        <v>218</v>
      </c>
      <c r="R561" s="23" t="s">
        <v>427</v>
      </c>
      <c r="S561" s="22" t="s">
        <v>9</v>
      </c>
    </row>
    <row r="562" spans="1:19" ht="12.75" customHeight="1" x14ac:dyDescent="0.25">
      <c r="A562" s="47" t="s">
        <v>497</v>
      </c>
      <c r="B562" s="23" t="s">
        <v>1011</v>
      </c>
      <c r="C562" s="28">
        <v>46142</v>
      </c>
      <c r="D562" s="30" t="s">
        <v>424</v>
      </c>
      <c r="E562" s="28" t="s">
        <v>1010</v>
      </c>
      <c r="F562" s="28" t="s">
        <v>1012</v>
      </c>
      <c r="G562" s="28">
        <v>46152</v>
      </c>
      <c r="H562" s="23" t="s">
        <v>499</v>
      </c>
      <c r="I562" s="33" t="s">
        <v>14</v>
      </c>
      <c r="J562" s="23">
        <v>1</v>
      </c>
      <c r="K562" s="23">
        <v>1</v>
      </c>
      <c r="L562" s="35">
        <v>0</v>
      </c>
      <c r="M562" s="23">
        <v>5</v>
      </c>
      <c r="N562" s="23">
        <v>5</v>
      </c>
      <c r="O562" s="49">
        <v>0</v>
      </c>
      <c r="P562" s="45" t="s">
        <v>375</v>
      </c>
      <c r="Q562" s="23" t="s">
        <v>218</v>
      </c>
      <c r="R562" s="23" t="s">
        <v>427</v>
      </c>
      <c r="S562" s="22" t="s">
        <v>9</v>
      </c>
    </row>
    <row r="563" spans="1:19" ht="12.75" customHeight="1" thickBot="1" x14ac:dyDescent="0.3">
      <c r="A563" s="51" t="s">
        <v>497</v>
      </c>
      <c r="B563" s="20" t="s">
        <v>1013</v>
      </c>
      <c r="C563" s="25">
        <v>46142</v>
      </c>
      <c r="D563" s="27" t="s">
        <v>424</v>
      </c>
      <c r="E563" s="25" t="s">
        <v>425</v>
      </c>
      <c r="F563" s="25" t="s">
        <v>1002</v>
      </c>
      <c r="G563" s="25">
        <v>46152</v>
      </c>
      <c r="H563" s="20" t="s">
        <v>499</v>
      </c>
      <c r="I563" s="32" t="s">
        <v>14</v>
      </c>
      <c r="J563" s="20">
        <v>1</v>
      </c>
      <c r="K563" s="20">
        <v>1</v>
      </c>
      <c r="L563" s="34">
        <v>0</v>
      </c>
      <c r="M563" s="20">
        <v>1</v>
      </c>
      <c r="N563" s="20">
        <v>1</v>
      </c>
      <c r="O563" s="54">
        <v>0</v>
      </c>
      <c r="P563" s="45" t="s">
        <v>375</v>
      </c>
      <c r="Q563" s="23" t="s">
        <v>218</v>
      </c>
      <c r="R563" s="23" t="s">
        <v>427</v>
      </c>
      <c r="S563" s="22" t="s">
        <v>9</v>
      </c>
    </row>
    <row r="564" spans="1:19" ht="17.25" customHeight="1" x14ac:dyDescent="0.25">
      <c r="A564" s="60"/>
      <c r="B564" s="50"/>
      <c r="C564" s="55"/>
      <c r="D564" s="56"/>
      <c r="E564" s="56"/>
      <c r="F564" s="57"/>
      <c r="G564" s="57"/>
      <c r="H564" s="57"/>
      <c r="I564" s="58" t="s">
        <v>1087</v>
      </c>
      <c r="J564" s="57">
        <f>SUM(J537:J563)</f>
        <v>17</v>
      </c>
      <c r="K564" s="57">
        <f>SUM(K537:K563)</f>
        <v>27</v>
      </c>
      <c r="L564" s="59">
        <f>(SUM(K537:K563) - SUM(J537:J563)) / SUM(K537:K563)</f>
        <v>0.37037037037037035</v>
      </c>
      <c r="M564" s="57">
        <f>SUM(M537:M563)</f>
        <v>65</v>
      </c>
      <c r="N564" s="56">
        <f>SUM(N537:N563)</f>
        <v>51</v>
      </c>
      <c r="O564" s="61">
        <f>(SUM(M537:M563) - SUM(N537:N563)) / SUM(M537:M563)</f>
        <v>0.2153846153846154</v>
      </c>
      <c r="P564" s="52"/>
      <c r="Q564" s="53"/>
      <c r="R564" s="52"/>
      <c r="S564" s="52"/>
    </row>
    <row r="565" spans="1:19" x14ac:dyDescent="0.25">
      <c r="A565" s="125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2"/>
      <c r="M565" s="121"/>
      <c r="N565" s="121"/>
      <c r="O565" s="127"/>
      <c r="P565" s="120"/>
      <c r="Q565" s="120"/>
      <c r="R565" s="120"/>
      <c r="S565" s="120"/>
    </row>
    <row r="566" spans="1:19" ht="15.75" thickBot="1" x14ac:dyDescent="0.3">
      <c r="A566" s="126"/>
      <c r="B566" s="123"/>
      <c r="C566" s="124"/>
      <c r="D566" s="123"/>
      <c r="E566" s="123"/>
      <c r="F566" s="123"/>
      <c r="G566" s="124"/>
      <c r="H566" s="123"/>
      <c r="I566" s="123"/>
      <c r="J566" s="123"/>
      <c r="K566" s="123"/>
      <c r="L566" s="123"/>
      <c r="M566" s="123"/>
      <c r="N566" s="123"/>
      <c r="O566" s="128"/>
      <c r="P566" s="98"/>
      <c r="Q566" s="98"/>
      <c r="R566" s="98"/>
      <c r="S566" s="98"/>
    </row>
    <row r="567" spans="1:19" ht="15.75" thickBot="1" x14ac:dyDescent="0.3">
      <c r="C567" s="1"/>
      <c r="G567" s="1"/>
    </row>
    <row r="568" spans="1:19" x14ac:dyDescent="0.25">
      <c r="A568" s="9"/>
      <c r="B568" s="10"/>
      <c r="C568" s="11"/>
      <c r="D568" s="11"/>
      <c r="E568" s="11"/>
      <c r="F568" s="11"/>
      <c r="G568" s="11"/>
      <c r="H568" s="12"/>
      <c r="I568" s="11"/>
      <c r="J568" s="13"/>
      <c r="K568" s="13"/>
      <c r="L568" s="13"/>
      <c r="M568" s="13"/>
      <c r="N568" s="11"/>
      <c r="O568" s="14"/>
      <c r="P568" s="4"/>
      <c r="Q568" s="5"/>
      <c r="R568" s="4"/>
      <c r="S568" s="4"/>
    </row>
    <row r="569" spans="1:19" x14ac:dyDescent="0.25">
      <c r="A569" s="6" t="s">
        <v>1096</v>
      </c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15"/>
      <c r="P569" s="3"/>
      <c r="Q569" s="3"/>
      <c r="R569" s="3"/>
      <c r="S569" s="3"/>
    </row>
    <row r="570" spans="1:19" x14ac:dyDescent="0.25">
      <c r="A570" s="7" t="s">
        <v>239</v>
      </c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15"/>
      <c r="P570" s="3"/>
      <c r="Q570" s="3"/>
      <c r="R570" s="3"/>
      <c r="S570" s="3"/>
    </row>
    <row r="571" spans="1:19" ht="15.75" thickBot="1" x14ac:dyDescent="0.3">
      <c r="A571" s="8"/>
      <c r="B571" s="8"/>
      <c r="C571" s="74"/>
      <c r="D571" s="8"/>
      <c r="E571" s="8"/>
      <c r="F571" s="8"/>
      <c r="G571" s="74"/>
      <c r="H571" s="8"/>
      <c r="I571" s="8"/>
      <c r="J571" s="8"/>
      <c r="K571" s="8"/>
      <c r="L571" s="8"/>
      <c r="M571" s="8"/>
      <c r="N571" s="8"/>
      <c r="O571" s="16"/>
      <c r="P571" s="3"/>
      <c r="Q571" s="3"/>
      <c r="R571" s="3"/>
      <c r="S571" s="3"/>
    </row>
    <row r="572" spans="1:19" ht="17.25" customHeight="1" thickBot="1" x14ac:dyDescent="0.3">
      <c r="A572" s="19" t="s">
        <v>1068</v>
      </c>
      <c r="B572" s="24" t="s">
        <v>1069</v>
      </c>
      <c r="C572" s="26" t="s">
        <v>1070</v>
      </c>
      <c r="D572" s="29" t="s">
        <v>1071</v>
      </c>
      <c r="E572" s="26" t="s">
        <v>1072</v>
      </c>
      <c r="F572" s="31" t="s">
        <v>1073</v>
      </c>
      <c r="G572" s="31" t="s">
        <v>1074</v>
      </c>
      <c r="H572" s="31" t="s">
        <v>1075</v>
      </c>
      <c r="I572" s="29" t="s">
        <v>14</v>
      </c>
      <c r="J572" s="29" t="s">
        <v>1076</v>
      </c>
      <c r="K572" s="29" t="s">
        <v>1077</v>
      </c>
      <c r="L572" s="29" t="s">
        <v>1078</v>
      </c>
      <c r="M572" s="29" t="s">
        <v>1079</v>
      </c>
      <c r="N572" s="29" t="s">
        <v>1080</v>
      </c>
      <c r="O572" s="36" t="s">
        <v>1081</v>
      </c>
      <c r="P572" s="37" t="s">
        <v>1082</v>
      </c>
      <c r="Q572" s="38" t="s">
        <v>1083</v>
      </c>
      <c r="R572" s="38" t="s">
        <v>1084</v>
      </c>
      <c r="S572" s="39" t="s">
        <v>1085</v>
      </c>
    </row>
    <row r="573" spans="1:19" ht="12.75" customHeight="1" x14ac:dyDescent="0.25">
      <c r="A573" s="46" t="s">
        <v>497</v>
      </c>
      <c r="B573" s="40" t="s">
        <v>1014</v>
      </c>
      <c r="C573" s="41">
        <v>46143</v>
      </c>
      <c r="D573" s="42" t="s">
        <v>443</v>
      </c>
      <c r="E573" s="41" t="s">
        <v>439</v>
      </c>
      <c r="F573" s="41" t="s">
        <v>1008</v>
      </c>
      <c r="G573" s="41">
        <v>46153</v>
      </c>
      <c r="H573" s="40" t="s">
        <v>499</v>
      </c>
      <c r="I573" s="43"/>
      <c r="J573" s="40">
        <v>0</v>
      </c>
      <c r="K573" s="40">
        <v>1</v>
      </c>
      <c r="L573" s="44">
        <v>1</v>
      </c>
      <c r="M573" s="40">
        <v>1</v>
      </c>
      <c r="N573" s="40">
        <v>0</v>
      </c>
      <c r="O573" s="48">
        <v>1</v>
      </c>
      <c r="P573" s="45" t="s">
        <v>375</v>
      </c>
      <c r="Q573" s="23" t="s">
        <v>239</v>
      </c>
      <c r="R573" s="23" t="s">
        <v>445</v>
      </c>
      <c r="S573" s="22" t="s">
        <v>9</v>
      </c>
    </row>
    <row r="574" spans="1:19" ht="12.75" customHeight="1" x14ac:dyDescent="0.25">
      <c r="A574" s="47" t="s">
        <v>497</v>
      </c>
      <c r="B574" s="23" t="s">
        <v>1015</v>
      </c>
      <c r="C574" s="28">
        <v>46144</v>
      </c>
      <c r="D574" s="30" t="s">
        <v>443</v>
      </c>
      <c r="E574" s="28" t="s">
        <v>425</v>
      </c>
      <c r="F574" s="28" t="s">
        <v>435</v>
      </c>
      <c r="G574" s="28">
        <v>46154</v>
      </c>
      <c r="H574" s="23" t="s">
        <v>499</v>
      </c>
      <c r="I574" s="33" t="s">
        <v>14</v>
      </c>
      <c r="J574" s="23">
        <v>1</v>
      </c>
      <c r="K574" s="23">
        <v>1</v>
      </c>
      <c r="L574" s="35">
        <v>0</v>
      </c>
      <c r="M574" s="23">
        <v>1</v>
      </c>
      <c r="N574" s="23">
        <v>1</v>
      </c>
      <c r="O574" s="49">
        <v>0</v>
      </c>
      <c r="P574" s="45" t="s">
        <v>375</v>
      </c>
      <c r="Q574" s="23" t="s">
        <v>239</v>
      </c>
      <c r="R574" s="23" t="s">
        <v>445</v>
      </c>
      <c r="S574" s="22" t="s">
        <v>9</v>
      </c>
    </row>
    <row r="575" spans="1:19" ht="12.75" customHeight="1" x14ac:dyDescent="0.25">
      <c r="A575" s="47" t="s">
        <v>497</v>
      </c>
      <c r="B575" s="23" t="s">
        <v>1016</v>
      </c>
      <c r="C575" s="28">
        <v>46145</v>
      </c>
      <c r="D575" s="30" t="s">
        <v>443</v>
      </c>
      <c r="E575" s="28" t="s">
        <v>440</v>
      </c>
      <c r="F575" s="28" t="s">
        <v>435</v>
      </c>
      <c r="G575" s="28">
        <v>46155</v>
      </c>
      <c r="H575" s="23" t="s">
        <v>499</v>
      </c>
      <c r="I575" s="33" t="s">
        <v>14</v>
      </c>
      <c r="J575" s="23">
        <v>1</v>
      </c>
      <c r="K575" s="23">
        <v>1</v>
      </c>
      <c r="L575" s="35">
        <v>0</v>
      </c>
      <c r="M575" s="23">
        <v>2</v>
      </c>
      <c r="N575" s="23">
        <v>2</v>
      </c>
      <c r="O575" s="49">
        <v>0</v>
      </c>
      <c r="P575" s="45" t="s">
        <v>375</v>
      </c>
      <c r="Q575" s="23" t="s">
        <v>239</v>
      </c>
      <c r="R575" s="23" t="s">
        <v>445</v>
      </c>
      <c r="S575" s="22" t="s">
        <v>9</v>
      </c>
    </row>
    <row r="576" spans="1:19" ht="12.75" customHeight="1" x14ac:dyDescent="0.25">
      <c r="A576" s="47" t="s">
        <v>497</v>
      </c>
      <c r="B576" s="23" t="s">
        <v>1017</v>
      </c>
      <c r="C576" s="28">
        <v>46152</v>
      </c>
      <c r="D576" s="30" t="s">
        <v>443</v>
      </c>
      <c r="E576" s="28" t="s">
        <v>1018</v>
      </c>
      <c r="F576" s="28" t="s">
        <v>429</v>
      </c>
      <c r="G576" s="28">
        <v>46162</v>
      </c>
      <c r="H576" s="23" t="s">
        <v>499</v>
      </c>
      <c r="I576" s="33" t="s">
        <v>14</v>
      </c>
      <c r="J576" s="23">
        <v>1</v>
      </c>
      <c r="K576" s="23">
        <v>1</v>
      </c>
      <c r="L576" s="35">
        <v>0</v>
      </c>
      <c r="M576" s="23">
        <v>2</v>
      </c>
      <c r="N576" s="23">
        <v>2</v>
      </c>
      <c r="O576" s="49">
        <v>0</v>
      </c>
      <c r="P576" s="45" t="s">
        <v>375</v>
      </c>
      <c r="Q576" s="23" t="s">
        <v>239</v>
      </c>
      <c r="R576" s="23" t="s">
        <v>445</v>
      </c>
      <c r="S576" s="22" t="s">
        <v>9</v>
      </c>
    </row>
    <row r="577" spans="1:19" ht="12.75" customHeight="1" x14ac:dyDescent="0.25">
      <c r="A577" s="47" t="s">
        <v>497</v>
      </c>
      <c r="B577" s="23" t="s">
        <v>1019</v>
      </c>
      <c r="C577" s="28">
        <v>46152</v>
      </c>
      <c r="D577" s="30" t="s">
        <v>443</v>
      </c>
      <c r="E577" s="28" t="s">
        <v>773</v>
      </c>
      <c r="F577" s="28" t="s">
        <v>429</v>
      </c>
      <c r="G577" s="28">
        <v>46162</v>
      </c>
      <c r="H577" s="23" t="s">
        <v>499</v>
      </c>
      <c r="I577" s="33" t="s">
        <v>14</v>
      </c>
      <c r="J577" s="23">
        <v>1</v>
      </c>
      <c r="K577" s="23">
        <v>1</v>
      </c>
      <c r="L577" s="35">
        <v>0</v>
      </c>
      <c r="M577" s="23">
        <v>2</v>
      </c>
      <c r="N577" s="23">
        <v>2</v>
      </c>
      <c r="O577" s="49">
        <v>0</v>
      </c>
      <c r="P577" s="45" t="s">
        <v>375</v>
      </c>
      <c r="Q577" s="23" t="s">
        <v>239</v>
      </c>
      <c r="R577" s="23" t="s">
        <v>445</v>
      </c>
      <c r="S577" s="22" t="s">
        <v>9</v>
      </c>
    </row>
    <row r="578" spans="1:19" ht="12.75" customHeight="1" x14ac:dyDescent="0.25">
      <c r="A578" s="47" t="s">
        <v>497</v>
      </c>
      <c r="B578" s="23" t="s">
        <v>1020</v>
      </c>
      <c r="C578" s="28">
        <v>46152</v>
      </c>
      <c r="D578" s="30" t="s">
        <v>443</v>
      </c>
      <c r="E578" s="28" t="s">
        <v>773</v>
      </c>
      <c r="F578" s="28" t="s">
        <v>425</v>
      </c>
      <c r="G578" s="28">
        <v>46162</v>
      </c>
      <c r="H578" s="23" t="s">
        <v>499</v>
      </c>
      <c r="I578" s="33" t="s">
        <v>14</v>
      </c>
      <c r="J578" s="23">
        <v>1</v>
      </c>
      <c r="K578" s="23">
        <v>1</v>
      </c>
      <c r="L578" s="35">
        <v>0</v>
      </c>
      <c r="M578" s="23">
        <v>2</v>
      </c>
      <c r="N578" s="23">
        <v>2</v>
      </c>
      <c r="O578" s="49">
        <v>0</v>
      </c>
      <c r="P578" s="45" t="s">
        <v>375</v>
      </c>
      <c r="Q578" s="23" t="s">
        <v>239</v>
      </c>
      <c r="R578" s="23" t="s">
        <v>445</v>
      </c>
      <c r="S578" s="22" t="s">
        <v>9</v>
      </c>
    </row>
    <row r="579" spans="1:19" ht="12.75" customHeight="1" x14ac:dyDescent="0.25">
      <c r="A579" s="47" t="s">
        <v>497</v>
      </c>
      <c r="B579" s="23" t="s">
        <v>1021</v>
      </c>
      <c r="C579" s="28">
        <v>46152</v>
      </c>
      <c r="D579" s="30" t="s">
        <v>443</v>
      </c>
      <c r="E579" s="28" t="s">
        <v>1018</v>
      </c>
      <c r="F579" s="28" t="s">
        <v>1022</v>
      </c>
      <c r="G579" s="28">
        <v>46162</v>
      </c>
      <c r="H579" s="23" t="s">
        <v>499</v>
      </c>
      <c r="I579" s="33" t="s">
        <v>14</v>
      </c>
      <c r="J579" s="23">
        <v>1</v>
      </c>
      <c r="K579" s="23">
        <v>1</v>
      </c>
      <c r="L579" s="35">
        <v>0</v>
      </c>
      <c r="M579" s="23">
        <v>3</v>
      </c>
      <c r="N579" s="23">
        <v>3</v>
      </c>
      <c r="O579" s="49">
        <v>0</v>
      </c>
      <c r="P579" s="45" t="s">
        <v>375</v>
      </c>
      <c r="Q579" s="23" t="s">
        <v>239</v>
      </c>
      <c r="R579" s="23" t="s">
        <v>445</v>
      </c>
      <c r="S579" s="22" t="s">
        <v>9</v>
      </c>
    </row>
    <row r="580" spans="1:19" ht="12.75" customHeight="1" x14ac:dyDescent="0.25">
      <c r="A580" s="47" t="s">
        <v>497</v>
      </c>
      <c r="B580" s="23" t="s">
        <v>1023</v>
      </c>
      <c r="C580" s="28">
        <v>46152</v>
      </c>
      <c r="D580" s="30" t="s">
        <v>443</v>
      </c>
      <c r="E580" s="28" t="s">
        <v>1018</v>
      </c>
      <c r="F580" s="28" t="s">
        <v>1022</v>
      </c>
      <c r="G580" s="28">
        <v>46162</v>
      </c>
      <c r="H580" s="23" t="s">
        <v>499</v>
      </c>
      <c r="I580" s="33" t="s">
        <v>14</v>
      </c>
      <c r="J580" s="23">
        <v>1</v>
      </c>
      <c r="K580" s="23">
        <v>1</v>
      </c>
      <c r="L580" s="35">
        <v>0</v>
      </c>
      <c r="M580" s="23">
        <v>2</v>
      </c>
      <c r="N580" s="23">
        <v>2</v>
      </c>
      <c r="O580" s="49">
        <v>0</v>
      </c>
      <c r="P580" s="45" t="s">
        <v>375</v>
      </c>
      <c r="Q580" s="23" t="s">
        <v>239</v>
      </c>
      <c r="R580" s="23" t="s">
        <v>445</v>
      </c>
      <c r="S580" s="22" t="s">
        <v>9</v>
      </c>
    </row>
    <row r="581" spans="1:19" ht="12.75" customHeight="1" x14ac:dyDescent="0.25">
      <c r="A581" s="47" t="s">
        <v>497</v>
      </c>
      <c r="B581" s="23" t="s">
        <v>1024</v>
      </c>
      <c r="C581" s="28">
        <v>46152</v>
      </c>
      <c r="D581" s="30" t="s">
        <v>443</v>
      </c>
      <c r="E581" s="28" t="s">
        <v>773</v>
      </c>
      <c r="F581" s="28" t="s">
        <v>425</v>
      </c>
      <c r="G581" s="28">
        <v>46162</v>
      </c>
      <c r="H581" s="23" t="s">
        <v>499</v>
      </c>
      <c r="I581" s="33" t="s">
        <v>14</v>
      </c>
      <c r="J581" s="23">
        <v>1</v>
      </c>
      <c r="K581" s="23">
        <v>1</v>
      </c>
      <c r="L581" s="35">
        <v>0</v>
      </c>
      <c r="M581" s="23">
        <v>2</v>
      </c>
      <c r="N581" s="23">
        <v>2</v>
      </c>
      <c r="O581" s="49">
        <v>0</v>
      </c>
      <c r="P581" s="45" t="s">
        <v>375</v>
      </c>
      <c r="Q581" s="23" t="s">
        <v>239</v>
      </c>
      <c r="R581" s="23" t="s">
        <v>445</v>
      </c>
      <c r="S581" s="22" t="s">
        <v>9</v>
      </c>
    </row>
    <row r="582" spans="1:19" ht="12.75" customHeight="1" x14ac:dyDescent="0.25">
      <c r="A582" s="47" t="s">
        <v>497</v>
      </c>
      <c r="B582" s="23" t="s">
        <v>1025</v>
      </c>
      <c r="C582" s="28">
        <v>46152</v>
      </c>
      <c r="D582" s="30" t="s">
        <v>443</v>
      </c>
      <c r="E582" s="28" t="s">
        <v>1012</v>
      </c>
      <c r="F582" s="28" t="s">
        <v>1026</v>
      </c>
      <c r="G582" s="28">
        <v>46162</v>
      </c>
      <c r="H582" s="23" t="s">
        <v>499</v>
      </c>
      <c r="I582" s="33" t="s">
        <v>14</v>
      </c>
      <c r="J582" s="23">
        <v>1</v>
      </c>
      <c r="K582" s="23">
        <v>1</v>
      </c>
      <c r="L582" s="35">
        <v>0</v>
      </c>
      <c r="M582" s="23">
        <v>2</v>
      </c>
      <c r="N582" s="23">
        <v>2</v>
      </c>
      <c r="O582" s="49">
        <v>0</v>
      </c>
      <c r="P582" s="45" t="s">
        <v>375</v>
      </c>
      <c r="Q582" s="23" t="s">
        <v>239</v>
      </c>
      <c r="R582" s="23" t="s">
        <v>445</v>
      </c>
      <c r="S582" s="22" t="s">
        <v>9</v>
      </c>
    </row>
    <row r="583" spans="1:19" ht="12.75" customHeight="1" x14ac:dyDescent="0.25">
      <c r="A583" s="47" t="s">
        <v>497</v>
      </c>
      <c r="B583" s="23" t="s">
        <v>1027</v>
      </c>
      <c r="C583" s="28">
        <v>46152</v>
      </c>
      <c r="D583" s="30" t="s">
        <v>443</v>
      </c>
      <c r="E583" s="28" t="s">
        <v>773</v>
      </c>
      <c r="F583" s="28" t="s">
        <v>429</v>
      </c>
      <c r="G583" s="28">
        <v>46162</v>
      </c>
      <c r="H583" s="23" t="s">
        <v>499</v>
      </c>
      <c r="I583" s="33" t="s">
        <v>14</v>
      </c>
      <c r="J583" s="23">
        <v>1</v>
      </c>
      <c r="K583" s="23">
        <v>1</v>
      </c>
      <c r="L583" s="35">
        <v>0</v>
      </c>
      <c r="M583" s="23">
        <v>1</v>
      </c>
      <c r="N583" s="23">
        <v>1</v>
      </c>
      <c r="O583" s="49">
        <v>0</v>
      </c>
      <c r="P583" s="45" t="s">
        <v>375</v>
      </c>
      <c r="Q583" s="23" t="s">
        <v>239</v>
      </c>
      <c r="R583" s="23" t="s">
        <v>445</v>
      </c>
      <c r="S583" s="22" t="s">
        <v>9</v>
      </c>
    </row>
    <row r="584" spans="1:19" ht="12.75" customHeight="1" x14ac:dyDescent="0.25">
      <c r="A584" s="47" t="s">
        <v>497</v>
      </c>
      <c r="B584" s="23" t="s">
        <v>1028</v>
      </c>
      <c r="C584" s="28">
        <v>46152</v>
      </c>
      <c r="D584" s="30" t="s">
        <v>443</v>
      </c>
      <c r="E584" s="28" t="s">
        <v>773</v>
      </c>
      <c r="F584" s="28" t="s">
        <v>425</v>
      </c>
      <c r="G584" s="28">
        <v>46162</v>
      </c>
      <c r="H584" s="23" t="s">
        <v>499</v>
      </c>
      <c r="I584" s="33" t="s">
        <v>14</v>
      </c>
      <c r="J584" s="23">
        <v>1</v>
      </c>
      <c r="K584" s="23">
        <v>1</v>
      </c>
      <c r="L584" s="35">
        <v>0</v>
      </c>
      <c r="M584" s="23">
        <v>2</v>
      </c>
      <c r="N584" s="23">
        <v>2</v>
      </c>
      <c r="O584" s="49">
        <v>0</v>
      </c>
      <c r="P584" s="45" t="s">
        <v>375</v>
      </c>
      <c r="Q584" s="23" t="s">
        <v>239</v>
      </c>
      <c r="R584" s="23" t="s">
        <v>445</v>
      </c>
      <c r="S584" s="22" t="s">
        <v>9</v>
      </c>
    </row>
    <row r="585" spans="1:19" ht="12.75" customHeight="1" x14ac:dyDescent="0.25">
      <c r="A585" s="47" t="s">
        <v>497</v>
      </c>
      <c r="B585" s="23" t="s">
        <v>1029</v>
      </c>
      <c r="C585" s="28">
        <v>46152</v>
      </c>
      <c r="D585" s="30" t="s">
        <v>443</v>
      </c>
      <c r="E585" s="28" t="s">
        <v>1030</v>
      </c>
      <c r="F585" s="28" t="s">
        <v>773</v>
      </c>
      <c r="G585" s="28">
        <v>46162</v>
      </c>
      <c r="H585" s="23" t="s">
        <v>499</v>
      </c>
      <c r="I585" s="33" t="s">
        <v>14</v>
      </c>
      <c r="J585" s="23">
        <v>1</v>
      </c>
      <c r="K585" s="23">
        <v>1</v>
      </c>
      <c r="L585" s="35">
        <v>0</v>
      </c>
      <c r="M585" s="23">
        <v>2</v>
      </c>
      <c r="N585" s="23">
        <v>2</v>
      </c>
      <c r="O585" s="49">
        <v>0</v>
      </c>
      <c r="P585" s="45" t="s">
        <v>375</v>
      </c>
      <c r="Q585" s="23" t="s">
        <v>239</v>
      </c>
      <c r="R585" s="23" t="s">
        <v>445</v>
      </c>
      <c r="S585" s="22" t="s">
        <v>9</v>
      </c>
    </row>
    <row r="586" spans="1:19" ht="12.75" customHeight="1" x14ac:dyDescent="0.25">
      <c r="A586" s="47" t="s">
        <v>497</v>
      </c>
      <c r="B586" s="23" t="s">
        <v>1031</v>
      </c>
      <c r="C586" s="28">
        <v>46152</v>
      </c>
      <c r="D586" s="30" t="s">
        <v>443</v>
      </c>
      <c r="E586" s="28" t="s">
        <v>1030</v>
      </c>
      <c r="F586" s="28" t="s">
        <v>1032</v>
      </c>
      <c r="G586" s="28">
        <v>46162</v>
      </c>
      <c r="H586" s="23" t="s">
        <v>499</v>
      </c>
      <c r="I586" s="33" t="s">
        <v>14</v>
      </c>
      <c r="J586" s="23">
        <v>1</v>
      </c>
      <c r="K586" s="23">
        <v>1</v>
      </c>
      <c r="L586" s="35">
        <v>0</v>
      </c>
      <c r="M586" s="23">
        <v>2</v>
      </c>
      <c r="N586" s="23">
        <v>2</v>
      </c>
      <c r="O586" s="49">
        <v>0</v>
      </c>
      <c r="P586" s="45" t="s">
        <v>375</v>
      </c>
      <c r="Q586" s="23" t="s">
        <v>239</v>
      </c>
      <c r="R586" s="23" t="s">
        <v>445</v>
      </c>
      <c r="S586" s="22" t="s">
        <v>9</v>
      </c>
    </row>
    <row r="587" spans="1:19" ht="12.75" customHeight="1" x14ac:dyDescent="0.25">
      <c r="A587" s="47" t="s">
        <v>497</v>
      </c>
      <c r="B587" s="23" t="s">
        <v>1033</v>
      </c>
      <c r="C587" s="28">
        <v>46154</v>
      </c>
      <c r="D587" s="30" t="s">
        <v>443</v>
      </c>
      <c r="E587" s="28" t="s">
        <v>440</v>
      </c>
      <c r="F587" s="28" t="s">
        <v>1034</v>
      </c>
      <c r="G587" s="28">
        <v>46164</v>
      </c>
      <c r="H587" s="23" t="s">
        <v>499</v>
      </c>
      <c r="I587" s="33" t="s">
        <v>14</v>
      </c>
      <c r="J587" s="23">
        <v>1</v>
      </c>
      <c r="K587" s="23">
        <v>1</v>
      </c>
      <c r="L587" s="35">
        <v>0</v>
      </c>
      <c r="M587" s="23">
        <v>2</v>
      </c>
      <c r="N587" s="23">
        <v>2</v>
      </c>
      <c r="O587" s="49">
        <v>0</v>
      </c>
      <c r="P587" s="45" t="s">
        <v>375</v>
      </c>
      <c r="Q587" s="23" t="s">
        <v>239</v>
      </c>
      <c r="R587" s="23" t="s">
        <v>445</v>
      </c>
      <c r="S587" s="22" t="s">
        <v>9</v>
      </c>
    </row>
    <row r="588" spans="1:19" ht="12.75" customHeight="1" x14ac:dyDescent="0.25">
      <c r="A588" s="47" t="s">
        <v>497</v>
      </c>
      <c r="B588" s="23" t="s">
        <v>1025</v>
      </c>
      <c r="C588" s="28">
        <v>46154</v>
      </c>
      <c r="D588" s="30" t="s">
        <v>443</v>
      </c>
      <c r="E588" s="28" t="s">
        <v>1012</v>
      </c>
      <c r="F588" s="28" t="s">
        <v>1026</v>
      </c>
      <c r="G588" s="28">
        <v>46164</v>
      </c>
      <c r="H588" s="23" t="s">
        <v>499</v>
      </c>
      <c r="I588" s="33" t="s">
        <v>14</v>
      </c>
      <c r="J588" s="23">
        <v>1</v>
      </c>
      <c r="K588" s="23">
        <v>1</v>
      </c>
      <c r="L588" s="35">
        <v>0</v>
      </c>
      <c r="M588" s="23">
        <v>2</v>
      </c>
      <c r="N588" s="23">
        <v>2</v>
      </c>
      <c r="O588" s="49">
        <v>0</v>
      </c>
      <c r="P588" s="45" t="s">
        <v>375</v>
      </c>
      <c r="Q588" s="23" t="s">
        <v>239</v>
      </c>
      <c r="R588" s="23" t="s">
        <v>445</v>
      </c>
      <c r="S588" s="22" t="s">
        <v>9</v>
      </c>
    </row>
    <row r="589" spans="1:19" ht="12.75" customHeight="1" x14ac:dyDescent="0.25">
      <c r="A589" s="47" t="s">
        <v>497</v>
      </c>
      <c r="B589" s="23" t="s">
        <v>1035</v>
      </c>
      <c r="C589" s="28">
        <v>46156</v>
      </c>
      <c r="D589" s="30" t="s">
        <v>443</v>
      </c>
      <c r="E589" s="28" t="s">
        <v>1030</v>
      </c>
      <c r="F589" s="28" t="s">
        <v>774</v>
      </c>
      <c r="G589" s="28">
        <v>46166</v>
      </c>
      <c r="H589" s="23" t="s">
        <v>499</v>
      </c>
      <c r="I589" s="33" t="s">
        <v>14</v>
      </c>
      <c r="J589" s="23">
        <v>1</v>
      </c>
      <c r="K589" s="23">
        <v>1</v>
      </c>
      <c r="L589" s="35">
        <v>0</v>
      </c>
      <c r="M589" s="23">
        <v>2</v>
      </c>
      <c r="N589" s="23">
        <v>2</v>
      </c>
      <c r="O589" s="49">
        <v>0</v>
      </c>
      <c r="P589" s="45" t="s">
        <v>375</v>
      </c>
      <c r="Q589" s="23" t="s">
        <v>239</v>
      </c>
      <c r="R589" s="23" t="s">
        <v>445</v>
      </c>
      <c r="S589" s="22" t="s">
        <v>9</v>
      </c>
    </row>
    <row r="590" spans="1:19" ht="12.75" customHeight="1" x14ac:dyDescent="0.25">
      <c r="A590" s="47" t="s">
        <v>497</v>
      </c>
      <c r="B590" s="23" t="s">
        <v>1036</v>
      </c>
      <c r="C590" s="28">
        <v>46157</v>
      </c>
      <c r="D590" s="30" t="s">
        <v>443</v>
      </c>
      <c r="E590" s="28" t="s">
        <v>440</v>
      </c>
      <c r="F590" s="28" t="s">
        <v>448</v>
      </c>
      <c r="G590" s="28">
        <v>46167</v>
      </c>
      <c r="H590" s="23" t="s">
        <v>499</v>
      </c>
      <c r="I590" s="33" t="s">
        <v>14</v>
      </c>
      <c r="J590" s="23">
        <v>1</v>
      </c>
      <c r="K590" s="23">
        <v>1</v>
      </c>
      <c r="L590" s="35">
        <v>0</v>
      </c>
      <c r="M590" s="23">
        <v>3</v>
      </c>
      <c r="N590" s="23">
        <v>3</v>
      </c>
      <c r="O590" s="49">
        <v>0</v>
      </c>
      <c r="P590" s="45" t="s">
        <v>375</v>
      </c>
      <c r="Q590" s="23" t="s">
        <v>239</v>
      </c>
      <c r="R590" s="23" t="s">
        <v>445</v>
      </c>
      <c r="S590" s="22" t="s">
        <v>9</v>
      </c>
    </row>
    <row r="591" spans="1:19" ht="12.75" customHeight="1" x14ac:dyDescent="0.25">
      <c r="A591" s="47" t="s">
        <v>497</v>
      </c>
      <c r="B591" s="23" t="s">
        <v>1037</v>
      </c>
      <c r="C591" s="28">
        <v>46160</v>
      </c>
      <c r="D591" s="30" t="s">
        <v>443</v>
      </c>
      <c r="E591" s="28" t="s">
        <v>440</v>
      </c>
      <c r="F591" s="28" t="s">
        <v>458</v>
      </c>
      <c r="G591" s="28">
        <v>46170</v>
      </c>
      <c r="H591" s="23" t="s">
        <v>499</v>
      </c>
      <c r="I591" s="33" t="s">
        <v>14</v>
      </c>
      <c r="J591" s="23">
        <v>1</v>
      </c>
      <c r="K591" s="23">
        <v>1</v>
      </c>
      <c r="L591" s="35">
        <v>0</v>
      </c>
      <c r="M591" s="23">
        <v>2</v>
      </c>
      <c r="N591" s="23">
        <v>2</v>
      </c>
      <c r="O591" s="49">
        <v>0</v>
      </c>
      <c r="P591" s="45" t="s">
        <v>375</v>
      </c>
      <c r="Q591" s="23" t="s">
        <v>239</v>
      </c>
      <c r="R591" s="23" t="s">
        <v>445</v>
      </c>
      <c r="S591" s="22" t="s">
        <v>9</v>
      </c>
    </row>
    <row r="592" spans="1:19" ht="12.75" customHeight="1" x14ac:dyDescent="0.25">
      <c r="A592" s="47" t="s">
        <v>497</v>
      </c>
      <c r="B592" s="23" t="s">
        <v>1038</v>
      </c>
      <c r="C592" s="28">
        <v>46160</v>
      </c>
      <c r="D592" s="30" t="s">
        <v>443</v>
      </c>
      <c r="E592" s="28" t="s">
        <v>440</v>
      </c>
      <c r="F592" s="28" t="s">
        <v>454</v>
      </c>
      <c r="G592" s="28">
        <v>46170</v>
      </c>
      <c r="H592" s="23" t="s">
        <v>499</v>
      </c>
      <c r="I592" s="33" t="s">
        <v>14</v>
      </c>
      <c r="J592" s="23">
        <v>1</v>
      </c>
      <c r="K592" s="23">
        <v>1</v>
      </c>
      <c r="L592" s="35">
        <v>0</v>
      </c>
      <c r="M592" s="23">
        <v>2</v>
      </c>
      <c r="N592" s="23">
        <v>2</v>
      </c>
      <c r="O592" s="49">
        <v>0</v>
      </c>
      <c r="P592" s="45" t="s">
        <v>375</v>
      </c>
      <c r="Q592" s="23" t="s">
        <v>239</v>
      </c>
      <c r="R592" s="23" t="s">
        <v>445</v>
      </c>
      <c r="S592" s="22" t="s">
        <v>9</v>
      </c>
    </row>
    <row r="593" spans="1:19" ht="12.75" customHeight="1" thickBot="1" x14ac:dyDescent="0.3">
      <c r="A593" s="51" t="s">
        <v>497</v>
      </c>
      <c r="B593" s="20" t="s">
        <v>1039</v>
      </c>
      <c r="C593" s="25">
        <v>46166</v>
      </c>
      <c r="D593" s="27" t="s">
        <v>443</v>
      </c>
      <c r="E593" s="25" t="s">
        <v>440</v>
      </c>
      <c r="F593" s="25" t="s">
        <v>454</v>
      </c>
      <c r="G593" s="25">
        <v>46176</v>
      </c>
      <c r="H593" s="20" t="s">
        <v>499</v>
      </c>
      <c r="I593" s="32" t="s">
        <v>14</v>
      </c>
      <c r="J593" s="20">
        <v>1</v>
      </c>
      <c r="K593" s="20">
        <v>1</v>
      </c>
      <c r="L593" s="34">
        <v>0</v>
      </c>
      <c r="M593" s="20">
        <v>4</v>
      </c>
      <c r="N593" s="20">
        <v>4</v>
      </c>
      <c r="O593" s="54">
        <v>0</v>
      </c>
      <c r="P593" s="45" t="s">
        <v>375</v>
      </c>
      <c r="Q593" s="23" t="s">
        <v>239</v>
      </c>
      <c r="R593" s="23" t="s">
        <v>445</v>
      </c>
      <c r="S593" s="22" t="s">
        <v>9</v>
      </c>
    </row>
    <row r="594" spans="1:19" ht="17.25" customHeight="1" x14ac:dyDescent="0.25">
      <c r="A594" s="60"/>
      <c r="B594" s="50"/>
      <c r="C594" s="55"/>
      <c r="D594" s="56"/>
      <c r="E594" s="56"/>
      <c r="F594" s="57"/>
      <c r="G594" s="57"/>
      <c r="H594" s="57"/>
      <c r="I594" s="58" t="s">
        <v>1087</v>
      </c>
      <c r="J594" s="57">
        <f>SUM(J573:J593)</f>
        <v>20</v>
      </c>
      <c r="K594" s="57">
        <f>SUM(K573:K593)</f>
        <v>21</v>
      </c>
      <c r="L594" s="59">
        <f>(SUM(K573:K593) - SUM(J573:J593)) / SUM(K573:K593)</f>
        <v>4.7619047619047616E-2</v>
      </c>
      <c r="M594" s="57">
        <f>SUM(M573:M593)</f>
        <v>43</v>
      </c>
      <c r="N594" s="56">
        <f>SUM(N573:N593)</f>
        <v>42</v>
      </c>
      <c r="O594" s="61">
        <f>(SUM(M573:M593) - SUM(N573:N593)) / SUM(M573:M593)</f>
        <v>2.3255813953488372E-2</v>
      </c>
      <c r="P594" s="52"/>
      <c r="Q594" s="53"/>
      <c r="R594" s="52"/>
      <c r="S594" s="52"/>
    </row>
    <row r="595" spans="1:19" x14ac:dyDescent="0.25">
      <c r="A595" s="125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2"/>
      <c r="M595" s="121"/>
      <c r="N595" s="121"/>
      <c r="O595" s="127"/>
      <c r="P595" s="120"/>
      <c r="Q595" s="120"/>
      <c r="R595" s="120"/>
      <c r="S595" s="120"/>
    </row>
    <row r="596" spans="1:19" ht="15.75" thickBot="1" x14ac:dyDescent="0.3">
      <c r="A596" s="126"/>
      <c r="B596" s="123"/>
      <c r="C596" s="124"/>
      <c r="D596" s="123"/>
      <c r="E596" s="123"/>
      <c r="F596" s="123"/>
      <c r="G596" s="124"/>
      <c r="H596" s="123"/>
      <c r="I596" s="123"/>
      <c r="J596" s="123"/>
      <c r="K596" s="123"/>
      <c r="L596" s="123"/>
      <c r="M596" s="123"/>
      <c r="N596" s="123"/>
      <c r="O596" s="128"/>
      <c r="P596" s="98"/>
      <c r="Q596" s="98"/>
      <c r="R596" s="98"/>
      <c r="S596" s="98"/>
    </row>
    <row r="597" spans="1:19" ht="15.75" thickBot="1" x14ac:dyDescent="0.3">
      <c r="C597" s="1"/>
      <c r="G597" s="1"/>
    </row>
    <row r="598" spans="1:19" x14ac:dyDescent="0.25">
      <c r="A598" s="9"/>
      <c r="B598" s="10"/>
      <c r="C598" s="11"/>
      <c r="D598" s="11"/>
      <c r="E598" s="11"/>
      <c r="F598" s="11"/>
      <c r="G598" s="11"/>
      <c r="H598" s="12"/>
      <c r="I598" s="11"/>
      <c r="J598" s="13"/>
      <c r="K598" s="13"/>
      <c r="L598" s="13"/>
      <c r="M598" s="13"/>
      <c r="N598" s="11"/>
      <c r="O598" s="14"/>
      <c r="P598" s="4"/>
      <c r="Q598" s="5"/>
      <c r="R598" s="4"/>
      <c r="S598" s="4"/>
    </row>
    <row r="599" spans="1:19" x14ac:dyDescent="0.25">
      <c r="A599" s="6" t="s">
        <v>1096</v>
      </c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15"/>
      <c r="P599" s="3"/>
      <c r="Q599" s="3"/>
      <c r="R599" s="3"/>
      <c r="S599" s="3"/>
    </row>
    <row r="600" spans="1:19" x14ac:dyDescent="0.25">
      <c r="A600" s="7" t="s">
        <v>254</v>
      </c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15"/>
      <c r="P600" s="3"/>
      <c r="Q600" s="3"/>
      <c r="R600" s="3"/>
      <c r="S600" s="3"/>
    </row>
    <row r="601" spans="1:19" ht="15.75" thickBot="1" x14ac:dyDescent="0.3">
      <c r="A601" s="8"/>
      <c r="B601" s="8"/>
      <c r="C601" s="74"/>
      <c r="D601" s="8"/>
      <c r="E601" s="8"/>
      <c r="F601" s="8"/>
      <c r="G601" s="74"/>
      <c r="H601" s="8"/>
      <c r="I601" s="8"/>
      <c r="J601" s="8"/>
      <c r="K601" s="8"/>
      <c r="L601" s="8"/>
      <c r="M601" s="8"/>
      <c r="N601" s="8"/>
      <c r="O601" s="16"/>
      <c r="P601" s="3"/>
      <c r="Q601" s="3"/>
      <c r="R601" s="3"/>
      <c r="S601" s="3"/>
    </row>
    <row r="602" spans="1:19" ht="17.25" customHeight="1" thickBot="1" x14ac:dyDescent="0.3">
      <c r="A602" s="19" t="s">
        <v>1068</v>
      </c>
      <c r="B602" s="24" t="s">
        <v>1069</v>
      </c>
      <c r="C602" s="26" t="s">
        <v>1070</v>
      </c>
      <c r="D602" s="29" t="s">
        <v>1071</v>
      </c>
      <c r="E602" s="26" t="s">
        <v>1072</v>
      </c>
      <c r="F602" s="31" t="s">
        <v>1073</v>
      </c>
      <c r="G602" s="31" t="s">
        <v>1074</v>
      </c>
      <c r="H602" s="31" t="s">
        <v>1075</v>
      </c>
      <c r="I602" s="29" t="s">
        <v>14</v>
      </c>
      <c r="J602" s="29" t="s">
        <v>1076</v>
      </c>
      <c r="K602" s="29" t="s">
        <v>1077</v>
      </c>
      <c r="L602" s="29" t="s">
        <v>1078</v>
      </c>
      <c r="M602" s="29" t="s">
        <v>1079</v>
      </c>
      <c r="N602" s="29" t="s">
        <v>1080</v>
      </c>
      <c r="O602" s="36" t="s">
        <v>1081</v>
      </c>
      <c r="P602" s="37" t="s">
        <v>1082</v>
      </c>
      <c r="Q602" s="38" t="s">
        <v>1083</v>
      </c>
      <c r="R602" s="38" t="s">
        <v>1084</v>
      </c>
      <c r="S602" s="39" t="s">
        <v>1085</v>
      </c>
    </row>
    <row r="603" spans="1:19" ht="12.75" customHeight="1" x14ac:dyDescent="0.25">
      <c r="A603" s="46" t="s">
        <v>497</v>
      </c>
      <c r="B603" s="40" t="s">
        <v>1040</v>
      </c>
      <c r="C603" s="41">
        <v>46187</v>
      </c>
      <c r="D603" s="42" t="s">
        <v>457</v>
      </c>
      <c r="E603" s="41" t="s">
        <v>440</v>
      </c>
      <c r="F603" s="41" t="s">
        <v>468</v>
      </c>
      <c r="G603" s="41">
        <v>46197</v>
      </c>
      <c r="H603" s="40" t="s">
        <v>499</v>
      </c>
      <c r="I603" s="43" t="s">
        <v>14</v>
      </c>
      <c r="J603" s="40">
        <v>1</v>
      </c>
      <c r="K603" s="40">
        <v>1</v>
      </c>
      <c r="L603" s="44">
        <v>0</v>
      </c>
      <c r="M603" s="40">
        <v>2</v>
      </c>
      <c r="N603" s="40">
        <v>2</v>
      </c>
      <c r="O603" s="48">
        <v>0</v>
      </c>
      <c r="P603" s="45" t="s">
        <v>375</v>
      </c>
      <c r="Q603" s="23" t="s">
        <v>254</v>
      </c>
      <c r="R603" s="23" t="s">
        <v>459</v>
      </c>
      <c r="S603" s="22" t="s">
        <v>9</v>
      </c>
    </row>
    <row r="604" spans="1:19" ht="12.75" customHeight="1" x14ac:dyDescent="0.25">
      <c r="A604" s="47" t="s">
        <v>497</v>
      </c>
      <c r="B604" s="23" t="s">
        <v>1041</v>
      </c>
      <c r="C604" s="28">
        <v>46189</v>
      </c>
      <c r="D604" s="30" t="s">
        <v>457</v>
      </c>
      <c r="E604" s="28" t="s">
        <v>1042</v>
      </c>
      <c r="F604" s="28" t="s">
        <v>464</v>
      </c>
      <c r="G604" s="28">
        <v>46199</v>
      </c>
      <c r="H604" s="23" t="s">
        <v>499</v>
      </c>
      <c r="I604" s="33" t="s">
        <v>14</v>
      </c>
      <c r="J604" s="23">
        <v>1</v>
      </c>
      <c r="K604" s="23">
        <v>1</v>
      </c>
      <c r="L604" s="35">
        <v>0</v>
      </c>
      <c r="M604" s="23">
        <v>2</v>
      </c>
      <c r="N604" s="23">
        <v>2</v>
      </c>
      <c r="O604" s="49">
        <v>0</v>
      </c>
      <c r="P604" s="45" t="s">
        <v>375</v>
      </c>
      <c r="Q604" s="23" t="s">
        <v>254</v>
      </c>
      <c r="R604" s="23" t="s">
        <v>459</v>
      </c>
      <c r="S604" s="22" t="s">
        <v>9</v>
      </c>
    </row>
    <row r="605" spans="1:19" ht="12.75" customHeight="1" x14ac:dyDescent="0.25">
      <c r="A605" s="47" t="s">
        <v>497</v>
      </c>
      <c r="B605" s="23" t="s">
        <v>1043</v>
      </c>
      <c r="C605" s="28">
        <v>46189</v>
      </c>
      <c r="D605" s="30" t="s">
        <v>457</v>
      </c>
      <c r="E605" s="28" t="s">
        <v>463</v>
      </c>
      <c r="F605" s="28" t="s">
        <v>466</v>
      </c>
      <c r="G605" s="28">
        <v>46199</v>
      </c>
      <c r="H605" s="23" t="s">
        <v>499</v>
      </c>
      <c r="I605" s="33" t="s">
        <v>14</v>
      </c>
      <c r="J605" s="23">
        <v>1</v>
      </c>
      <c r="K605" s="23">
        <v>1</v>
      </c>
      <c r="L605" s="35">
        <v>0</v>
      </c>
      <c r="M605" s="23">
        <v>2</v>
      </c>
      <c r="N605" s="23">
        <v>2</v>
      </c>
      <c r="O605" s="49">
        <v>0</v>
      </c>
      <c r="P605" s="45" t="s">
        <v>375</v>
      </c>
      <c r="Q605" s="23" t="s">
        <v>254</v>
      </c>
      <c r="R605" s="23" t="s">
        <v>459</v>
      </c>
      <c r="S605" s="22" t="s">
        <v>9</v>
      </c>
    </row>
    <row r="606" spans="1:19" ht="12.75" customHeight="1" x14ac:dyDescent="0.25">
      <c r="A606" s="47" t="s">
        <v>497</v>
      </c>
      <c r="B606" s="23" t="s">
        <v>1044</v>
      </c>
      <c r="C606" s="28">
        <v>46192</v>
      </c>
      <c r="D606" s="30" t="s">
        <v>457</v>
      </c>
      <c r="E606" s="28" t="s">
        <v>461</v>
      </c>
      <c r="F606" s="28" t="s">
        <v>1026</v>
      </c>
      <c r="G606" s="28">
        <v>46202</v>
      </c>
      <c r="H606" s="23" t="s">
        <v>499</v>
      </c>
      <c r="I606" s="33"/>
      <c r="J606" s="23">
        <v>0</v>
      </c>
      <c r="K606" s="23">
        <v>1</v>
      </c>
      <c r="L606" s="35">
        <v>1</v>
      </c>
      <c r="M606" s="23">
        <v>18</v>
      </c>
      <c r="N606" s="23">
        <v>0</v>
      </c>
      <c r="O606" s="49">
        <v>1</v>
      </c>
      <c r="P606" s="45" t="s">
        <v>375</v>
      </c>
      <c r="Q606" s="23" t="s">
        <v>254</v>
      </c>
      <c r="R606" s="23" t="s">
        <v>459</v>
      </c>
      <c r="S606" s="22" t="s">
        <v>9</v>
      </c>
    </row>
    <row r="607" spans="1:19" ht="12.75" customHeight="1" x14ac:dyDescent="0.25">
      <c r="A607" s="47" t="s">
        <v>497</v>
      </c>
      <c r="B607" s="23" t="s">
        <v>1011</v>
      </c>
      <c r="C607" s="28">
        <v>46196</v>
      </c>
      <c r="D607" s="30" t="s">
        <v>457</v>
      </c>
      <c r="E607" s="28" t="s">
        <v>1010</v>
      </c>
      <c r="F607" s="28" t="s">
        <v>1012</v>
      </c>
      <c r="G607" s="28">
        <v>46206</v>
      </c>
      <c r="H607" s="23" t="s">
        <v>499</v>
      </c>
      <c r="I607" s="33" t="s">
        <v>14</v>
      </c>
      <c r="J607" s="23">
        <v>1</v>
      </c>
      <c r="K607" s="23">
        <v>1</v>
      </c>
      <c r="L607" s="35">
        <v>0</v>
      </c>
      <c r="M607" s="23">
        <v>3</v>
      </c>
      <c r="N607" s="23">
        <v>3</v>
      </c>
      <c r="O607" s="49">
        <v>0</v>
      </c>
      <c r="P607" s="45" t="s">
        <v>375</v>
      </c>
      <c r="Q607" s="23" t="s">
        <v>254</v>
      </c>
      <c r="R607" s="23" t="s">
        <v>459</v>
      </c>
      <c r="S607" s="22" t="s">
        <v>9</v>
      </c>
    </row>
    <row r="608" spans="1:19" ht="12.75" customHeight="1" x14ac:dyDescent="0.25">
      <c r="A608" s="47" t="s">
        <v>497</v>
      </c>
      <c r="B608" s="23" t="s">
        <v>1009</v>
      </c>
      <c r="C608" s="28">
        <v>46196</v>
      </c>
      <c r="D608" s="30" t="s">
        <v>457</v>
      </c>
      <c r="E608" s="28" t="s">
        <v>1010</v>
      </c>
      <c r="F608" s="28"/>
      <c r="G608" s="28">
        <v>46206</v>
      </c>
      <c r="H608" s="23" t="s">
        <v>499</v>
      </c>
      <c r="I608" s="33" t="s">
        <v>14</v>
      </c>
      <c r="J608" s="23">
        <v>1</v>
      </c>
      <c r="K608" s="23">
        <v>1</v>
      </c>
      <c r="L608" s="35">
        <v>0</v>
      </c>
      <c r="M608" s="23">
        <v>4</v>
      </c>
      <c r="N608" s="23">
        <v>4</v>
      </c>
      <c r="O608" s="49">
        <v>0</v>
      </c>
      <c r="P608" s="45" t="s">
        <v>375</v>
      </c>
      <c r="Q608" s="23" t="s">
        <v>254</v>
      </c>
      <c r="R608" s="23" t="s">
        <v>459</v>
      </c>
      <c r="S608" s="22" t="s">
        <v>9</v>
      </c>
    </row>
    <row r="609" spans="1:19" ht="12.75" customHeight="1" thickBot="1" x14ac:dyDescent="0.3">
      <c r="A609" s="51" t="s">
        <v>497</v>
      </c>
      <c r="B609" s="20" t="s">
        <v>1045</v>
      </c>
      <c r="C609" s="25">
        <v>46197</v>
      </c>
      <c r="D609" s="27" t="s">
        <v>457</v>
      </c>
      <c r="E609" s="25" t="s">
        <v>463</v>
      </c>
      <c r="F609" s="25" t="s">
        <v>1046</v>
      </c>
      <c r="G609" s="25">
        <v>46207</v>
      </c>
      <c r="H609" s="20" t="s">
        <v>499</v>
      </c>
      <c r="I609" s="32" t="s">
        <v>14</v>
      </c>
      <c r="J609" s="20">
        <v>1</v>
      </c>
      <c r="K609" s="20">
        <v>1</v>
      </c>
      <c r="L609" s="34">
        <v>0</v>
      </c>
      <c r="M609" s="20">
        <v>2</v>
      </c>
      <c r="N609" s="20">
        <v>2</v>
      </c>
      <c r="O609" s="54">
        <v>0</v>
      </c>
      <c r="P609" s="45" t="s">
        <v>375</v>
      </c>
      <c r="Q609" s="23" t="s">
        <v>254</v>
      </c>
      <c r="R609" s="23" t="s">
        <v>459</v>
      </c>
      <c r="S609" s="22" t="s">
        <v>9</v>
      </c>
    </row>
    <row r="610" spans="1:19" ht="17.25" customHeight="1" x14ac:dyDescent="0.25">
      <c r="A610" s="60"/>
      <c r="B610" s="50"/>
      <c r="C610" s="55"/>
      <c r="D610" s="56"/>
      <c r="E610" s="56"/>
      <c r="F610" s="57"/>
      <c r="G610" s="57"/>
      <c r="H610" s="57"/>
      <c r="I610" s="58" t="s">
        <v>1087</v>
      </c>
      <c r="J610" s="57">
        <f>SUM(J603:J609)</f>
        <v>6</v>
      </c>
      <c r="K610" s="57">
        <f>SUM(K603:K609)</f>
        <v>7</v>
      </c>
      <c r="L610" s="59">
        <f>(SUM(K603:K609) - SUM(J603:J609)) / SUM(K603:K609)</f>
        <v>0.14285714285714285</v>
      </c>
      <c r="M610" s="57">
        <f>SUM(M603:M609)</f>
        <v>33</v>
      </c>
      <c r="N610" s="56">
        <f>SUM(N603:N609)</f>
        <v>15</v>
      </c>
      <c r="O610" s="61">
        <f>(SUM(M603:M609) - SUM(N603:N609)) / SUM(M603:M609)</f>
        <v>0.54545454545454541</v>
      </c>
      <c r="P610" s="52"/>
      <c r="Q610" s="53"/>
      <c r="R610" s="52"/>
      <c r="S610" s="52"/>
    </row>
    <row r="611" spans="1:19" x14ac:dyDescent="0.25">
      <c r="A611" s="125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2"/>
      <c r="M611" s="121"/>
      <c r="N611" s="121"/>
      <c r="O611" s="127"/>
      <c r="P611" s="120"/>
      <c r="Q611" s="120"/>
      <c r="R611" s="120"/>
      <c r="S611" s="120"/>
    </row>
    <row r="612" spans="1:19" ht="15.75" thickBot="1" x14ac:dyDescent="0.3">
      <c r="A612" s="126"/>
      <c r="B612" s="123"/>
      <c r="C612" s="124"/>
      <c r="D612" s="123"/>
      <c r="E612" s="123"/>
      <c r="F612" s="123"/>
      <c r="G612" s="124"/>
      <c r="H612" s="123"/>
      <c r="I612" s="123"/>
      <c r="J612" s="123"/>
      <c r="K612" s="123"/>
      <c r="L612" s="123"/>
      <c r="M612" s="123"/>
      <c r="N612" s="123"/>
      <c r="O612" s="128"/>
      <c r="P612" s="98"/>
      <c r="Q612" s="98"/>
      <c r="R612" s="98"/>
      <c r="S612" s="98"/>
    </row>
    <row r="613" spans="1:19" ht="15.75" thickBot="1" x14ac:dyDescent="0.3">
      <c r="C613" s="1"/>
      <c r="G613" s="1"/>
    </row>
    <row r="614" spans="1:19" x14ac:dyDescent="0.25">
      <c r="A614" s="9"/>
      <c r="B614" s="10"/>
      <c r="C614" s="11"/>
      <c r="D614" s="11"/>
      <c r="E614" s="11"/>
      <c r="F614" s="11"/>
      <c r="G614" s="11"/>
      <c r="H614" s="12"/>
      <c r="I614" s="11"/>
      <c r="J614" s="13"/>
      <c r="K614" s="13"/>
      <c r="L614" s="13"/>
      <c r="M614" s="13"/>
      <c r="N614" s="11"/>
      <c r="O614" s="14"/>
      <c r="P614" s="4"/>
      <c r="Q614" s="5"/>
      <c r="R614" s="4"/>
      <c r="S614" s="4"/>
    </row>
    <row r="615" spans="1:19" x14ac:dyDescent="0.25">
      <c r="A615" s="6" t="s">
        <v>1096</v>
      </c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15"/>
      <c r="P615" s="3"/>
      <c r="Q615" s="3"/>
      <c r="R615" s="3"/>
      <c r="S615" s="3"/>
    </row>
    <row r="616" spans="1:19" x14ac:dyDescent="0.25">
      <c r="A616" s="7" t="s">
        <v>7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15"/>
      <c r="P616" s="3"/>
      <c r="Q616" s="3"/>
      <c r="R616" s="3"/>
      <c r="S616" s="3"/>
    </row>
    <row r="617" spans="1:19" ht="15.75" thickBot="1" x14ac:dyDescent="0.3">
      <c r="A617" s="8"/>
      <c r="B617" s="8"/>
      <c r="C617" s="74"/>
      <c r="D617" s="8"/>
      <c r="E617" s="8"/>
      <c r="F617" s="8"/>
      <c r="G617" s="74"/>
      <c r="H617" s="8"/>
      <c r="I617" s="8"/>
      <c r="J617" s="8"/>
      <c r="K617" s="8"/>
      <c r="L617" s="8"/>
      <c r="M617" s="8"/>
      <c r="N617" s="8"/>
      <c r="O617" s="16"/>
      <c r="P617" s="3"/>
      <c r="Q617" s="3"/>
      <c r="R617" s="3"/>
      <c r="S617" s="3"/>
    </row>
    <row r="618" spans="1:19" ht="17.25" customHeight="1" thickBot="1" x14ac:dyDescent="0.3">
      <c r="A618" s="19" t="s">
        <v>1068</v>
      </c>
      <c r="B618" s="24" t="s">
        <v>1069</v>
      </c>
      <c r="C618" s="26" t="s">
        <v>1070</v>
      </c>
      <c r="D618" s="29" t="s">
        <v>1071</v>
      </c>
      <c r="E618" s="26" t="s">
        <v>1072</v>
      </c>
      <c r="F618" s="31" t="s">
        <v>1073</v>
      </c>
      <c r="G618" s="31" t="s">
        <v>1074</v>
      </c>
      <c r="H618" s="31" t="s">
        <v>1075</v>
      </c>
      <c r="I618" s="29" t="s">
        <v>14</v>
      </c>
      <c r="J618" s="29" t="s">
        <v>1076</v>
      </c>
      <c r="K618" s="29" t="s">
        <v>1077</v>
      </c>
      <c r="L618" s="29" t="s">
        <v>1078</v>
      </c>
      <c r="M618" s="29" t="s">
        <v>1079</v>
      </c>
      <c r="N618" s="29" t="s">
        <v>1080</v>
      </c>
      <c r="O618" s="36" t="s">
        <v>1081</v>
      </c>
      <c r="P618" s="37" t="s">
        <v>1082</v>
      </c>
      <c r="Q618" s="38" t="s">
        <v>1083</v>
      </c>
      <c r="R618" s="38" t="s">
        <v>1084</v>
      </c>
      <c r="S618" s="39" t="s">
        <v>1085</v>
      </c>
    </row>
    <row r="619" spans="1:19" ht="12.75" customHeight="1" x14ac:dyDescent="0.25">
      <c r="A619" s="46" t="s">
        <v>497</v>
      </c>
      <c r="B619" s="40" t="s">
        <v>1047</v>
      </c>
      <c r="C619" s="41">
        <v>46216</v>
      </c>
      <c r="D619" s="42" t="s">
        <v>471</v>
      </c>
      <c r="E619" s="41" t="s">
        <v>485</v>
      </c>
      <c r="F619" s="41" t="s">
        <v>1048</v>
      </c>
      <c r="G619" s="41">
        <v>46226</v>
      </c>
      <c r="H619" s="40" t="s">
        <v>499</v>
      </c>
      <c r="I619" s="43" t="s">
        <v>14</v>
      </c>
      <c r="J619" s="40">
        <v>1</v>
      </c>
      <c r="K619" s="40">
        <v>1</v>
      </c>
      <c r="L619" s="44">
        <v>0</v>
      </c>
      <c r="M619" s="40">
        <v>2</v>
      </c>
      <c r="N619" s="40">
        <v>2</v>
      </c>
      <c r="O619" s="48">
        <v>0</v>
      </c>
      <c r="P619" s="45" t="s">
        <v>375</v>
      </c>
      <c r="Q619" s="23" t="s">
        <v>7</v>
      </c>
      <c r="R619" s="23" t="s">
        <v>473</v>
      </c>
      <c r="S619" s="22" t="s">
        <v>9</v>
      </c>
    </row>
    <row r="620" spans="1:19" ht="12.75" customHeight="1" x14ac:dyDescent="0.25">
      <c r="A620" s="47" t="s">
        <v>497</v>
      </c>
      <c r="B620" s="23" t="s">
        <v>1049</v>
      </c>
      <c r="C620" s="28">
        <v>46216</v>
      </c>
      <c r="D620" s="30" t="s">
        <v>471</v>
      </c>
      <c r="E620" s="28" t="s">
        <v>1050</v>
      </c>
      <c r="F620" s="28" t="s">
        <v>1051</v>
      </c>
      <c r="G620" s="28">
        <v>46226</v>
      </c>
      <c r="H620" s="23" t="s">
        <v>499</v>
      </c>
      <c r="I620" s="33" t="s">
        <v>14</v>
      </c>
      <c r="J620" s="23">
        <v>1</v>
      </c>
      <c r="K620" s="23">
        <v>1</v>
      </c>
      <c r="L620" s="35">
        <v>0</v>
      </c>
      <c r="M620" s="23">
        <v>2</v>
      </c>
      <c r="N620" s="23">
        <v>2</v>
      </c>
      <c r="O620" s="49">
        <v>0</v>
      </c>
      <c r="P620" s="45" t="s">
        <v>375</v>
      </c>
      <c r="Q620" s="23" t="s">
        <v>7</v>
      </c>
      <c r="R620" s="23" t="s">
        <v>473</v>
      </c>
      <c r="S620" s="22" t="s">
        <v>9</v>
      </c>
    </row>
    <row r="621" spans="1:19" ht="12.75" customHeight="1" x14ac:dyDescent="0.25">
      <c r="A621" s="47" t="s">
        <v>497</v>
      </c>
      <c r="B621" s="23" t="s">
        <v>1052</v>
      </c>
      <c r="C621" s="28">
        <v>46216</v>
      </c>
      <c r="D621" s="30" t="s">
        <v>471</v>
      </c>
      <c r="E621" s="28" t="s">
        <v>485</v>
      </c>
      <c r="F621" s="28" t="s">
        <v>483</v>
      </c>
      <c r="G621" s="28">
        <v>46226</v>
      </c>
      <c r="H621" s="23" t="s">
        <v>499</v>
      </c>
      <c r="I621" s="33" t="s">
        <v>14</v>
      </c>
      <c r="J621" s="23">
        <v>1</v>
      </c>
      <c r="K621" s="23">
        <v>1</v>
      </c>
      <c r="L621" s="35">
        <v>0</v>
      </c>
      <c r="M621" s="23">
        <v>2</v>
      </c>
      <c r="N621" s="23">
        <v>2</v>
      </c>
      <c r="O621" s="49">
        <v>0</v>
      </c>
      <c r="P621" s="45" t="s">
        <v>375</v>
      </c>
      <c r="Q621" s="23" t="s">
        <v>7</v>
      </c>
      <c r="R621" s="23" t="s">
        <v>473</v>
      </c>
      <c r="S621" s="22" t="s">
        <v>9</v>
      </c>
    </row>
    <row r="622" spans="1:19" ht="12.75" customHeight="1" x14ac:dyDescent="0.25">
      <c r="A622" s="47" t="s">
        <v>497</v>
      </c>
      <c r="B622" s="23" t="s">
        <v>1053</v>
      </c>
      <c r="C622" s="28">
        <v>46224</v>
      </c>
      <c r="D622" s="30" t="s">
        <v>471</v>
      </c>
      <c r="E622" s="28" t="s">
        <v>1050</v>
      </c>
      <c r="F622" s="28" t="s">
        <v>1010</v>
      </c>
      <c r="G622" s="28">
        <v>46234</v>
      </c>
      <c r="H622" s="23" t="s">
        <v>499</v>
      </c>
      <c r="I622" s="33" t="s">
        <v>14</v>
      </c>
      <c r="J622" s="23">
        <v>1</v>
      </c>
      <c r="K622" s="23">
        <v>1</v>
      </c>
      <c r="L622" s="35">
        <v>0</v>
      </c>
      <c r="M622" s="23">
        <v>2</v>
      </c>
      <c r="N622" s="23">
        <v>2</v>
      </c>
      <c r="O622" s="49">
        <v>0</v>
      </c>
      <c r="P622" s="45" t="s">
        <v>375</v>
      </c>
      <c r="Q622" s="23" t="s">
        <v>7</v>
      </c>
      <c r="R622" s="23" t="s">
        <v>473</v>
      </c>
      <c r="S622" s="22" t="s">
        <v>9</v>
      </c>
    </row>
    <row r="623" spans="1:19" ht="12.75" customHeight="1" x14ac:dyDescent="0.25">
      <c r="A623" s="47" t="s">
        <v>497</v>
      </c>
      <c r="B623" s="23" t="s">
        <v>1054</v>
      </c>
      <c r="C623" s="28">
        <v>46227</v>
      </c>
      <c r="D623" s="30" t="s">
        <v>471</v>
      </c>
      <c r="E623" s="28" t="s">
        <v>493</v>
      </c>
      <c r="F623" s="28" t="s">
        <v>475</v>
      </c>
      <c r="G623" s="28">
        <v>46237</v>
      </c>
      <c r="H623" s="23" t="s">
        <v>499</v>
      </c>
      <c r="I623" s="33" t="s">
        <v>14</v>
      </c>
      <c r="J623" s="23">
        <v>1</v>
      </c>
      <c r="K623" s="23">
        <v>1</v>
      </c>
      <c r="L623" s="35">
        <v>0</v>
      </c>
      <c r="M623" s="23">
        <v>2</v>
      </c>
      <c r="N623" s="23">
        <v>2</v>
      </c>
      <c r="O623" s="49">
        <v>0</v>
      </c>
      <c r="P623" s="45" t="s">
        <v>375</v>
      </c>
      <c r="Q623" s="23" t="s">
        <v>7</v>
      </c>
      <c r="R623" s="23" t="s">
        <v>473</v>
      </c>
      <c r="S623" s="22" t="s">
        <v>9</v>
      </c>
    </row>
    <row r="624" spans="1:19" ht="12.75" customHeight="1" x14ac:dyDescent="0.25">
      <c r="A624" s="47" t="s">
        <v>497</v>
      </c>
      <c r="B624" s="23" t="s">
        <v>1055</v>
      </c>
      <c r="C624" s="28">
        <v>46227</v>
      </c>
      <c r="D624" s="30" t="s">
        <v>471</v>
      </c>
      <c r="E624" s="28" t="s">
        <v>489</v>
      </c>
      <c r="F624" s="28" t="s">
        <v>488</v>
      </c>
      <c r="G624" s="28">
        <v>46237</v>
      </c>
      <c r="H624" s="23" t="s">
        <v>499</v>
      </c>
      <c r="I624" s="33" t="s">
        <v>14</v>
      </c>
      <c r="J624" s="23">
        <v>1</v>
      </c>
      <c r="K624" s="23">
        <v>1</v>
      </c>
      <c r="L624" s="35">
        <v>0</v>
      </c>
      <c r="M624" s="23">
        <v>4</v>
      </c>
      <c r="N624" s="23">
        <v>4</v>
      </c>
      <c r="O624" s="49">
        <v>0</v>
      </c>
      <c r="P624" s="45" t="s">
        <v>375</v>
      </c>
      <c r="Q624" s="23" t="s">
        <v>7</v>
      </c>
      <c r="R624" s="23" t="s">
        <v>473</v>
      </c>
      <c r="S624" s="22" t="s">
        <v>9</v>
      </c>
    </row>
    <row r="625" spans="1:19" ht="12.75" customHeight="1" x14ac:dyDescent="0.25">
      <c r="A625" s="47" t="s">
        <v>497</v>
      </c>
      <c r="B625" s="23" t="s">
        <v>1056</v>
      </c>
      <c r="C625" s="28">
        <v>46227</v>
      </c>
      <c r="D625" s="30" t="s">
        <v>471</v>
      </c>
      <c r="E625" s="28" t="s">
        <v>1050</v>
      </c>
      <c r="F625" s="28" t="s">
        <v>1057</v>
      </c>
      <c r="G625" s="28">
        <v>46237</v>
      </c>
      <c r="H625" s="23" t="s">
        <v>499</v>
      </c>
      <c r="I625" s="33" t="s">
        <v>14</v>
      </c>
      <c r="J625" s="23">
        <v>1</v>
      </c>
      <c r="K625" s="23">
        <v>1</v>
      </c>
      <c r="L625" s="35">
        <v>0</v>
      </c>
      <c r="M625" s="23">
        <v>2</v>
      </c>
      <c r="N625" s="23">
        <v>2</v>
      </c>
      <c r="O625" s="49">
        <v>0</v>
      </c>
      <c r="P625" s="45" t="s">
        <v>375</v>
      </c>
      <c r="Q625" s="23" t="s">
        <v>7</v>
      </c>
      <c r="R625" s="23" t="s">
        <v>473</v>
      </c>
      <c r="S625" s="22" t="s">
        <v>9</v>
      </c>
    </row>
    <row r="626" spans="1:19" ht="12.75" customHeight="1" x14ac:dyDescent="0.25">
      <c r="A626" s="47" t="s">
        <v>497</v>
      </c>
      <c r="B626" s="23" t="s">
        <v>1058</v>
      </c>
      <c r="C626" s="28">
        <v>46227</v>
      </c>
      <c r="D626" s="30" t="s">
        <v>471</v>
      </c>
      <c r="E626" s="28"/>
      <c r="F626" s="28"/>
      <c r="G626" s="28">
        <v>46237</v>
      </c>
      <c r="H626" s="23" t="s">
        <v>499</v>
      </c>
      <c r="I626" s="33" t="s">
        <v>113</v>
      </c>
      <c r="J626" s="23">
        <v>0</v>
      </c>
      <c r="K626" s="23">
        <v>1</v>
      </c>
      <c r="L626" s="35">
        <v>1</v>
      </c>
      <c r="M626" s="23">
        <v>4</v>
      </c>
      <c r="N626" s="23">
        <v>0</v>
      </c>
      <c r="O626" s="49">
        <v>1</v>
      </c>
      <c r="P626" s="45" t="s">
        <v>375</v>
      </c>
      <c r="Q626" s="23" t="s">
        <v>7</v>
      </c>
      <c r="R626" s="23" t="s">
        <v>473</v>
      </c>
      <c r="S626" s="22" t="s">
        <v>9</v>
      </c>
    </row>
    <row r="627" spans="1:19" ht="12.75" customHeight="1" x14ac:dyDescent="0.25">
      <c r="A627" s="47" t="s">
        <v>497</v>
      </c>
      <c r="B627" s="23" t="s">
        <v>1059</v>
      </c>
      <c r="C627" s="28">
        <v>46228</v>
      </c>
      <c r="D627" s="30" t="s">
        <v>471</v>
      </c>
      <c r="E627" s="28" t="s">
        <v>489</v>
      </c>
      <c r="F627" s="28" t="s">
        <v>1060</v>
      </c>
      <c r="G627" s="28">
        <v>46238</v>
      </c>
      <c r="H627" s="23" t="s">
        <v>499</v>
      </c>
      <c r="I627" s="33" t="s">
        <v>14</v>
      </c>
      <c r="J627" s="23">
        <v>1</v>
      </c>
      <c r="K627" s="23">
        <v>1</v>
      </c>
      <c r="L627" s="35">
        <v>0</v>
      </c>
      <c r="M627" s="23">
        <v>2</v>
      </c>
      <c r="N627" s="23">
        <v>2</v>
      </c>
      <c r="O627" s="49">
        <v>0</v>
      </c>
      <c r="P627" s="45" t="s">
        <v>375</v>
      </c>
      <c r="Q627" s="23" t="s">
        <v>7</v>
      </c>
      <c r="R627" s="23" t="s">
        <v>473</v>
      </c>
      <c r="S627" s="22" t="s">
        <v>9</v>
      </c>
    </row>
    <row r="628" spans="1:19" ht="12.75" customHeight="1" thickBot="1" x14ac:dyDescent="0.3">
      <c r="A628" s="51" t="s">
        <v>497</v>
      </c>
      <c r="B628" s="20" t="s">
        <v>1061</v>
      </c>
      <c r="C628" s="25">
        <v>46231</v>
      </c>
      <c r="D628" s="27" t="s">
        <v>471</v>
      </c>
      <c r="E628" s="25" t="s">
        <v>489</v>
      </c>
      <c r="F628" s="25" t="s">
        <v>472</v>
      </c>
      <c r="G628" s="25">
        <v>46241</v>
      </c>
      <c r="H628" s="20" t="s">
        <v>499</v>
      </c>
      <c r="I628" s="32" t="s">
        <v>14</v>
      </c>
      <c r="J628" s="20">
        <v>1</v>
      </c>
      <c r="K628" s="20">
        <v>1</v>
      </c>
      <c r="L628" s="34">
        <v>0</v>
      </c>
      <c r="M628" s="20">
        <v>2</v>
      </c>
      <c r="N628" s="20">
        <v>2</v>
      </c>
      <c r="O628" s="54">
        <v>0</v>
      </c>
      <c r="P628" s="45" t="s">
        <v>375</v>
      </c>
      <c r="Q628" s="23" t="s">
        <v>7</v>
      </c>
      <c r="R628" s="23" t="s">
        <v>473</v>
      </c>
      <c r="S628" s="22" t="s">
        <v>9</v>
      </c>
    </row>
    <row r="629" spans="1:19" ht="17.25" customHeight="1" x14ac:dyDescent="0.25">
      <c r="A629" s="60"/>
      <c r="B629" s="50"/>
      <c r="C629" s="55"/>
      <c r="D629" s="56"/>
      <c r="E629" s="56"/>
      <c r="F629" s="57"/>
      <c r="G629" s="57"/>
      <c r="H629" s="57"/>
      <c r="I629" s="58" t="s">
        <v>1087</v>
      </c>
      <c r="J629" s="57">
        <f>SUM(J619:J628)</f>
        <v>9</v>
      </c>
      <c r="K629" s="57">
        <f>SUM(K619:K628)</f>
        <v>10</v>
      </c>
      <c r="L629" s="59">
        <f>(SUM(K619:K628) - SUM(J619:J628)) / SUM(K619:K628)</f>
        <v>0.1</v>
      </c>
      <c r="M629" s="57">
        <f>SUM(M619:M628)</f>
        <v>24</v>
      </c>
      <c r="N629" s="56">
        <f>SUM(N619:N628)</f>
        <v>20</v>
      </c>
      <c r="O629" s="61">
        <f>(SUM(M619:M628) - SUM(N619:N628)) / SUM(M619:M628)</f>
        <v>0.16666666666666666</v>
      </c>
      <c r="P629" s="52"/>
      <c r="Q629" s="53"/>
      <c r="R629" s="52"/>
      <c r="S629" s="52"/>
    </row>
    <row r="630" spans="1:19" x14ac:dyDescent="0.25">
      <c r="A630" s="125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2"/>
      <c r="M630" s="121"/>
      <c r="N630" s="121"/>
      <c r="O630" s="127"/>
      <c r="P630" s="120"/>
      <c r="Q630" s="120"/>
      <c r="R630" s="120"/>
      <c r="S630" s="120"/>
    </row>
    <row r="631" spans="1:19" ht="15.75" thickBot="1" x14ac:dyDescent="0.3">
      <c r="A631" s="126"/>
      <c r="B631" s="123"/>
      <c r="C631" s="124"/>
      <c r="D631" s="123"/>
      <c r="E631" s="123"/>
      <c r="F631" s="123"/>
      <c r="G631" s="124"/>
      <c r="H631" s="123"/>
      <c r="I631" s="123"/>
      <c r="J631" s="123"/>
      <c r="K631" s="123"/>
      <c r="L631" s="123"/>
      <c r="M631" s="123"/>
      <c r="N631" s="123"/>
      <c r="O631" s="128"/>
      <c r="P631" s="98"/>
      <c r="Q631" s="98"/>
      <c r="R631" s="98"/>
      <c r="S631" s="98"/>
    </row>
    <row r="632" spans="1:19" ht="15.75" thickBot="1" x14ac:dyDescent="0.3">
      <c r="C632" s="1"/>
      <c r="G632" s="1"/>
    </row>
    <row r="633" spans="1:19" x14ac:dyDescent="0.25">
      <c r="A633" s="9"/>
      <c r="B633" s="10"/>
      <c r="C633" s="11"/>
      <c r="D633" s="11"/>
      <c r="E633" s="11"/>
      <c r="F633" s="11"/>
      <c r="G633" s="11"/>
      <c r="H633" s="12"/>
      <c r="I633" s="11"/>
      <c r="J633" s="13"/>
      <c r="K633" s="13"/>
      <c r="L633" s="13"/>
      <c r="M633" s="13"/>
      <c r="N633" s="11"/>
      <c r="O633" s="14"/>
      <c r="P633" s="4"/>
      <c r="Q633" s="5"/>
      <c r="R633" s="4"/>
      <c r="S633" s="4"/>
    </row>
    <row r="634" spans="1:19" x14ac:dyDescent="0.25">
      <c r="A634" s="6" t="s">
        <v>1096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15"/>
      <c r="P634" s="3"/>
      <c r="Q634" s="3"/>
      <c r="R634" s="3"/>
      <c r="S634" s="3"/>
    </row>
    <row r="635" spans="1:19" x14ac:dyDescent="0.25">
      <c r="A635" s="7" t="s">
        <v>24</v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15"/>
      <c r="P635" s="3"/>
      <c r="Q635" s="3"/>
      <c r="R635" s="3"/>
      <c r="S635" s="3"/>
    </row>
    <row r="636" spans="1:19" ht="15.75" thickBot="1" x14ac:dyDescent="0.3">
      <c r="A636" s="8"/>
      <c r="B636" s="8"/>
      <c r="C636" s="74"/>
      <c r="D636" s="8"/>
      <c r="E636" s="8"/>
      <c r="F636" s="8"/>
      <c r="G636" s="74"/>
      <c r="H636" s="8"/>
      <c r="I636" s="8"/>
      <c r="J636" s="8"/>
      <c r="K636" s="8"/>
      <c r="L636" s="8"/>
      <c r="M636" s="8"/>
      <c r="N636" s="8"/>
      <c r="O636" s="16"/>
      <c r="P636" s="3"/>
      <c r="Q636" s="3"/>
      <c r="R636" s="3"/>
      <c r="S636" s="3"/>
    </row>
    <row r="637" spans="1:19" ht="17.25" customHeight="1" thickBot="1" x14ac:dyDescent="0.3">
      <c r="A637" s="19" t="s">
        <v>1068</v>
      </c>
      <c r="B637" s="24" t="s">
        <v>1069</v>
      </c>
      <c r="C637" s="26" t="s">
        <v>1070</v>
      </c>
      <c r="D637" s="29" t="s">
        <v>1071</v>
      </c>
      <c r="E637" s="26" t="s">
        <v>1072</v>
      </c>
      <c r="F637" s="31" t="s">
        <v>1073</v>
      </c>
      <c r="G637" s="31" t="s">
        <v>1074</v>
      </c>
      <c r="H637" s="31" t="s">
        <v>1075</v>
      </c>
      <c r="I637" s="29" t="s">
        <v>14</v>
      </c>
      <c r="J637" s="29" t="s">
        <v>1076</v>
      </c>
      <c r="K637" s="29" t="s">
        <v>1077</v>
      </c>
      <c r="L637" s="29" t="s">
        <v>1078</v>
      </c>
      <c r="M637" s="29" t="s">
        <v>1079</v>
      </c>
      <c r="N637" s="29" t="s">
        <v>1080</v>
      </c>
      <c r="O637" s="36" t="s">
        <v>1081</v>
      </c>
      <c r="P637" s="37" t="s">
        <v>1082</v>
      </c>
      <c r="Q637" s="38" t="s">
        <v>1083</v>
      </c>
      <c r="R637" s="38" t="s">
        <v>1084</v>
      </c>
      <c r="S637" s="39" t="s">
        <v>1085</v>
      </c>
    </row>
    <row r="638" spans="1:19" ht="12.75" customHeight="1" x14ac:dyDescent="0.25">
      <c r="A638" s="46" t="s">
        <v>497</v>
      </c>
      <c r="B638" s="40" t="s">
        <v>1062</v>
      </c>
      <c r="C638" s="41">
        <v>46245</v>
      </c>
      <c r="D638" s="42" t="s">
        <v>492</v>
      </c>
      <c r="E638" s="41"/>
      <c r="F638" s="41" t="s">
        <v>1063</v>
      </c>
      <c r="G638" s="41">
        <v>46255</v>
      </c>
      <c r="H638" s="40" t="s">
        <v>499</v>
      </c>
      <c r="I638" s="43" t="s">
        <v>113</v>
      </c>
      <c r="J638" s="40">
        <v>0</v>
      </c>
      <c r="K638" s="40">
        <v>1</v>
      </c>
      <c r="L638" s="44">
        <v>1</v>
      </c>
      <c r="M638" s="40">
        <v>2</v>
      </c>
      <c r="N638" s="40">
        <v>0</v>
      </c>
      <c r="O638" s="48">
        <v>1</v>
      </c>
      <c r="P638" s="45" t="s">
        <v>375</v>
      </c>
      <c r="Q638" s="23" t="s">
        <v>24</v>
      </c>
      <c r="R638" s="23" t="s">
        <v>494</v>
      </c>
      <c r="S638" s="22" t="s">
        <v>9</v>
      </c>
    </row>
    <row r="639" spans="1:19" ht="12.75" customHeight="1" x14ac:dyDescent="0.25">
      <c r="A639" s="47" t="s">
        <v>497</v>
      </c>
      <c r="B639" s="23" t="s">
        <v>1064</v>
      </c>
      <c r="C639" s="28">
        <v>46246</v>
      </c>
      <c r="D639" s="30" t="s">
        <v>492</v>
      </c>
      <c r="E639" s="28"/>
      <c r="F639" s="28"/>
      <c r="G639" s="28">
        <v>46256</v>
      </c>
      <c r="H639" s="23" t="s">
        <v>499</v>
      </c>
      <c r="I639" s="33" t="s">
        <v>113</v>
      </c>
      <c r="J639" s="23">
        <v>0</v>
      </c>
      <c r="K639" s="23">
        <v>1</v>
      </c>
      <c r="L639" s="35">
        <v>1</v>
      </c>
      <c r="M639" s="23">
        <v>2</v>
      </c>
      <c r="N639" s="23">
        <v>0</v>
      </c>
      <c r="O639" s="49">
        <v>1</v>
      </c>
      <c r="P639" s="45" t="s">
        <v>375</v>
      </c>
      <c r="Q639" s="23" t="s">
        <v>24</v>
      </c>
      <c r="R639" s="23" t="s">
        <v>494</v>
      </c>
      <c r="S639" s="22" t="s">
        <v>9</v>
      </c>
    </row>
    <row r="640" spans="1:19" ht="12.75" customHeight="1" x14ac:dyDescent="0.25">
      <c r="A640" s="47" t="s">
        <v>497</v>
      </c>
      <c r="B640" s="23" t="s">
        <v>1065</v>
      </c>
      <c r="C640" s="28">
        <v>46246</v>
      </c>
      <c r="D640" s="30" t="s">
        <v>492</v>
      </c>
      <c r="E640" s="28"/>
      <c r="F640" s="28"/>
      <c r="G640" s="28">
        <v>46256</v>
      </c>
      <c r="H640" s="23" t="s">
        <v>499</v>
      </c>
      <c r="I640" s="33" t="s">
        <v>113</v>
      </c>
      <c r="J640" s="23">
        <v>0</v>
      </c>
      <c r="K640" s="23">
        <v>1</v>
      </c>
      <c r="L640" s="35">
        <v>1</v>
      </c>
      <c r="M640" s="23">
        <v>2</v>
      </c>
      <c r="N640" s="23">
        <v>0</v>
      </c>
      <c r="O640" s="49">
        <v>1</v>
      </c>
      <c r="P640" s="45" t="s">
        <v>375</v>
      </c>
      <c r="Q640" s="23" t="s">
        <v>24</v>
      </c>
      <c r="R640" s="23" t="s">
        <v>494</v>
      </c>
      <c r="S640" s="22" t="s">
        <v>9</v>
      </c>
    </row>
    <row r="641" spans="1:19" ht="12.75" customHeight="1" thickBot="1" x14ac:dyDescent="0.3">
      <c r="A641" s="51" t="s">
        <v>497</v>
      </c>
      <c r="B641" s="20" t="s">
        <v>1066</v>
      </c>
      <c r="C641" s="25">
        <v>46248</v>
      </c>
      <c r="D641" s="27" t="s">
        <v>492</v>
      </c>
      <c r="E641" s="25"/>
      <c r="F641" s="25"/>
      <c r="G641" s="25">
        <v>46258</v>
      </c>
      <c r="H641" s="20" t="s">
        <v>499</v>
      </c>
      <c r="I641" s="32" t="s">
        <v>113</v>
      </c>
      <c r="J641" s="20">
        <v>0</v>
      </c>
      <c r="K641" s="20">
        <v>1</v>
      </c>
      <c r="L641" s="34">
        <v>1</v>
      </c>
      <c r="M641" s="20">
        <v>2</v>
      </c>
      <c r="N641" s="20">
        <v>0</v>
      </c>
      <c r="O641" s="54">
        <v>1</v>
      </c>
      <c r="P641" s="45" t="s">
        <v>375</v>
      </c>
      <c r="Q641" s="23" t="s">
        <v>24</v>
      </c>
      <c r="R641" s="23" t="s">
        <v>494</v>
      </c>
      <c r="S641" s="22" t="s">
        <v>9</v>
      </c>
    </row>
    <row r="642" spans="1:19" ht="17.25" customHeight="1" x14ac:dyDescent="0.25">
      <c r="A642" s="60"/>
      <c r="B642" s="50"/>
      <c r="C642" s="55"/>
      <c r="D642" s="56"/>
      <c r="E642" s="56"/>
      <c r="F642" s="57"/>
      <c r="G642" s="57"/>
      <c r="H642" s="57"/>
      <c r="I642" s="58" t="s">
        <v>1087</v>
      </c>
      <c r="J642" s="57">
        <f>SUM(J638:J641)</f>
        <v>0</v>
      </c>
      <c r="K642" s="57">
        <f>SUM(K638:K641)</f>
        <v>4</v>
      </c>
      <c r="L642" s="59">
        <f>(SUM(K638:K641) - SUM(J638:J641)) / SUM(K638:K641)</f>
        <v>1</v>
      </c>
      <c r="M642" s="57">
        <f>SUM(M638:M641)</f>
        <v>8</v>
      </c>
      <c r="N642" s="56">
        <f>SUM(N638:N641)</f>
        <v>0</v>
      </c>
      <c r="O642" s="61">
        <f>(SUM(M638:M641) - SUM(N638:N641)) / SUM(M638:M641)</f>
        <v>1</v>
      </c>
      <c r="P642" s="52"/>
      <c r="Q642" s="53"/>
      <c r="R642" s="52"/>
      <c r="S642" s="52"/>
    </row>
    <row r="643" spans="1:19" x14ac:dyDescent="0.25">
      <c r="A643" s="125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2"/>
      <c r="M643" s="121"/>
      <c r="N643" s="121"/>
      <c r="O643" s="127"/>
      <c r="P643" s="120"/>
      <c r="Q643" s="120"/>
      <c r="R643" s="120"/>
      <c r="S643" s="120"/>
    </row>
    <row r="644" spans="1:19" ht="15.75" thickBot="1" x14ac:dyDescent="0.3">
      <c r="A644" s="126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8"/>
      <c r="P644" s="98"/>
      <c r="Q644" s="98"/>
      <c r="R644" s="98"/>
      <c r="S644" s="98"/>
    </row>
    <row r="645" spans="1:19" ht="15.75" thickBot="1" x14ac:dyDescent="0.3"/>
    <row r="646" spans="1:19" x14ac:dyDescent="0.25">
      <c r="A646" s="78"/>
      <c r="B646" s="76"/>
      <c r="C646" s="11"/>
      <c r="D646" s="11"/>
      <c r="E646" s="11"/>
      <c r="F646" s="11"/>
      <c r="G646" s="77"/>
      <c r="H646" s="77"/>
      <c r="I646" s="77"/>
      <c r="J646" s="77"/>
      <c r="K646" s="77"/>
      <c r="L646" s="76"/>
      <c r="M646" s="77"/>
      <c r="N646" s="77"/>
      <c r="O646" s="81"/>
      <c r="P646" s="75"/>
      <c r="Q646" s="75"/>
      <c r="R646" s="75"/>
      <c r="S646" s="75"/>
    </row>
    <row r="647" spans="1:19" x14ac:dyDescent="0.25">
      <c r="A647" s="79" t="s">
        <v>1092</v>
      </c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15"/>
      <c r="P647" s="3"/>
      <c r="Q647" s="3"/>
      <c r="R647" s="3"/>
      <c r="S647" s="3"/>
    </row>
    <row r="648" spans="1:19" x14ac:dyDescent="0.25">
      <c r="A648" s="80" t="s">
        <v>9</v>
      </c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15"/>
      <c r="P648" s="3"/>
      <c r="Q648" s="3"/>
      <c r="R648" s="3"/>
      <c r="S648" s="3"/>
    </row>
    <row r="649" spans="1:19" x14ac:dyDescent="0.25">
      <c r="A649" s="8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16"/>
      <c r="P649" s="3"/>
      <c r="Q649" s="3"/>
      <c r="R649" s="3"/>
      <c r="S649" s="3"/>
    </row>
    <row r="650" spans="1:19" ht="17.25" customHeight="1" x14ac:dyDescent="0.25">
      <c r="A650" s="86" t="s">
        <v>1071</v>
      </c>
      <c r="B650" s="83"/>
      <c r="C650" s="84"/>
      <c r="D650" s="84"/>
      <c r="E650" s="85"/>
      <c r="F650" s="85"/>
      <c r="G650" s="85"/>
      <c r="H650" s="85"/>
      <c r="I650" s="85"/>
      <c r="J650" s="86" t="s">
        <v>1076</v>
      </c>
      <c r="K650" s="86" t="s">
        <v>1077</v>
      </c>
      <c r="L650" s="86" t="s">
        <v>1078</v>
      </c>
      <c r="M650" s="86" t="s">
        <v>1079</v>
      </c>
      <c r="N650" s="86" t="s">
        <v>1080</v>
      </c>
      <c r="O650" s="86" t="s">
        <v>1081</v>
      </c>
      <c r="P650" s="86" t="s">
        <v>1082</v>
      </c>
      <c r="Q650" s="86" t="s">
        <v>1083</v>
      </c>
      <c r="R650" s="86" t="s">
        <v>1084</v>
      </c>
      <c r="S650" s="129" t="s">
        <v>1085</v>
      </c>
    </row>
    <row r="651" spans="1:19" ht="12.75" customHeight="1" x14ac:dyDescent="0.25">
      <c r="A651" s="23" t="str">
        <f t="shared" ref="A651:A676" si="0">LEFT(R651, 2) &amp; " " &amp; RIGHT(R651,4)</f>
        <v>07 2024</v>
      </c>
      <c r="B651" s="20" t="str">
        <f>("")</f>
        <v/>
      </c>
      <c r="C651" s="17" t="str">
        <f>("")</f>
        <v/>
      </c>
      <c r="D651" s="17" t="str">
        <f>("")</f>
        <v/>
      </c>
      <c r="E651" s="87" t="str">
        <f>("")</f>
        <v/>
      </c>
      <c r="F651" s="87" t="str">
        <f>("")</f>
        <v/>
      </c>
      <c r="G651" s="87" t="str">
        <f>("")</f>
        <v/>
      </c>
      <c r="H651" s="87" t="str">
        <f>("")</f>
        <v/>
      </c>
      <c r="I651" s="87" t="str">
        <f>("")</f>
        <v/>
      </c>
      <c r="J651" s="92">
        <f>J15</f>
        <v>7</v>
      </c>
      <c r="K651" s="92">
        <f>K15</f>
        <v>8</v>
      </c>
      <c r="L651" s="35">
        <f>L15</f>
        <v>0.125</v>
      </c>
      <c r="M651" s="92">
        <f>M15</f>
        <v>25</v>
      </c>
      <c r="N651" s="92">
        <f>N15</f>
        <v>19</v>
      </c>
      <c r="O651" s="35">
        <f>O15</f>
        <v>0.24</v>
      </c>
      <c r="P651" s="92" t="s">
        <v>6</v>
      </c>
      <c r="Q651" s="92" t="s">
        <v>7</v>
      </c>
      <c r="R651" s="92" t="s">
        <v>8</v>
      </c>
      <c r="S651" s="91" t="s">
        <v>9</v>
      </c>
    </row>
    <row r="652" spans="1:19" ht="12.75" customHeight="1" x14ac:dyDescent="0.25">
      <c r="A652" s="23" t="str">
        <f t="shared" si="0"/>
        <v>08 2024</v>
      </c>
      <c r="B652" s="21" t="str">
        <f>("")</f>
        <v/>
      </c>
      <c r="C652" s="18" t="str">
        <f>("")</f>
        <v/>
      </c>
      <c r="D652" s="18" t="str">
        <f>("")</f>
        <v/>
      </c>
      <c r="E652" s="88" t="str">
        <f>("")</f>
        <v/>
      </c>
      <c r="F652" s="88" t="str">
        <f>("")</f>
        <v/>
      </c>
      <c r="G652" s="88" t="str">
        <f>("")</f>
        <v/>
      </c>
      <c r="H652" s="88" t="str">
        <f>("")</f>
        <v/>
      </c>
      <c r="I652" s="88" t="str">
        <f>("")</f>
        <v/>
      </c>
      <c r="J652" s="92">
        <f>J35</f>
        <v>8</v>
      </c>
      <c r="K652" s="92">
        <f>K35</f>
        <v>11</v>
      </c>
      <c r="L652" s="35">
        <f>L35</f>
        <v>0.27272727272727271</v>
      </c>
      <c r="M652" s="92">
        <f>M35</f>
        <v>25</v>
      </c>
      <c r="N652" s="92">
        <f>N35</f>
        <v>18</v>
      </c>
      <c r="O652" s="35">
        <f>O35</f>
        <v>0.28000000000000003</v>
      </c>
      <c r="P652" s="92" t="s">
        <v>6</v>
      </c>
      <c r="Q652" s="92" t="s">
        <v>24</v>
      </c>
      <c r="R652" s="92" t="s">
        <v>25</v>
      </c>
      <c r="S652" s="91" t="s">
        <v>9</v>
      </c>
    </row>
    <row r="653" spans="1:19" ht="12.75" customHeight="1" x14ac:dyDescent="0.25">
      <c r="A653" s="23" t="str">
        <f t="shared" si="0"/>
        <v>09 2024</v>
      </c>
      <c r="B653" s="21" t="str">
        <f>("")</f>
        <v/>
      </c>
      <c r="C653" s="18" t="str">
        <f>("")</f>
        <v/>
      </c>
      <c r="D653" s="18" t="str">
        <f>("")</f>
        <v/>
      </c>
      <c r="E653" s="88" t="str">
        <f>("")</f>
        <v/>
      </c>
      <c r="F653" s="88" t="str">
        <f>("")</f>
        <v/>
      </c>
      <c r="G653" s="88" t="str">
        <f>("")</f>
        <v/>
      </c>
      <c r="H653" s="88" t="str">
        <f>("")</f>
        <v/>
      </c>
      <c r="I653" s="88" t="str">
        <f>("")</f>
        <v/>
      </c>
      <c r="J653" s="92">
        <f>J59</f>
        <v>15</v>
      </c>
      <c r="K653" s="92">
        <f>K59</f>
        <v>15</v>
      </c>
      <c r="L653" s="35">
        <f>L59</f>
        <v>0</v>
      </c>
      <c r="M653" s="92">
        <f>M59</f>
        <v>55</v>
      </c>
      <c r="N653" s="92">
        <f>N59</f>
        <v>55</v>
      </c>
      <c r="O653" s="35">
        <f>O59</f>
        <v>0</v>
      </c>
      <c r="P653" s="92" t="s">
        <v>6</v>
      </c>
      <c r="Q653" s="92" t="s">
        <v>55</v>
      </c>
      <c r="R653" s="92" t="s">
        <v>56</v>
      </c>
      <c r="S653" s="91" t="s">
        <v>9</v>
      </c>
    </row>
    <row r="654" spans="1:19" ht="12.75" customHeight="1" x14ac:dyDescent="0.25">
      <c r="A654" s="23" t="str">
        <f t="shared" si="0"/>
        <v>10 2024</v>
      </c>
      <c r="B654" s="21" t="str">
        <f>("")</f>
        <v/>
      </c>
      <c r="C654" s="18" t="str">
        <f>("")</f>
        <v/>
      </c>
      <c r="D654" s="18" t="str">
        <f>("")</f>
        <v/>
      </c>
      <c r="E654" s="88" t="str">
        <f>("")</f>
        <v/>
      </c>
      <c r="F654" s="88" t="str">
        <f>("")</f>
        <v/>
      </c>
      <c r="G654" s="88" t="str">
        <f>("")</f>
        <v/>
      </c>
      <c r="H654" s="88" t="str">
        <f>("")</f>
        <v/>
      </c>
      <c r="I654" s="88" t="str">
        <f>("")</f>
        <v/>
      </c>
      <c r="J654" s="92">
        <f>J86</f>
        <v>15</v>
      </c>
      <c r="K654" s="92">
        <f>K86</f>
        <v>18</v>
      </c>
      <c r="L654" s="35">
        <f>L86</f>
        <v>0.16666666666666666</v>
      </c>
      <c r="M654" s="92">
        <f>M86</f>
        <v>102</v>
      </c>
      <c r="N654" s="92">
        <f>N86</f>
        <v>70</v>
      </c>
      <c r="O654" s="35">
        <f>O86</f>
        <v>0.31372549019607843</v>
      </c>
      <c r="P654" s="92" t="s">
        <v>6</v>
      </c>
      <c r="Q654" s="92" t="s">
        <v>81</v>
      </c>
      <c r="R654" s="92" t="s">
        <v>82</v>
      </c>
      <c r="S654" s="91" t="s">
        <v>9</v>
      </c>
    </row>
    <row r="655" spans="1:19" ht="12.75" customHeight="1" x14ac:dyDescent="0.25">
      <c r="A655" s="23" t="str">
        <f t="shared" si="0"/>
        <v>11 2024</v>
      </c>
      <c r="B655" s="21" t="str">
        <f>("")</f>
        <v/>
      </c>
      <c r="C655" s="18" t="str">
        <f>("")</f>
        <v/>
      </c>
      <c r="D655" s="18" t="str">
        <f>("")</f>
        <v/>
      </c>
      <c r="E655" s="88" t="str">
        <f>("")</f>
        <v/>
      </c>
      <c r="F655" s="88" t="str">
        <f>("")</f>
        <v/>
      </c>
      <c r="G655" s="88" t="str">
        <f>("")</f>
        <v/>
      </c>
      <c r="H655" s="88" t="str">
        <f>("")</f>
        <v/>
      </c>
      <c r="I655" s="88" t="str">
        <f>("")</f>
        <v/>
      </c>
      <c r="J655" s="92">
        <f>J125</f>
        <v>28</v>
      </c>
      <c r="K655" s="92">
        <f>K125</f>
        <v>30</v>
      </c>
      <c r="L655" s="35">
        <f>L125</f>
        <v>6.6666666666666666E-2</v>
      </c>
      <c r="M655" s="92">
        <f>M125</f>
        <v>75</v>
      </c>
      <c r="N655" s="92">
        <f>N125</f>
        <v>73</v>
      </c>
      <c r="O655" s="35">
        <f>O125</f>
        <v>2.6666666666666668E-2</v>
      </c>
      <c r="P655" s="92" t="s">
        <v>6</v>
      </c>
      <c r="Q655" s="92" t="s">
        <v>107</v>
      </c>
      <c r="R655" s="92" t="s">
        <v>108</v>
      </c>
      <c r="S655" s="91" t="s">
        <v>9</v>
      </c>
    </row>
    <row r="656" spans="1:19" ht="12.75" customHeight="1" x14ac:dyDescent="0.25">
      <c r="A656" s="23" t="str">
        <f t="shared" si="0"/>
        <v>12 2024</v>
      </c>
      <c r="B656" s="21" t="str">
        <f>("")</f>
        <v/>
      </c>
      <c r="C656" s="18" t="str">
        <f>("")</f>
        <v/>
      </c>
      <c r="D656" s="18" t="str">
        <f>("")</f>
        <v/>
      </c>
      <c r="E656" s="88" t="str">
        <f>("")</f>
        <v/>
      </c>
      <c r="F656" s="88" t="str">
        <f>("")</f>
        <v/>
      </c>
      <c r="G656" s="88" t="str">
        <f>("")</f>
        <v/>
      </c>
      <c r="H656" s="88" t="str">
        <f>("")</f>
        <v/>
      </c>
      <c r="I656" s="88" t="str">
        <f>("")</f>
        <v/>
      </c>
      <c r="J656" s="92">
        <f>J166</f>
        <v>32</v>
      </c>
      <c r="K656" s="92">
        <f>K166</f>
        <v>32</v>
      </c>
      <c r="L656" s="35">
        <f>L166</f>
        <v>0</v>
      </c>
      <c r="M656" s="92">
        <f>M166</f>
        <v>70</v>
      </c>
      <c r="N656" s="92">
        <f>N166</f>
        <v>70</v>
      </c>
      <c r="O656" s="35">
        <f>O166</f>
        <v>0</v>
      </c>
      <c r="P656" s="92" t="s">
        <v>6</v>
      </c>
      <c r="Q656" s="92" t="s">
        <v>132</v>
      </c>
      <c r="R656" s="92" t="s">
        <v>133</v>
      </c>
      <c r="S656" s="91" t="s">
        <v>9</v>
      </c>
    </row>
    <row r="657" spans="1:19" ht="12.75" customHeight="1" x14ac:dyDescent="0.25">
      <c r="A657" s="23" t="str">
        <f t="shared" si="0"/>
        <v>01 2025</v>
      </c>
      <c r="B657" s="21" t="str">
        <f>("")</f>
        <v/>
      </c>
      <c r="C657" s="18" t="str">
        <f>("")</f>
        <v/>
      </c>
      <c r="D657" s="18" t="str">
        <f>("")</f>
        <v/>
      </c>
      <c r="E657" s="88" t="str">
        <f>("")</f>
        <v/>
      </c>
      <c r="F657" s="88" t="str">
        <f>("")</f>
        <v/>
      </c>
      <c r="G657" s="88" t="str">
        <f>("")</f>
        <v/>
      </c>
      <c r="H657" s="88" t="str">
        <f>("")</f>
        <v/>
      </c>
      <c r="I657" s="88" t="str">
        <f>("")</f>
        <v/>
      </c>
      <c r="J657" s="92">
        <f>J189</f>
        <v>14</v>
      </c>
      <c r="K657" s="92">
        <f>K189</f>
        <v>14</v>
      </c>
      <c r="L657" s="35">
        <f>L189</f>
        <v>0</v>
      </c>
      <c r="M657" s="92">
        <f>M189</f>
        <v>25</v>
      </c>
      <c r="N657" s="92">
        <f>N189</f>
        <v>25</v>
      </c>
      <c r="O657" s="35">
        <f>O189</f>
        <v>0</v>
      </c>
      <c r="P657" s="92" t="s">
        <v>159</v>
      </c>
      <c r="Q657" s="92" t="s">
        <v>160</v>
      </c>
      <c r="R657" s="92" t="s">
        <v>161</v>
      </c>
      <c r="S657" s="91" t="s">
        <v>9</v>
      </c>
    </row>
    <row r="658" spans="1:19" ht="12.75" customHeight="1" x14ac:dyDescent="0.25">
      <c r="A658" s="23" t="str">
        <f t="shared" si="0"/>
        <v>02 2025</v>
      </c>
      <c r="B658" s="21" t="str">
        <f>("")</f>
        <v/>
      </c>
      <c r="C658" s="18" t="str">
        <f>("")</f>
        <v/>
      </c>
      <c r="D658" s="18" t="str">
        <f>("")</f>
        <v/>
      </c>
      <c r="E658" s="88" t="str">
        <f>("")</f>
        <v/>
      </c>
      <c r="F658" s="88" t="str">
        <f>("")</f>
        <v/>
      </c>
      <c r="G658" s="88" t="str">
        <f>("")</f>
        <v/>
      </c>
      <c r="H658" s="88" t="str">
        <f>("")</f>
        <v/>
      </c>
      <c r="I658" s="88" t="str">
        <f>("")</f>
        <v/>
      </c>
      <c r="J658" s="92">
        <f>J211</f>
        <v>12</v>
      </c>
      <c r="K658" s="92">
        <f>K211</f>
        <v>13</v>
      </c>
      <c r="L658" s="35">
        <f>L211</f>
        <v>7.6923076923076927E-2</v>
      </c>
      <c r="M658" s="92">
        <f>M211</f>
        <v>159</v>
      </c>
      <c r="N658" s="92">
        <f>N211</f>
        <v>29</v>
      </c>
      <c r="O658" s="35">
        <f>O211</f>
        <v>0.8176100628930818</v>
      </c>
      <c r="P658" s="92" t="s">
        <v>159</v>
      </c>
      <c r="Q658" s="92" t="s">
        <v>182</v>
      </c>
      <c r="R658" s="92" t="s">
        <v>183</v>
      </c>
      <c r="S658" s="91" t="s">
        <v>9</v>
      </c>
    </row>
    <row r="659" spans="1:19" ht="12.75" customHeight="1" x14ac:dyDescent="0.25">
      <c r="A659" s="23" t="str">
        <f t="shared" si="0"/>
        <v>03 2025</v>
      </c>
      <c r="B659" s="21" t="str">
        <f>("")</f>
        <v/>
      </c>
      <c r="C659" s="18" t="str">
        <f>("")</f>
        <v/>
      </c>
      <c r="D659" s="18" t="str">
        <f>("")</f>
        <v/>
      </c>
      <c r="E659" s="88" t="str">
        <f>("")</f>
        <v/>
      </c>
      <c r="F659" s="88" t="str">
        <f>("")</f>
        <v/>
      </c>
      <c r="G659" s="88" t="str">
        <f>("")</f>
        <v/>
      </c>
      <c r="H659" s="88" t="str">
        <f>("")</f>
        <v/>
      </c>
      <c r="I659" s="88" t="str">
        <f>("")</f>
        <v/>
      </c>
      <c r="J659" s="92">
        <f>J253</f>
        <v>31</v>
      </c>
      <c r="K659" s="92">
        <f>K253</f>
        <v>33</v>
      </c>
      <c r="L659" s="35">
        <f>L253</f>
        <v>6.0606060606060608E-2</v>
      </c>
      <c r="M659" s="92">
        <f>M253</f>
        <v>92</v>
      </c>
      <c r="N659" s="92">
        <f>N253</f>
        <v>86</v>
      </c>
      <c r="O659" s="35">
        <f>O253</f>
        <v>6.5217391304347824E-2</v>
      </c>
      <c r="P659" s="92" t="s">
        <v>159</v>
      </c>
      <c r="Q659" s="92" t="s">
        <v>201</v>
      </c>
      <c r="R659" s="92" t="s">
        <v>202</v>
      </c>
      <c r="S659" s="91" t="s">
        <v>9</v>
      </c>
    </row>
    <row r="660" spans="1:19" ht="12.75" customHeight="1" x14ac:dyDescent="0.25">
      <c r="A660" s="23" t="str">
        <f t="shared" si="0"/>
        <v>04 2025</v>
      </c>
      <c r="B660" s="21" t="str">
        <f>("")</f>
        <v/>
      </c>
      <c r="C660" s="18" t="str">
        <f>("")</f>
        <v/>
      </c>
      <c r="D660" s="18" t="str">
        <f>("")</f>
        <v/>
      </c>
      <c r="E660" s="88" t="str">
        <f>("")</f>
        <v/>
      </c>
      <c r="F660" s="88" t="str">
        <f>("")</f>
        <v/>
      </c>
      <c r="G660" s="88" t="str">
        <f>("")</f>
        <v/>
      </c>
      <c r="H660" s="88" t="str">
        <f>("")</f>
        <v/>
      </c>
      <c r="I660" s="88" t="str">
        <f>("")</f>
        <v/>
      </c>
      <c r="J660" s="92">
        <f>J281</f>
        <v>18</v>
      </c>
      <c r="K660" s="92">
        <f>K281</f>
        <v>19</v>
      </c>
      <c r="L660" s="35">
        <f>L281</f>
        <v>5.2631578947368418E-2</v>
      </c>
      <c r="M660" s="92">
        <f>M281</f>
        <v>90</v>
      </c>
      <c r="N660" s="92">
        <f>N281</f>
        <v>89</v>
      </c>
      <c r="O660" s="35">
        <f>O281</f>
        <v>1.1111111111111112E-2</v>
      </c>
      <c r="P660" s="92" t="s">
        <v>159</v>
      </c>
      <c r="Q660" s="92" t="s">
        <v>218</v>
      </c>
      <c r="R660" s="92" t="s">
        <v>219</v>
      </c>
      <c r="S660" s="91" t="s">
        <v>9</v>
      </c>
    </row>
    <row r="661" spans="1:19" ht="12.75" customHeight="1" x14ac:dyDescent="0.25">
      <c r="A661" s="23" t="str">
        <f t="shared" si="0"/>
        <v>05 2025</v>
      </c>
      <c r="B661" s="21" t="str">
        <f>("")</f>
        <v/>
      </c>
      <c r="C661" s="18" t="str">
        <f>("")</f>
        <v/>
      </c>
      <c r="D661" s="18" t="str">
        <f>("")</f>
        <v/>
      </c>
      <c r="E661" s="88" t="str">
        <f>("")</f>
        <v/>
      </c>
      <c r="F661" s="88" t="str">
        <f>("")</f>
        <v/>
      </c>
      <c r="G661" s="88" t="str">
        <f>("")</f>
        <v/>
      </c>
      <c r="H661" s="88" t="str">
        <f>("")</f>
        <v/>
      </c>
      <c r="I661" s="88" t="str">
        <f>("")</f>
        <v/>
      </c>
      <c r="J661" s="92">
        <f>J302</f>
        <v>12</v>
      </c>
      <c r="K661" s="92">
        <f>K302</f>
        <v>12</v>
      </c>
      <c r="L661" s="35">
        <f>L302</f>
        <v>0</v>
      </c>
      <c r="M661" s="92">
        <f>M302</f>
        <v>34</v>
      </c>
      <c r="N661" s="92">
        <f>N302</f>
        <v>34</v>
      </c>
      <c r="O661" s="35">
        <f>O302</f>
        <v>0</v>
      </c>
      <c r="P661" s="92" t="s">
        <v>159</v>
      </c>
      <c r="Q661" s="92" t="s">
        <v>239</v>
      </c>
      <c r="R661" s="92" t="s">
        <v>240</v>
      </c>
      <c r="S661" s="91" t="s">
        <v>9</v>
      </c>
    </row>
    <row r="662" spans="1:19" ht="12.75" customHeight="1" x14ac:dyDescent="0.25">
      <c r="A662" s="23" t="str">
        <f t="shared" si="0"/>
        <v>06 2025</v>
      </c>
      <c r="B662" s="21" t="str">
        <f>("")</f>
        <v/>
      </c>
      <c r="C662" s="18" t="str">
        <f>("")</f>
        <v/>
      </c>
      <c r="D662" s="18" t="str">
        <f>("")</f>
        <v/>
      </c>
      <c r="E662" s="88" t="str">
        <f>("")</f>
        <v/>
      </c>
      <c r="F662" s="88" t="str">
        <f>("")</f>
        <v/>
      </c>
      <c r="G662" s="88" t="str">
        <f>("")</f>
        <v/>
      </c>
      <c r="H662" s="88" t="str">
        <f>("")</f>
        <v/>
      </c>
      <c r="I662" s="88" t="str">
        <f>("")</f>
        <v/>
      </c>
      <c r="J662" s="92">
        <f>J327</f>
        <v>15</v>
      </c>
      <c r="K662" s="92">
        <f>K327</f>
        <v>16</v>
      </c>
      <c r="L662" s="35">
        <f>L327</f>
        <v>6.25E-2</v>
      </c>
      <c r="M662" s="92">
        <f>M327</f>
        <v>30</v>
      </c>
      <c r="N662" s="92">
        <f>N327</f>
        <v>29</v>
      </c>
      <c r="O662" s="35">
        <f>O327</f>
        <v>3.3333333333333333E-2</v>
      </c>
      <c r="P662" s="92" t="s">
        <v>159</v>
      </c>
      <c r="Q662" s="92" t="s">
        <v>254</v>
      </c>
      <c r="R662" s="92" t="s">
        <v>255</v>
      </c>
      <c r="S662" s="91" t="s">
        <v>9</v>
      </c>
    </row>
    <row r="663" spans="1:19" ht="12.75" customHeight="1" x14ac:dyDescent="0.25">
      <c r="A663" s="23" t="str">
        <f t="shared" si="0"/>
        <v>07 2025</v>
      </c>
      <c r="B663" s="21" t="str">
        <f>("")</f>
        <v/>
      </c>
      <c r="C663" s="18" t="str">
        <f>("")</f>
        <v/>
      </c>
      <c r="D663" s="18" t="str">
        <f>("")</f>
        <v/>
      </c>
      <c r="E663" s="88" t="str">
        <f>("")</f>
        <v/>
      </c>
      <c r="F663" s="88" t="str">
        <f>("")</f>
        <v/>
      </c>
      <c r="G663" s="88" t="str">
        <f>("")</f>
        <v/>
      </c>
      <c r="H663" s="88" t="str">
        <f>("")</f>
        <v/>
      </c>
      <c r="I663" s="88" t="str">
        <f>("")</f>
        <v/>
      </c>
      <c r="J663" s="92">
        <f>J344</f>
        <v>8</v>
      </c>
      <c r="K663" s="92">
        <f>K344</f>
        <v>8</v>
      </c>
      <c r="L663" s="35">
        <f>L344</f>
        <v>0</v>
      </c>
      <c r="M663" s="92">
        <f>M344</f>
        <v>32</v>
      </c>
      <c r="N663" s="92">
        <f>N344</f>
        <v>32</v>
      </c>
      <c r="O663" s="35">
        <f>O344</f>
        <v>0</v>
      </c>
      <c r="P663" s="92" t="s">
        <v>159</v>
      </c>
      <c r="Q663" s="92" t="s">
        <v>7</v>
      </c>
      <c r="R663" s="92" t="s">
        <v>275</v>
      </c>
      <c r="S663" s="91" t="s">
        <v>9</v>
      </c>
    </row>
    <row r="664" spans="1:19" ht="12.75" customHeight="1" x14ac:dyDescent="0.25">
      <c r="A664" s="23" t="str">
        <f t="shared" si="0"/>
        <v>08 2025</v>
      </c>
      <c r="B664" s="21" t="str">
        <f>("")</f>
        <v/>
      </c>
      <c r="C664" s="18" t="str">
        <f>("")</f>
        <v/>
      </c>
      <c r="D664" s="18" t="str">
        <f>("")</f>
        <v/>
      </c>
      <c r="E664" s="88" t="str">
        <f>("")</f>
        <v/>
      </c>
      <c r="F664" s="88" t="str">
        <f>("")</f>
        <v/>
      </c>
      <c r="G664" s="88" t="str">
        <f>("")</f>
        <v/>
      </c>
      <c r="H664" s="88" t="str">
        <f>("")</f>
        <v/>
      </c>
      <c r="I664" s="88" t="str">
        <f>("")</f>
        <v/>
      </c>
      <c r="J664" s="92">
        <f>J364</f>
        <v>10</v>
      </c>
      <c r="K664" s="92">
        <f>K364</f>
        <v>11</v>
      </c>
      <c r="L664" s="35">
        <f>L364</f>
        <v>9.0909090909090912E-2</v>
      </c>
      <c r="M664" s="92">
        <f>M364</f>
        <v>33</v>
      </c>
      <c r="N664" s="92">
        <f>N364</f>
        <v>32</v>
      </c>
      <c r="O664" s="35">
        <f>O364</f>
        <v>3.0303030303030304E-2</v>
      </c>
      <c r="P664" s="92" t="s">
        <v>159</v>
      </c>
      <c r="Q664" s="92" t="s">
        <v>24</v>
      </c>
      <c r="R664" s="92" t="s">
        <v>291</v>
      </c>
      <c r="S664" s="91" t="s">
        <v>9</v>
      </c>
    </row>
    <row r="665" spans="1:19" ht="12.75" customHeight="1" x14ac:dyDescent="0.25">
      <c r="A665" s="23" t="str">
        <f t="shared" si="0"/>
        <v>09 2025</v>
      </c>
      <c r="B665" s="21" t="str">
        <f>("")</f>
        <v/>
      </c>
      <c r="C665" s="18" t="str">
        <f>("")</f>
        <v/>
      </c>
      <c r="D665" s="18" t="str">
        <f>("")</f>
        <v/>
      </c>
      <c r="E665" s="88" t="str">
        <f>("")</f>
        <v/>
      </c>
      <c r="F665" s="88" t="str">
        <f>("")</f>
        <v/>
      </c>
      <c r="G665" s="88" t="str">
        <f>("")</f>
        <v/>
      </c>
      <c r="H665" s="88" t="str">
        <f>("")</f>
        <v/>
      </c>
      <c r="I665" s="88" t="str">
        <f>("")</f>
        <v/>
      </c>
      <c r="J665" s="92">
        <f>J392</f>
        <v>19</v>
      </c>
      <c r="K665" s="92">
        <f>K392</f>
        <v>19</v>
      </c>
      <c r="L665" s="35">
        <f>L392</f>
        <v>0</v>
      </c>
      <c r="M665" s="92">
        <f>M392</f>
        <v>43</v>
      </c>
      <c r="N665" s="92">
        <f>N392</f>
        <v>43</v>
      </c>
      <c r="O665" s="35">
        <f>O392</f>
        <v>0</v>
      </c>
      <c r="P665" s="92" t="s">
        <v>159</v>
      </c>
      <c r="Q665" s="92" t="s">
        <v>55</v>
      </c>
      <c r="R665" s="92" t="s">
        <v>311</v>
      </c>
      <c r="S665" s="91" t="s">
        <v>9</v>
      </c>
    </row>
    <row r="666" spans="1:19" ht="12.75" customHeight="1" x14ac:dyDescent="0.25">
      <c r="A666" s="23" t="str">
        <f t="shared" si="0"/>
        <v>10 2025</v>
      </c>
      <c r="B666" s="21" t="str">
        <f>("")</f>
        <v/>
      </c>
      <c r="C666" s="18" t="str">
        <f>("")</f>
        <v/>
      </c>
      <c r="D666" s="18" t="str">
        <f>("")</f>
        <v/>
      </c>
      <c r="E666" s="88" t="str">
        <f>("")</f>
        <v/>
      </c>
      <c r="F666" s="88" t="str">
        <f>("")</f>
        <v/>
      </c>
      <c r="G666" s="88" t="str">
        <f>("")</f>
        <v/>
      </c>
      <c r="H666" s="88" t="str">
        <f>("")</f>
        <v/>
      </c>
      <c r="I666" s="88" t="str">
        <f>("")</f>
        <v/>
      </c>
      <c r="J666" s="92">
        <f>J410</f>
        <v>8</v>
      </c>
      <c r="K666" s="92">
        <f>K410</f>
        <v>9</v>
      </c>
      <c r="L666" s="35">
        <f>L410</f>
        <v>0.1111111111111111</v>
      </c>
      <c r="M666" s="92">
        <f>M410</f>
        <v>25</v>
      </c>
      <c r="N666" s="92">
        <f>N410</f>
        <v>24</v>
      </c>
      <c r="O666" s="35">
        <f>O410</f>
        <v>0.04</v>
      </c>
      <c r="P666" s="92" t="s">
        <v>159</v>
      </c>
      <c r="Q666" s="92" t="s">
        <v>81</v>
      </c>
      <c r="R666" s="92" t="s">
        <v>325</v>
      </c>
      <c r="S666" s="91" t="s">
        <v>9</v>
      </c>
    </row>
    <row r="667" spans="1:19" ht="12.75" customHeight="1" x14ac:dyDescent="0.25">
      <c r="A667" s="23" t="str">
        <f t="shared" si="0"/>
        <v>11 2025</v>
      </c>
      <c r="B667" s="21" t="str">
        <f>("")</f>
        <v/>
      </c>
      <c r="C667" s="18" t="str">
        <f>("")</f>
        <v/>
      </c>
      <c r="D667" s="18" t="str">
        <f>("")</f>
        <v/>
      </c>
      <c r="E667" s="88" t="str">
        <f>("")</f>
        <v/>
      </c>
      <c r="F667" s="88" t="str">
        <f>("")</f>
        <v/>
      </c>
      <c r="G667" s="88" t="str">
        <f>("")</f>
        <v/>
      </c>
      <c r="H667" s="88" t="str">
        <f>("")</f>
        <v/>
      </c>
      <c r="I667" s="88" t="str">
        <f>("")</f>
        <v/>
      </c>
      <c r="J667" s="92">
        <f>J440</f>
        <v>18</v>
      </c>
      <c r="K667" s="92">
        <f>K440</f>
        <v>21</v>
      </c>
      <c r="L667" s="35">
        <f>L440</f>
        <v>0.14285714285714285</v>
      </c>
      <c r="M667" s="92">
        <f>M440</f>
        <v>68</v>
      </c>
      <c r="N667" s="92">
        <f>N440</f>
        <v>48</v>
      </c>
      <c r="O667" s="35">
        <f>O440</f>
        <v>0.29411764705882354</v>
      </c>
      <c r="P667" s="92" t="s">
        <v>159</v>
      </c>
      <c r="Q667" s="92" t="s">
        <v>107</v>
      </c>
      <c r="R667" s="92" t="s">
        <v>341</v>
      </c>
      <c r="S667" s="91" t="s">
        <v>9</v>
      </c>
    </row>
    <row r="668" spans="1:19" ht="12.75" customHeight="1" x14ac:dyDescent="0.25">
      <c r="A668" s="23" t="str">
        <f t="shared" si="0"/>
        <v>12 2025</v>
      </c>
      <c r="B668" s="21" t="str">
        <f>("")</f>
        <v/>
      </c>
      <c r="C668" s="18" t="str">
        <f>("")</f>
        <v/>
      </c>
      <c r="D668" s="18" t="str">
        <f>("")</f>
        <v/>
      </c>
      <c r="E668" s="88" t="str">
        <f>("")</f>
        <v/>
      </c>
      <c r="F668" s="88" t="str">
        <f>("")</f>
        <v/>
      </c>
      <c r="G668" s="88" t="str">
        <f>("")</f>
        <v/>
      </c>
      <c r="H668" s="88" t="str">
        <f>("")</f>
        <v/>
      </c>
      <c r="I668" s="88" t="str">
        <f>("")</f>
        <v/>
      </c>
      <c r="J668" s="92">
        <f>J458</f>
        <v>9</v>
      </c>
      <c r="K668" s="92">
        <f>K458</f>
        <v>9</v>
      </c>
      <c r="L668" s="35">
        <f>L458</f>
        <v>0</v>
      </c>
      <c r="M668" s="92">
        <f>M458</f>
        <v>22</v>
      </c>
      <c r="N668" s="92">
        <f>N458</f>
        <v>22</v>
      </c>
      <c r="O668" s="35">
        <f>O458</f>
        <v>0</v>
      </c>
      <c r="P668" s="92" t="s">
        <v>159</v>
      </c>
      <c r="Q668" s="92" t="s">
        <v>132</v>
      </c>
      <c r="R668" s="92" t="s">
        <v>355</v>
      </c>
      <c r="S668" s="91" t="s">
        <v>9</v>
      </c>
    </row>
    <row r="669" spans="1:19" ht="12.75" customHeight="1" x14ac:dyDescent="0.25">
      <c r="A669" s="23" t="str">
        <f t="shared" si="0"/>
        <v>01 2026</v>
      </c>
      <c r="B669" s="21" t="str">
        <f>("")</f>
        <v/>
      </c>
      <c r="C669" s="18" t="str">
        <f>("")</f>
        <v/>
      </c>
      <c r="D669" s="18" t="str">
        <f>("")</f>
        <v/>
      </c>
      <c r="E669" s="88" t="str">
        <f>("")</f>
        <v/>
      </c>
      <c r="F669" s="88" t="str">
        <f>("")</f>
        <v/>
      </c>
      <c r="G669" s="88" t="str">
        <f>("")</f>
        <v/>
      </c>
      <c r="H669" s="88" t="str">
        <f>("")</f>
        <v/>
      </c>
      <c r="I669" s="88" t="str">
        <f>("")</f>
        <v/>
      </c>
      <c r="J669" s="92">
        <f>J475</f>
        <v>7</v>
      </c>
      <c r="K669" s="92">
        <f>K475</f>
        <v>8</v>
      </c>
      <c r="L669" s="35">
        <f>L475</f>
        <v>0.125</v>
      </c>
      <c r="M669" s="92">
        <f>M475</f>
        <v>18</v>
      </c>
      <c r="N669" s="92">
        <f>N475</f>
        <v>16</v>
      </c>
      <c r="O669" s="35">
        <f>O475</f>
        <v>0.1111111111111111</v>
      </c>
      <c r="P669" s="92" t="s">
        <v>375</v>
      </c>
      <c r="Q669" s="92" t="s">
        <v>160</v>
      </c>
      <c r="R669" s="92" t="s">
        <v>376</v>
      </c>
      <c r="S669" s="91" t="s">
        <v>9</v>
      </c>
    </row>
    <row r="670" spans="1:19" ht="12.75" customHeight="1" x14ac:dyDescent="0.25">
      <c r="A670" s="23" t="str">
        <f t="shared" si="0"/>
        <v>02 2026</v>
      </c>
      <c r="B670" s="21" t="str">
        <f>("")</f>
        <v/>
      </c>
      <c r="C670" s="18" t="str">
        <f>("")</f>
        <v/>
      </c>
      <c r="D670" s="18" t="str">
        <f>("")</f>
        <v/>
      </c>
      <c r="E670" s="88" t="str">
        <f>("")</f>
        <v/>
      </c>
      <c r="F670" s="88" t="str">
        <f>("")</f>
        <v/>
      </c>
      <c r="G670" s="88" t="str">
        <f>("")</f>
        <v/>
      </c>
      <c r="H670" s="88" t="str">
        <f>("")</f>
        <v/>
      </c>
      <c r="I670" s="88" t="str">
        <f>("")</f>
        <v/>
      </c>
      <c r="J670" s="92">
        <f>J506</f>
        <v>12</v>
      </c>
      <c r="K670" s="92">
        <f>K506</f>
        <v>22</v>
      </c>
      <c r="L670" s="35">
        <f>L506</f>
        <v>0.45454545454545453</v>
      </c>
      <c r="M670" s="92">
        <f>M506</f>
        <v>60</v>
      </c>
      <c r="N670" s="92">
        <f>N506</f>
        <v>38</v>
      </c>
      <c r="O670" s="35">
        <f>O506</f>
        <v>0.36666666666666664</v>
      </c>
      <c r="P670" s="92" t="s">
        <v>375</v>
      </c>
      <c r="Q670" s="92" t="s">
        <v>182</v>
      </c>
      <c r="R670" s="92" t="s">
        <v>393</v>
      </c>
      <c r="S670" s="91" t="s">
        <v>9</v>
      </c>
    </row>
    <row r="671" spans="1:19" ht="12.75" customHeight="1" x14ac:dyDescent="0.25">
      <c r="A671" s="23" t="str">
        <f t="shared" si="0"/>
        <v>03 2026</v>
      </c>
      <c r="B671" s="21" t="str">
        <f>("")</f>
        <v/>
      </c>
      <c r="C671" s="18" t="str">
        <f>("")</f>
        <v/>
      </c>
      <c r="D671" s="18" t="str">
        <f>("")</f>
        <v/>
      </c>
      <c r="E671" s="88" t="str">
        <f>("")</f>
        <v/>
      </c>
      <c r="F671" s="88" t="str">
        <f>("")</f>
        <v/>
      </c>
      <c r="G671" s="88" t="str">
        <f>("")</f>
        <v/>
      </c>
      <c r="H671" s="88" t="str">
        <f>("")</f>
        <v/>
      </c>
      <c r="I671" s="88" t="str">
        <f>("")</f>
        <v/>
      </c>
      <c r="J671" s="92">
        <f>J528</f>
        <v>11</v>
      </c>
      <c r="K671" s="92">
        <f>K528</f>
        <v>13</v>
      </c>
      <c r="L671" s="35">
        <f>L528</f>
        <v>0.15384615384615385</v>
      </c>
      <c r="M671" s="92">
        <f>M528</f>
        <v>47</v>
      </c>
      <c r="N671" s="92">
        <f>N528</f>
        <v>44</v>
      </c>
      <c r="O671" s="35">
        <f>O528</f>
        <v>6.3829787234042548E-2</v>
      </c>
      <c r="P671" s="92" t="s">
        <v>375</v>
      </c>
      <c r="Q671" s="92" t="s">
        <v>201</v>
      </c>
      <c r="R671" s="92" t="s">
        <v>406</v>
      </c>
      <c r="S671" s="91" t="s">
        <v>9</v>
      </c>
    </row>
    <row r="672" spans="1:19" ht="12.75" customHeight="1" x14ac:dyDescent="0.25">
      <c r="A672" s="23" t="str">
        <f t="shared" si="0"/>
        <v>04 2026</v>
      </c>
      <c r="B672" s="21" t="str">
        <f>("")</f>
        <v/>
      </c>
      <c r="C672" s="18" t="str">
        <f>("")</f>
        <v/>
      </c>
      <c r="D672" s="18" t="str">
        <f>("")</f>
        <v/>
      </c>
      <c r="E672" s="88" t="str">
        <f>("")</f>
        <v/>
      </c>
      <c r="F672" s="88" t="str">
        <f>("")</f>
        <v/>
      </c>
      <c r="G672" s="88" t="str">
        <f>("")</f>
        <v/>
      </c>
      <c r="H672" s="88" t="str">
        <f>("")</f>
        <v/>
      </c>
      <c r="I672" s="88" t="str">
        <f>("")</f>
        <v/>
      </c>
      <c r="J672" s="92">
        <f>J564</f>
        <v>17</v>
      </c>
      <c r="K672" s="92">
        <f>K564</f>
        <v>27</v>
      </c>
      <c r="L672" s="35">
        <f>L564</f>
        <v>0.37037037037037035</v>
      </c>
      <c r="M672" s="92">
        <f>M564</f>
        <v>65</v>
      </c>
      <c r="N672" s="92">
        <f>N564</f>
        <v>51</v>
      </c>
      <c r="O672" s="35">
        <f>O564</f>
        <v>0.2153846153846154</v>
      </c>
      <c r="P672" s="92" t="s">
        <v>375</v>
      </c>
      <c r="Q672" s="92" t="s">
        <v>218</v>
      </c>
      <c r="R672" s="92" t="s">
        <v>427</v>
      </c>
      <c r="S672" s="91" t="s">
        <v>9</v>
      </c>
    </row>
    <row r="673" spans="1:19" ht="12.75" customHeight="1" x14ac:dyDescent="0.25">
      <c r="A673" s="23" t="str">
        <f t="shared" si="0"/>
        <v>05 2026</v>
      </c>
      <c r="B673" s="21" t="str">
        <f>("")</f>
        <v/>
      </c>
      <c r="C673" s="18" t="str">
        <f>("")</f>
        <v/>
      </c>
      <c r="D673" s="18" t="str">
        <f>("")</f>
        <v/>
      </c>
      <c r="E673" s="88" t="str">
        <f>("")</f>
        <v/>
      </c>
      <c r="F673" s="88" t="str">
        <f>("")</f>
        <v/>
      </c>
      <c r="G673" s="88" t="str">
        <f>("")</f>
        <v/>
      </c>
      <c r="H673" s="88" t="str">
        <f>("")</f>
        <v/>
      </c>
      <c r="I673" s="88" t="str">
        <f>("")</f>
        <v/>
      </c>
      <c r="J673" s="92">
        <f>J594</f>
        <v>20</v>
      </c>
      <c r="K673" s="92">
        <f>K594</f>
        <v>21</v>
      </c>
      <c r="L673" s="35">
        <f>L594</f>
        <v>4.7619047619047616E-2</v>
      </c>
      <c r="M673" s="92">
        <f>M594</f>
        <v>43</v>
      </c>
      <c r="N673" s="92">
        <f>N594</f>
        <v>42</v>
      </c>
      <c r="O673" s="35">
        <f>O594</f>
        <v>2.3255813953488372E-2</v>
      </c>
      <c r="P673" s="92" t="s">
        <v>375</v>
      </c>
      <c r="Q673" s="92" t="s">
        <v>239</v>
      </c>
      <c r="R673" s="92" t="s">
        <v>445</v>
      </c>
      <c r="S673" s="91" t="s">
        <v>9</v>
      </c>
    </row>
    <row r="674" spans="1:19" ht="12.75" customHeight="1" x14ac:dyDescent="0.25">
      <c r="A674" s="23" t="str">
        <f t="shared" si="0"/>
        <v>06 2026</v>
      </c>
      <c r="B674" s="21" t="str">
        <f>("")</f>
        <v/>
      </c>
      <c r="C674" s="18" t="str">
        <f>("")</f>
        <v/>
      </c>
      <c r="D674" s="18" t="str">
        <f>("")</f>
        <v/>
      </c>
      <c r="E674" s="88" t="str">
        <f>("")</f>
        <v/>
      </c>
      <c r="F674" s="88" t="str">
        <f>("")</f>
        <v/>
      </c>
      <c r="G674" s="88" t="str">
        <f>("")</f>
        <v/>
      </c>
      <c r="H674" s="88" t="str">
        <f>("")</f>
        <v/>
      </c>
      <c r="I674" s="88" t="str">
        <f>("")</f>
        <v/>
      </c>
      <c r="J674" s="92">
        <f>J610</f>
        <v>6</v>
      </c>
      <c r="K674" s="92">
        <f>K610</f>
        <v>7</v>
      </c>
      <c r="L674" s="35">
        <f>L610</f>
        <v>0.14285714285714285</v>
      </c>
      <c r="M674" s="92">
        <f>M610</f>
        <v>33</v>
      </c>
      <c r="N674" s="92">
        <f>N610</f>
        <v>15</v>
      </c>
      <c r="O674" s="35">
        <f>O610</f>
        <v>0.54545454545454541</v>
      </c>
      <c r="P674" s="92" t="s">
        <v>375</v>
      </c>
      <c r="Q674" s="92" t="s">
        <v>254</v>
      </c>
      <c r="R674" s="92" t="s">
        <v>459</v>
      </c>
      <c r="S674" s="91" t="s">
        <v>9</v>
      </c>
    </row>
    <row r="675" spans="1:19" ht="12.75" customHeight="1" x14ac:dyDescent="0.25">
      <c r="A675" s="23" t="str">
        <f t="shared" si="0"/>
        <v>07 2026</v>
      </c>
      <c r="B675" s="21" t="str">
        <f>("")</f>
        <v/>
      </c>
      <c r="C675" s="18" t="str">
        <f>("")</f>
        <v/>
      </c>
      <c r="D675" s="18" t="str">
        <f>("")</f>
        <v/>
      </c>
      <c r="E675" s="88" t="str">
        <f>("")</f>
        <v/>
      </c>
      <c r="F675" s="88" t="str">
        <f>("")</f>
        <v/>
      </c>
      <c r="G675" s="88" t="str">
        <f>("")</f>
        <v/>
      </c>
      <c r="H675" s="88" t="str">
        <f>("")</f>
        <v/>
      </c>
      <c r="I675" s="88" t="str">
        <f>("")</f>
        <v/>
      </c>
      <c r="J675" s="92">
        <f>J629</f>
        <v>9</v>
      </c>
      <c r="K675" s="92">
        <f>K629</f>
        <v>10</v>
      </c>
      <c r="L675" s="35">
        <f>L629</f>
        <v>0.1</v>
      </c>
      <c r="M675" s="92">
        <f>M629</f>
        <v>24</v>
      </c>
      <c r="N675" s="92">
        <f>N629</f>
        <v>20</v>
      </c>
      <c r="O675" s="35">
        <f>O629</f>
        <v>0.16666666666666666</v>
      </c>
      <c r="P675" s="92" t="s">
        <v>375</v>
      </c>
      <c r="Q675" s="92" t="s">
        <v>7</v>
      </c>
      <c r="R675" s="92" t="s">
        <v>473</v>
      </c>
      <c r="S675" s="91" t="s">
        <v>9</v>
      </c>
    </row>
    <row r="676" spans="1:19" ht="12.75" customHeight="1" x14ac:dyDescent="0.25">
      <c r="A676" s="20" t="str">
        <f t="shared" si="0"/>
        <v>08 2026</v>
      </c>
      <c r="B676" s="21" t="str">
        <f>("")</f>
        <v/>
      </c>
      <c r="C676" s="18" t="str">
        <f>("")</f>
        <v/>
      </c>
      <c r="D676" s="18" t="str">
        <f>("")</f>
        <v/>
      </c>
      <c r="E676" s="88" t="str">
        <f>("")</f>
        <v/>
      </c>
      <c r="F676" s="88" t="str">
        <f>("")</f>
        <v/>
      </c>
      <c r="G676" s="88" t="str">
        <f>("")</f>
        <v/>
      </c>
      <c r="H676" s="88" t="str">
        <f>("")</f>
        <v/>
      </c>
      <c r="I676" s="88" t="str">
        <f>("")</f>
        <v/>
      </c>
      <c r="J676" s="89">
        <f>J642</f>
        <v>0</v>
      </c>
      <c r="K676" s="89">
        <f>K642</f>
        <v>4</v>
      </c>
      <c r="L676" s="34">
        <f>L642</f>
        <v>1</v>
      </c>
      <c r="M676" s="89">
        <f>M642</f>
        <v>8</v>
      </c>
      <c r="N676" s="89">
        <f>N642</f>
        <v>0</v>
      </c>
      <c r="O676" s="34">
        <f>O642</f>
        <v>1</v>
      </c>
      <c r="P676" s="89" t="s">
        <v>375</v>
      </c>
      <c r="Q676" s="89" t="s">
        <v>24</v>
      </c>
      <c r="R676" s="89" t="s">
        <v>494</v>
      </c>
      <c r="S676" s="90" t="s">
        <v>9</v>
      </c>
    </row>
    <row r="677" spans="1:19" ht="17.25" customHeight="1" x14ac:dyDescent="0.25">
      <c r="A677" s="94"/>
      <c r="B677" s="95"/>
      <c r="C677" s="94"/>
      <c r="D677" s="94"/>
      <c r="E677" s="96"/>
      <c r="F677" s="96"/>
      <c r="G677" s="96"/>
      <c r="H677" s="96"/>
      <c r="I677" s="97" t="s">
        <v>1093</v>
      </c>
      <c r="J677" s="99">
        <f>SUM(J651:J676)</f>
        <v>361</v>
      </c>
      <c r="K677" s="99">
        <f>SUM(K651:K676)</f>
        <v>410</v>
      </c>
      <c r="L677" s="101">
        <f>(K677-J677)/K677</f>
        <v>0.11951219512195121</v>
      </c>
      <c r="M677" s="99">
        <f>SUM(M651:M676)</f>
        <v>1303</v>
      </c>
      <c r="N677" s="99">
        <f>SUM(N651:N676)</f>
        <v>1024</v>
      </c>
      <c r="O677" s="101">
        <f>(M677-N677)/M677</f>
        <v>0.21412125863392173</v>
      </c>
      <c r="P677" s="99"/>
      <c r="Q677" s="99"/>
      <c r="R677" s="99"/>
      <c r="S677" s="100"/>
    </row>
    <row r="678" spans="1:19" x14ac:dyDescent="0.25">
      <c r="A678" s="62"/>
      <c r="B678" s="62"/>
      <c r="C678" s="62"/>
      <c r="D678" s="62"/>
      <c r="E678" s="62"/>
      <c r="F678" s="62"/>
      <c r="G678" s="62"/>
      <c r="H678" s="62"/>
      <c r="I678" s="102"/>
      <c r="J678" s="102"/>
      <c r="K678" s="102"/>
      <c r="L678" s="103"/>
      <c r="M678" s="102"/>
      <c r="N678" s="102"/>
      <c r="O678" s="103"/>
      <c r="P678" s="102"/>
      <c r="Q678" s="102"/>
      <c r="R678" s="102"/>
      <c r="S678" s="102"/>
    </row>
    <row r="679" spans="1:19" x14ac:dyDescent="0.25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</row>
  </sheetData>
  <mergeCells count="54">
    <mergeCell ref="A615:O615"/>
    <mergeCell ref="A616:O616"/>
    <mergeCell ref="A634:O634"/>
    <mergeCell ref="A635:O635"/>
    <mergeCell ref="A647:O647"/>
    <mergeCell ref="A648:O648"/>
    <mergeCell ref="A533:O533"/>
    <mergeCell ref="A534:O534"/>
    <mergeCell ref="A569:O569"/>
    <mergeCell ref="A570:O570"/>
    <mergeCell ref="A599:O599"/>
    <mergeCell ref="A600:O600"/>
    <mergeCell ref="A463:O463"/>
    <mergeCell ref="A464:O464"/>
    <mergeCell ref="A480:O480"/>
    <mergeCell ref="A481:O481"/>
    <mergeCell ref="A511:O511"/>
    <mergeCell ref="A512:O512"/>
    <mergeCell ref="A397:O397"/>
    <mergeCell ref="A398:O398"/>
    <mergeCell ref="A415:O415"/>
    <mergeCell ref="A416:O416"/>
    <mergeCell ref="A445:O445"/>
    <mergeCell ref="A446:O446"/>
    <mergeCell ref="A332:O332"/>
    <mergeCell ref="A333:O333"/>
    <mergeCell ref="A349:O349"/>
    <mergeCell ref="A350:O350"/>
    <mergeCell ref="A369:O369"/>
    <mergeCell ref="A370:O370"/>
    <mergeCell ref="A258:O258"/>
    <mergeCell ref="A259:O259"/>
    <mergeCell ref="A286:O286"/>
    <mergeCell ref="A287:O287"/>
    <mergeCell ref="A307:O307"/>
    <mergeCell ref="A308:O308"/>
    <mergeCell ref="A171:O171"/>
    <mergeCell ref="A172:O172"/>
    <mergeCell ref="A194:O194"/>
    <mergeCell ref="A195:O195"/>
    <mergeCell ref="A216:O216"/>
    <mergeCell ref="A217:O217"/>
    <mergeCell ref="A64:O64"/>
    <mergeCell ref="A65:O65"/>
    <mergeCell ref="A91:O91"/>
    <mergeCell ref="A92:O92"/>
    <mergeCell ref="A130:O130"/>
    <mergeCell ref="A131:O131"/>
    <mergeCell ref="A3:O3"/>
    <mergeCell ref="A4:O4"/>
    <mergeCell ref="A20:O20"/>
    <mergeCell ref="A21:O21"/>
    <mergeCell ref="A40:O40"/>
    <mergeCell ref="A41:O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AD36-9924-40C5-ABE0-B3A6CBCC020A}">
  <dimension ref="A1:U653"/>
  <sheetViews>
    <sheetView topLeftCell="A630" workbookViewId="0">
      <selection activeCell="A652" sqref="A652:Q653"/>
    </sheetView>
  </sheetViews>
  <sheetFormatPr defaultRowHeight="15" x14ac:dyDescent="0.25"/>
  <cols>
    <col min="1" max="1" width="15.5703125" customWidth="1"/>
    <col min="2" max="2" width="12.7109375" customWidth="1"/>
    <col min="3" max="3" width="22" customWidth="1"/>
    <col min="4" max="4" width="19.7109375" hidden="1" customWidth="1"/>
    <col min="5" max="6" width="20.28515625" customWidth="1"/>
    <col min="7" max="7" width="16" customWidth="1"/>
    <col min="8" max="8" width="16" hidden="1" customWidth="1"/>
    <col min="9" max="9" width="16.5703125" customWidth="1"/>
    <col min="10" max="10" width="17.85546875" customWidth="1"/>
    <col min="11" max="11" width="13" customWidth="1"/>
    <col min="12" max="12" width="20.140625" customWidth="1"/>
    <col min="13" max="13" width="18.140625" customWidth="1"/>
    <col min="14" max="14" width="21.85546875" customWidth="1"/>
    <col min="15" max="15" width="22.140625" customWidth="1"/>
    <col min="16" max="16" width="13.28515625" hidden="1" customWidth="1"/>
    <col min="17" max="17" width="13" hidden="1" customWidth="1"/>
    <col min="18" max="21" width="13.28515625" hidden="1" customWidth="1"/>
  </cols>
  <sheetData>
    <row r="1" spans="1:21" ht="15.75" thickBot="1" x14ac:dyDescent="0.3"/>
    <row r="2" spans="1:21" x14ac:dyDescent="0.25">
      <c r="A2" s="9"/>
      <c r="B2" s="10"/>
      <c r="C2" s="11"/>
      <c r="D2" s="11"/>
      <c r="E2" s="11"/>
      <c r="F2" s="11"/>
      <c r="G2" s="11"/>
      <c r="H2" s="12"/>
      <c r="I2" s="11"/>
      <c r="J2" s="13"/>
      <c r="K2" s="13"/>
      <c r="L2" s="13"/>
      <c r="M2" s="13"/>
      <c r="N2" s="11"/>
      <c r="O2" s="14"/>
      <c r="P2" s="4"/>
      <c r="Q2" s="5"/>
      <c r="R2" s="4"/>
      <c r="S2" s="4"/>
      <c r="T2" s="4"/>
      <c r="U2" s="4"/>
    </row>
    <row r="3" spans="1:21" x14ac:dyDescent="0.25">
      <c r="A3" s="6" t="s">
        <v>1067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15"/>
      <c r="P3" s="3"/>
      <c r="Q3" s="3"/>
      <c r="R3" s="3"/>
      <c r="S3" s="3"/>
      <c r="T3" s="3"/>
      <c r="U3" s="3"/>
    </row>
    <row r="4" spans="1:21" x14ac:dyDescent="0.25">
      <c r="A4" s="7" t="s">
        <v>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15"/>
      <c r="P4" s="3"/>
      <c r="Q4" s="3"/>
      <c r="R4" s="3"/>
      <c r="S4" s="3"/>
      <c r="T4" s="3"/>
      <c r="U4" s="3"/>
    </row>
    <row r="5" spans="1:21" ht="15.75" thickBot="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6"/>
      <c r="P5" s="3"/>
      <c r="Q5" s="3"/>
      <c r="R5" s="3"/>
      <c r="S5" s="3"/>
      <c r="T5" s="3"/>
      <c r="U5" s="3"/>
    </row>
    <row r="6" spans="1:21" ht="17.25" customHeight="1" thickBot="1" x14ac:dyDescent="0.3">
      <c r="A6" s="19" t="s">
        <v>1068</v>
      </c>
      <c r="B6" s="24" t="s">
        <v>1069</v>
      </c>
      <c r="C6" s="26" t="s">
        <v>1070</v>
      </c>
      <c r="D6" s="29" t="s">
        <v>1071</v>
      </c>
      <c r="E6" s="26" t="s">
        <v>1072</v>
      </c>
      <c r="F6" s="31" t="s">
        <v>1073</v>
      </c>
      <c r="G6" s="31" t="s">
        <v>1074</v>
      </c>
      <c r="H6" s="31" t="s">
        <v>1075</v>
      </c>
      <c r="I6" s="29" t="s">
        <v>14</v>
      </c>
      <c r="J6" s="29" t="s">
        <v>1076</v>
      </c>
      <c r="K6" s="29" t="s">
        <v>1077</v>
      </c>
      <c r="L6" s="29" t="s">
        <v>1078</v>
      </c>
      <c r="M6" s="29" t="s">
        <v>1079</v>
      </c>
      <c r="N6" s="29" t="s">
        <v>1080</v>
      </c>
      <c r="O6" s="36" t="s">
        <v>1081</v>
      </c>
      <c r="P6" s="37" t="s">
        <v>1082</v>
      </c>
      <c r="Q6" s="38" t="s">
        <v>1083</v>
      </c>
      <c r="R6" s="38" t="s">
        <v>1084</v>
      </c>
      <c r="S6" s="38" t="s">
        <v>1085</v>
      </c>
      <c r="T6" s="38" t="s">
        <v>1086</v>
      </c>
      <c r="U6" s="39" t="s">
        <v>1086</v>
      </c>
    </row>
    <row r="7" spans="1:21" ht="12.75" customHeight="1" x14ac:dyDescent="0.25">
      <c r="A7" s="46" t="s">
        <v>0</v>
      </c>
      <c r="B7" s="40" t="s">
        <v>1</v>
      </c>
      <c r="C7" s="41">
        <v>45487</v>
      </c>
      <c r="D7" s="42" t="s">
        <v>2</v>
      </c>
      <c r="E7" s="41" t="s">
        <v>3</v>
      </c>
      <c r="F7" s="41" t="s">
        <v>4</v>
      </c>
      <c r="G7" s="41">
        <v>45516</v>
      </c>
      <c r="H7" s="40" t="s">
        <v>5</v>
      </c>
      <c r="I7" s="43"/>
      <c r="J7" s="40">
        <v>0</v>
      </c>
      <c r="K7" s="40">
        <v>1</v>
      </c>
      <c r="L7" s="44">
        <v>1</v>
      </c>
      <c r="M7" s="40">
        <v>135</v>
      </c>
      <c r="N7" s="40">
        <v>0</v>
      </c>
      <c r="O7" s="48">
        <v>1</v>
      </c>
      <c r="P7" s="45" t="s">
        <v>6</v>
      </c>
      <c r="Q7" s="23" t="s">
        <v>7</v>
      </c>
      <c r="R7" s="23" t="s">
        <v>8</v>
      </c>
      <c r="S7" s="23" t="s">
        <v>9</v>
      </c>
      <c r="T7" s="23">
        <f>SUMIFS($J$1:INDEX(J:J,ROW()-1),$I$1:INDEX(I:I,ROW()-1),"&lt;&gt;Totals:")</f>
        <v>0</v>
      </c>
      <c r="U7" s="22">
        <f>SUMIFS($M$1:INDEX(M:M,ROW()),$I$1:INDEX(I:I,ROW()),"&lt;&gt;*Totals:*")</f>
        <v>135</v>
      </c>
    </row>
    <row r="8" spans="1:21" ht="12.75" customHeight="1" x14ac:dyDescent="0.25">
      <c r="A8" s="47" t="s">
        <v>10</v>
      </c>
      <c r="B8" s="23" t="s">
        <v>11</v>
      </c>
      <c r="C8" s="28">
        <v>45488</v>
      </c>
      <c r="D8" s="30" t="s">
        <v>2</v>
      </c>
      <c r="E8" s="28" t="s">
        <v>12</v>
      </c>
      <c r="F8" s="28" t="s">
        <v>13</v>
      </c>
      <c r="G8" s="28">
        <v>45517</v>
      </c>
      <c r="H8" s="23" t="s">
        <v>5</v>
      </c>
      <c r="I8" s="33" t="s">
        <v>14</v>
      </c>
      <c r="J8" s="23">
        <v>1</v>
      </c>
      <c r="K8" s="23">
        <v>1</v>
      </c>
      <c r="L8" s="35">
        <v>0</v>
      </c>
      <c r="M8" s="23">
        <v>4</v>
      </c>
      <c r="N8" s="23">
        <v>4</v>
      </c>
      <c r="O8" s="49">
        <v>0</v>
      </c>
      <c r="P8" s="45" t="s">
        <v>6</v>
      </c>
      <c r="Q8" s="23" t="s">
        <v>7</v>
      </c>
      <c r="R8" s="23" t="s">
        <v>8</v>
      </c>
      <c r="S8" s="23" t="s">
        <v>9</v>
      </c>
      <c r="T8" s="23">
        <f>SUMIFS($J$1:INDEX(J:J,ROW()-1),$I$1:INDEX(I:I,ROW()-1),"&lt;&gt;Totals:")</f>
        <v>0</v>
      </c>
      <c r="U8" s="22">
        <f>SUMIFS($M$1:INDEX(M:M,ROW()),$I$1:INDEX(I:I,ROW()),"&lt;&gt;*Totals:*")</f>
        <v>139</v>
      </c>
    </row>
    <row r="9" spans="1:21" ht="12.75" customHeight="1" x14ac:dyDescent="0.25">
      <c r="A9" s="47" t="s">
        <v>15</v>
      </c>
      <c r="B9" s="23" t="s">
        <v>11</v>
      </c>
      <c r="C9" s="28">
        <v>45488</v>
      </c>
      <c r="D9" s="30" t="s">
        <v>2</v>
      </c>
      <c r="E9" s="28" t="s">
        <v>16</v>
      </c>
      <c r="F9" s="28" t="s">
        <v>13</v>
      </c>
      <c r="G9" s="28">
        <v>45517</v>
      </c>
      <c r="H9" s="23" t="s">
        <v>5</v>
      </c>
      <c r="I9" s="33"/>
      <c r="J9" s="23">
        <v>0</v>
      </c>
      <c r="K9" s="23">
        <v>1</v>
      </c>
      <c r="L9" s="35">
        <v>1</v>
      </c>
      <c r="M9" s="23">
        <v>1</v>
      </c>
      <c r="N9" s="23">
        <v>0</v>
      </c>
      <c r="O9" s="49">
        <v>1</v>
      </c>
      <c r="P9" s="45" t="s">
        <v>6</v>
      </c>
      <c r="Q9" s="23" t="s">
        <v>7</v>
      </c>
      <c r="R9" s="23" t="s">
        <v>8</v>
      </c>
      <c r="S9" s="23" t="s">
        <v>9</v>
      </c>
      <c r="T9" s="23">
        <f>SUMIFS($J$1:INDEX(J:J,ROW()-1),$I$1:INDEX(I:I,ROW()-1),"&lt;&gt;Totals:")</f>
        <v>1</v>
      </c>
      <c r="U9" s="22">
        <f>SUMIFS($M$1:INDEX(M:M,ROW()),$I$1:INDEX(I:I,ROW()),"&lt;&gt;*Totals:*")</f>
        <v>140</v>
      </c>
    </row>
    <row r="10" spans="1:21" ht="12.75" customHeight="1" thickBot="1" x14ac:dyDescent="0.3">
      <c r="A10" s="51" t="s">
        <v>17</v>
      </c>
      <c r="B10" s="20" t="s">
        <v>18</v>
      </c>
      <c r="C10" s="25">
        <v>45489</v>
      </c>
      <c r="D10" s="27" t="s">
        <v>2</v>
      </c>
      <c r="E10" s="25" t="s">
        <v>16</v>
      </c>
      <c r="F10" s="25" t="s">
        <v>19</v>
      </c>
      <c r="G10" s="25">
        <v>45518</v>
      </c>
      <c r="H10" s="20" t="s">
        <v>5</v>
      </c>
      <c r="I10" s="32"/>
      <c r="J10" s="20">
        <v>0</v>
      </c>
      <c r="K10" s="20">
        <v>1</v>
      </c>
      <c r="L10" s="34">
        <v>1</v>
      </c>
      <c r="M10" s="20">
        <v>2</v>
      </c>
      <c r="N10" s="20">
        <v>0</v>
      </c>
      <c r="O10" s="54">
        <v>1</v>
      </c>
      <c r="P10" s="45" t="s">
        <v>6</v>
      </c>
      <c r="Q10" s="23" t="s">
        <v>7</v>
      </c>
      <c r="R10" s="23" t="s">
        <v>8</v>
      </c>
      <c r="S10" s="23" t="s">
        <v>9</v>
      </c>
      <c r="T10" s="23">
        <f>SUMIFS($J$1:INDEX(J:J,ROW()-1),$I$1:INDEX(I:I,ROW()-1),"&lt;&gt;Totals:")</f>
        <v>1</v>
      </c>
      <c r="U10" s="22">
        <f>SUMIFS($M$1:INDEX(M:M,ROW()),$I$1:INDEX(I:I,ROW()),"&lt;&gt;*Totals:*")</f>
        <v>142</v>
      </c>
    </row>
    <row r="11" spans="1:21" ht="17.25" customHeight="1" x14ac:dyDescent="0.25">
      <c r="A11" s="60"/>
      <c r="B11" s="50"/>
      <c r="C11" s="55"/>
      <c r="D11" s="56"/>
      <c r="E11" s="56"/>
      <c r="F11" s="57"/>
      <c r="G11" s="57"/>
      <c r="H11" s="57"/>
      <c r="I11" s="58" t="s">
        <v>1087</v>
      </c>
      <c r="J11" s="57">
        <f>SUM(J7:J10)</f>
        <v>1</v>
      </c>
      <c r="K11" s="57">
        <f>SUM(K7:K10)</f>
        <v>4</v>
      </c>
      <c r="L11" s="59">
        <f>(SUM(K7:K10) - SUM(J7:J10)) / SUM(K7:K10)</f>
        <v>0.75</v>
      </c>
      <c r="M11" s="57">
        <f>SUM(M7:M10)</f>
        <v>142</v>
      </c>
      <c r="N11" s="56">
        <f>SUM(N7:N10)</f>
        <v>4</v>
      </c>
      <c r="O11" s="61">
        <f>(SUM(M7:M10) - SUM(N7:N10)) / SUM(M7:M10)</f>
        <v>0.971830985915493</v>
      </c>
      <c r="P11" s="52"/>
      <c r="Q11" s="53"/>
      <c r="R11" s="52"/>
      <c r="S11" s="52"/>
      <c r="T11" s="52"/>
      <c r="U11" s="52"/>
    </row>
    <row r="12" spans="1:21" x14ac:dyDescent="0.25">
      <c r="A12" s="70"/>
      <c r="B12" s="64"/>
      <c r="C12" s="64"/>
      <c r="D12" s="64"/>
      <c r="E12" s="64"/>
      <c r="F12" s="64"/>
      <c r="G12" s="64"/>
      <c r="H12" s="64"/>
      <c r="I12" s="65" t="s">
        <v>1088</v>
      </c>
      <c r="J12" s="64"/>
      <c r="K12" s="64"/>
      <c r="L12" s="65" t="s">
        <v>1089</v>
      </c>
      <c r="M12" s="64"/>
      <c r="N12" s="64"/>
      <c r="O12" s="72"/>
      <c r="P12" s="62"/>
      <c r="Q12" s="62"/>
      <c r="R12" s="62"/>
      <c r="S12" s="62"/>
      <c r="T12" s="62"/>
      <c r="U12" s="62"/>
    </row>
    <row r="13" spans="1:21" ht="15.75" thickBot="1" x14ac:dyDescent="0.3">
      <c r="A13" s="71"/>
      <c r="B13" s="66"/>
      <c r="C13" s="67"/>
      <c r="D13" s="66"/>
      <c r="E13" s="66"/>
      <c r="F13" s="66"/>
      <c r="G13" s="67"/>
      <c r="H13" s="66"/>
      <c r="I13" s="68">
        <v>1</v>
      </c>
      <c r="J13" s="66"/>
      <c r="K13" s="66"/>
      <c r="L13" s="69">
        <v>142</v>
      </c>
      <c r="M13" s="66"/>
      <c r="N13" s="66"/>
      <c r="O13" s="73"/>
      <c r="P13" s="63"/>
      <c r="Q13" s="63"/>
      <c r="R13" s="63"/>
      <c r="S13" s="63"/>
      <c r="T13" s="63"/>
      <c r="U13" s="63"/>
    </row>
    <row r="14" spans="1:21" ht="15.75" thickBot="1" x14ac:dyDescent="0.3">
      <c r="C14" s="1"/>
      <c r="G14" s="1"/>
    </row>
    <row r="15" spans="1:21" x14ac:dyDescent="0.25">
      <c r="A15" s="9"/>
      <c r="B15" s="10"/>
      <c r="C15" s="11"/>
      <c r="D15" s="11"/>
      <c r="E15" s="11"/>
      <c r="F15" s="11"/>
      <c r="G15" s="11"/>
      <c r="H15" s="12"/>
      <c r="I15" s="11"/>
      <c r="J15" s="13"/>
      <c r="K15" s="13"/>
      <c r="L15" s="13"/>
      <c r="M15" s="13"/>
      <c r="N15" s="11"/>
      <c r="O15" s="14"/>
      <c r="P15" s="4"/>
      <c r="Q15" s="5"/>
      <c r="R15" s="4"/>
      <c r="S15" s="4"/>
      <c r="T15" s="4"/>
      <c r="U15" s="4"/>
    </row>
    <row r="16" spans="1:21" x14ac:dyDescent="0.25">
      <c r="A16" s="6" t="s">
        <v>1067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5"/>
      <c r="P16" s="3"/>
      <c r="Q16" s="3"/>
      <c r="R16" s="3"/>
      <c r="S16" s="3"/>
      <c r="T16" s="3"/>
      <c r="U16" s="3"/>
    </row>
    <row r="17" spans="1:21" x14ac:dyDescent="0.25">
      <c r="A17" s="7" t="s">
        <v>24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15"/>
      <c r="P17" s="3"/>
      <c r="Q17" s="3"/>
      <c r="R17" s="3"/>
      <c r="S17" s="3"/>
      <c r="T17" s="3"/>
      <c r="U17" s="3"/>
    </row>
    <row r="18" spans="1:21" ht="15.75" thickBot="1" x14ac:dyDescent="0.3">
      <c r="A18" s="8"/>
      <c r="B18" s="8"/>
      <c r="C18" s="74"/>
      <c r="D18" s="8"/>
      <c r="E18" s="8"/>
      <c r="F18" s="8"/>
      <c r="G18" s="74"/>
      <c r="H18" s="8"/>
      <c r="I18" s="8"/>
      <c r="J18" s="8"/>
      <c r="K18" s="8"/>
      <c r="L18" s="8"/>
      <c r="M18" s="8"/>
      <c r="N18" s="8"/>
      <c r="O18" s="16"/>
      <c r="P18" s="3"/>
      <c r="Q18" s="3"/>
      <c r="R18" s="3"/>
      <c r="S18" s="3"/>
      <c r="T18" s="3"/>
      <c r="U18" s="3"/>
    </row>
    <row r="19" spans="1:21" ht="17.25" customHeight="1" thickBot="1" x14ac:dyDescent="0.3">
      <c r="A19" s="19" t="s">
        <v>1068</v>
      </c>
      <c r="B19" s="24" t="s">
        <v>1069</v>
      </c>
      <c r="C19" s="26" t="s">
        <v>1070</v>
      </c>
      <c r="D19" s="29" t="s">
        <v>1071</v>
      </c>
      <c r="E19" s="26" t="s">
        <v>1072</v>
      </c>
      <c r="F19" s="31" t="s">
        <v>1073</v>
      </c>
      <c r="G19" s="31" t="s">
        <v>1074</v>
      </c>
      <c r="H19" s="31" t="s">
        <v>1075</v>
      </c>
      <c r="I19" s="29" t="s">
        <v>14</v>
      </c>
      <c r="J19" s="29" t="s">
        <v>1076</v>
      </c>
      <c r="K19" s="29" t="s">
        <v>1077</v>
      </c>
      <c r="L19" s="29" t="s">
        <v>1078</v>
      </c>
      <c r="M19" s="29" t="s">
        <v>1079</v>
      </c>
      <c r="N19" s="29" t="s">
        <v>1080</v>
      </c>
      <c r="O19" s="36" t="s">
        <v>1081</v>
      </c>
      <c r="P19" s="37" t="s">
        <v>1082</v>
      </c>
      <c r="Q19" s="38" t="s">
        <v>1083</v>
      </c>
      <c r="R19" s="38" t="s">
        <v>1084</v>
      </c>
      <c r="S19" s="38" t="s">
        <v>1085</v>
      </c>
      <c r="T19" s="38" t="s">
        <v>1086</v>
      </c>
      <c r="U19" s="39" t="s">
        <v>1086</v>
      </c>
    </row>
    <row r="20" spans="1:21" ht="12.75" customHeight="1" x14ac:dyDescent="0.25">
      <c r="A20" s="46" t="s">
        <v>17</v>
      </c>
      <c r="B20" s="40" t="s">
        <v>20</v>
      </c>
      <c r="C20" s="41">
        <v>45505</v>
      </c>
      <c r="D20" s="42" t="s">
        <v>21</v>
      </c>
      <c r="E20" s="41" t="s">
        <v>22</v>
      </c>
      <c r="F20" s="41" t="s">
        <v>23</v>
      </c>
      <c r="G20" s="41">
        <v>45534</v>
      </c>
      <c r="H20" s="40" t="s">
        <v>5</v>
      </c>
      <c r="I20" s="43" t="s">
        <v>14</v>
      </c>
      <c r="J20" s="40">
        <v>1</v>
      </c>
      <c r="K20" s="40">
        <v>1</v>
      </c>
      <c r="L20" s="44">
        <v>0</v>
      </c>
      <c r="M20" s="40">
        <v>20</v>
      </c>
      <c r="N20" s="40">
        <v>20</v>
      </c>
      <c r="O20" s="48">
        <v>0</v>
      </c>
      <c r="P20" s="45" t="s">
        <v>6</v>
      </c>
      <c r="Q20" s="23" t="s">
        <v>24</v>
      </c>
      <c r="R20" s="23" t="s">
        <v>25</v>
      </c>
      <c r="S20" s="23" t="s">
        <v>9</v>
      </c>
      <c r="T20" s="23">
        <f>SUMIFS($J$1:INDEX(J:J,ROW()-1),$I$1:INDEX(I:I,ROW()-1),"&lt;&gt;Totals:")</f>
        <v>1</v>
      </c>
      <c r="U20" s="22">
        <f>SUMIFS($M$1:INDEX(M:M,ROW()),$I$1:INDEX(I:I,ROW()),"&lt;&gt;*Totals:*")</f>
        <v>162</v>
      </c>
    </row>
    <row r="21" spans="1:21" ht="12.75" customHeight="1" x14ac:dyDescent="0.25">
      <c r="A21" s="47" t="s">
        <v>26</v>
      </c>
      <c r="B21" s="23" t="s">
        <v>27</v>
      </c>
      <c r="C21" s="28">
        <v>45505</v>
      </c>
      <c r="D21" s="30" t="s">
        <v>21</v>
      </c>
      <c r="E21" s="28" t="s">
        <v>22</v>
      </c>
      <c r="F21" s="28" t="s">
        <v>28</v>
      </c>
      <c r="G21" s="28">
        <v>45534</v>
      </c>
      <c r="H21" s="23" t="s">
        <v>5</v>
      </c>
      <c r="I21" s="33" t="s">
        <v>14</v>
      </c>
      <c r="J21" s="23">
        <v>1</v>
      </c>
      <c r="K21" s="23">
        <v>1</v>
      </c>
      <c r="L21" s="35">
        <v>0</v>
      </c>
      <c r="M21" s="23">
        <v>10</v>
      </c>
      <c r="N21" s="23">
        <v>10</v>
      </c>
      <c r="O21" s="49">
        <v>0</v>
      </c>
      <c r="P21" s="45" t="s">
        <v>6</v>
      </c>
      <c r="Q21" s="23" t="s">
        <v>24</v>
      </c>
      <c r="R21" s="23" t="s">
        <v>25</v>
      </c>
      <c r="S21" s="23" t="s">
        <v>9</v>
      </c>
      <c r="T21" s="23">
        <f>SUMIFS($J$1:INDEX(J:J,ROW()-1),$I$1:INDEX(I:I,ROW()-1),"&lt;&gt;Totals:")</f>
        <v>2</v>
      </c>
      <c r="U21" s="22">
        <f>SUMIFS($M$1:INDEX(M:M,ROW()),$I$1:INDEX(I:I,ROW()),"&lt;&gt;*Totals:*")</f>
        <v>172</v>
      </c>
    </row>
    <row r="22" spans="1:21" ht="12.75" customHeight="1" x14ac:dyDescent="0.25">
      <c r="A22" s="47" t="s">
        <v>29</v>
      </c>
      <c r="B22" s="23" t="s">
        <v>30</v>
      </c>
      <c r="C22" s="28">
        <v>45505</v>
      </c>
      <c r="D22" s="30" t="s">
        <v>21</v>
      </c>
      <c r="E22" s="28" t="s">
        <v>22</v>
      </c>
      <c r="F22" s="28" t="s">
        <v>28</v>
      </c>
      <c r="G22" s="28">
        <v>45534</v>
      </c>
      <c r="H22" s="23" t="s">
        <v>5</v>
      </c>
      <c r="I22" s="33" t="s">
        <v>14</v>
      </c>
      <c r="J22" s="23">
        <v>1</v>
      </c>
      <c r="K22" s="23">
        <v>1</v>
      </c>
      <c r="L22" s="35">
        <v>0</v>
      </c>
      <c r="M22" s="23">
        <v>17</v>
      </c>
      <c r="N22" s="23">
        <v>17</v>
      </c>
      <c r="O22" s="49">
        <v>0</v>
      </c>
      <c r="P22" s="45" t="s">
        <v>6</v>
      </c>
      <c r="Q22" s="23" t="s">
        <v>24</v>
      </c>
      <c r="R22" s="23" t="s">
        <v>25</v>
      </c>
      <c r="S22" s="23" t="s">
        <v>9</v>
      </c>
      <c r="T22" s="23">
        <f>SUMIFS($J$1:INDEX(J:J,ROW()-1),$I$1:INDEX(I:I,ROW()-1),"&lt;&gt;Totals:")</f>
        <v>3</v>
      </c>
      <c r="U22" s="22">
        <f>SUMIFS($M$1:INDEX(M:M,ROW()),$I$1:INDEX(I:I,ROW()),"&lt;&gt;*Totals:*")</f>
        <v>189</v>
      </c>
    </row>
    <row r="23" spans="1:21" ht="12.75" customHeight="1" x14ac:dyDescent="0.25">
      <c r="A23" s="47" t="s">
        <v>29</v>
      </c>
      <c r="B23" s="23" t="s">
        <v>31</v>
      </c>
      <c r="C23" s="28">
        <v>45505</v>
      </c>
      <c r="D23" s="30" t="s">
        <v>21</v>
      </c>
      <c r="E23" s="28" t="s">
        <v>22</v>
      </c>
      <c r="F23" s="28" t="s">
        <v>32</v>
      </c>
      <c r="G23" s="28">
        <v>45534</v>
      </c>
      <c r="H23" s="23" t="s">
        <v>5</v>
      </c>
      <c r="I23" s="33" t="s">
        <v>14</v>
      </c>
      <c r="J23" s="23">
        <v>1</v>
      </c>
      <c r="K23" s="23">
        <v>1</v>
      </c>
      <c r="L23" s="35">
        <v>0</v>
      </c>
      <c r="M23" s="23">
        <v>9</v>
      </c>
      <c r="N23" s="23">
        <v>9</v>
      </c>
      <c r="O23" s="49">
        <v>0</v>
      </c>
      <c r="P23" s="45" t="s">
        <v>6</v>
      </c>
      <c r="Q23" s="23" t="s">
        <v>24</v>
      </c>
      <c r="R23" s="23" t="s">
        <v>25</v>
      </c>
      <c r="S23" s="23" t="s">
        <v>9</v>
      </c>
      <c r="T23" s="23">
        <f>SUMIFS($J$1:INDEX(J:J,ROW()-1),$I$1:INDEX(I:I,ROW()-1),"&lt;&gt;Totals:")</f>
        <v>4</v>
      </c>
      <c r="U23" s="22">
        <f>SUMIFS($M$1:INDEX(M:M,ROW()),$I$1:INDEX(I:I,ROW()),"&lt;&gt;*Totals:*")</f>
        <v>198</v>
      </c>
    </row>
    <row r="24" spans="1:21" ht="12.75" customHeight="1" x14ac:dyDescent="0.25">
      <c r="A24" s="47" t="s">
        <v>15</v>
      </c>
      <c r="B24" s="23" t="s">
        <v>33</v>
      </c>
      <c r="C24" s="28">
        <v>45513</v>
      </c>
      <c r="D24" s="30" t="s">
        <v>21</v>
      </c>
      <c r="E24" s="28" t="s">
        <v>34</v>
      </c>
      <c r="F24" s="28" t="s">
        <v>22</v>
      </c>
      <c r="G24" s="28">
        <v>45542</v>
      </c>
      <c r="H24" s="23" t="s">
        <v>5</v>
      </c>
      <c r="I24" s="33" t="s">
        <v>14</v>
      </c>
      <c r="J24" s="23">
        <v>1</v>
      </c>
      <c r="K24" s="23">
        <v>1</v>
      </c>
      <c r="L24" s="35">
        <v>0</v>
      </c>
      <c r="M24" s="23">
        <v>28</v>
      </c>
      <c r="N24" s="23">
        <v>28</v>
      </c>
      <c r="O24" s="49">
        <v>0</v>
      </c>
      <c r="P24" s="45" t="s">
        <v>6</v>
      </c>
      <c r="Q24" s="23" t="s">
        <v>24</v>
      </c>
      <c r="R24" s="23" t="s">
        <v>25</v>
      </c>
      <c r="S24" s="23" t="s">
        <v>9</v>
      </c>
      <c r="T24" s="23">
        <f>SUMIFS($J$1:INDEX(J:J,ROW()-1),$I$1:INDEX(I:I,ROW()-1),"&lt;&gt;Totals:")</f>
        <v>5</v>
      </c>
      <c r="U24" s="22">
        <f>SUMIFS($M$1:INDEX(M:M,ROW()),$I$1:INDEX(I:I,ROW()),"&lt;&gt;*Totals:*")</f>
        <v>226</v>
      </c>
    </row>
    <row r="25" spans="1:21" ht="12.75" customHeight="1" x14ac:dyDescent="0.25">
      <c r="A25" s="47" t="s">
        <v>10</v>
      </c>
      <c r="B25" s="23" t="s">
        <v>33</v>
      </c>
      <c r="C25" s="28">
        <v>45513</v>
      </c>
      <c r="D25" s="30" t="s">
        <v>21</v>
      </c>
      <c r="E25" s="28" t="s">
        <v>12</v>
      </c>
      <c r="F25" s="28" t="s">
        <v>35</v>
      </c>
      <c r="G25" s="28">
        <v>45542</v>
      </c>
      <c r="H25" s="23" t="s">
        <v>5</v>
      </c>
      <c r="I25" s="33" t="s">
        <v>14</v>
      </c>
      <c r="J25" s="23">
        <v>1</v>
      </c>
      <c r="K25" s="23">
        <v>1</v>
      </c>
      <c r="L25" s="35">
        <v>0</v>
      </c>
      <c r="M25" s="23">
        <v>94</v>
      </c>
      <c r="N25" s="23">
        <v>94</v>
      </c>
      <c r="O25" s="49">
        <v>0</v>
      </c>
      <c r="P25" s="45" t="s">
        <v>6</v>
      </c>
      <c r="Q25" s="23" t="s">
        <v>24</v>
      </c>
      <c r="R25" s="23" t="s">
        <v>25</v>
      </c>
      <c r="S25" s="23" t="s">
        <v>9</v>
      </c>
      <c r="T25" s="23">
        <f>SUMIFS($J$1:INDEX(J:J,ROW()-1),$I$1:INDEX(I:I,ROW()-1),"&lt;&gt;Totals:")</f>
        <v>6</v>
      </c>
      <c r="U25" s="22">
        <f>SUMIFS($M$1:INDEX(M:M,ROW()),$I$1:INDEX(I:I,ROW()),"&lt;&gt;*Totals:*")</f>
        <v>320</v>
      </c>
    </row>
    <row r="26" spans="1:21" ht="12.75" customHeight="1" x14ac:dyDescent="0.25">
      <c r="A26" s="47" t="s">
        <v>36</v>
      </c>
      <c r="B26" s="23" t="s">
        <v>37</v>
      </c>
      <c r="C26" s="28">
        <v>45513</v>
      </c>
      <c r="D26" s="30" t="s">
        <v>21</v>
      </c>
      <c r="E26" s="28" t="s">
        <v>38</v>
      </c>
      <c r="F26" s="28" t="s">
        <v>39</v>
      </c>
      <c r="G26" s="28">
        <v>45542</v>
      </c>
      <c r="H26" s="23" t="s">
        <v>5</v>
      </c>
      <c r="I26" s="33"/>
      <c r="J26" s="23">
        <v>0</v>
      </c>
      <c r="K26" s="23">
        <v>1</v>
      </c>
      <c r="L26" s="35">
        <v>1</v>
      </c>
      <c r="M26" s="23">
        <v>5</v>
      </c>
      <c r="N26" s="23">
        <v>0</v>
      </c>
      <c r="O26" s="49">
        <v>1</v>
      </c>
      <c r="P26" s="45" t="s">
        <v>6</v>
      </c>
      <c r="Q26" s="23" t="s">
        <v>24</v>
      </c>
      <c r="R26" s="23" t="s">
        <v>25</v>
      </c>
      <c r="S26" s="23" t="s">
        <v>9</v>
      </c>
      <c r="T26" s="23">
        <f>SUMIFS($J$1:INDEX(J:J,ROW()-1),$I$1:INDEX(I:I,ROW()-1),"&lt;&gt;Totals:")</f>
        <v>7</v>
      </c>
      <c r="U26" s="22">
        <f>SUMIFS($M$1:INDEX(M:M,ROW()),$I$1:INDEX(I:I,ROW()),"&lt;&gt;*Totals:*")</f>
        <v>325</v>
      </c>
    </row>
    <row r="27" spans="1:21" ht="12.75" customHeight="1" x14ac:dyDescent="0.25">
      <c r="A27" s="47" t="s">
        <v>40</v>
      </c>
      <c r="B27" s="23" t="s">
        <v>41</v>
      </c>
      <c r="C27" s="28">
        <v>45513</v>
      </c>
      <c r="D27" s="30" t="s">
        <v>21</v>
      </c>
      <c r="E27" s="28" t="s">
        <v>38</v>
      </c>
      <c r="F27" s="28" t="s">
        <v>39</v>
      </c>
      <c r="G27" s="28">
        <v>45542</v>
      </c>
      <c r="H27" s="23" t="s">
        <v>5</v>
      </c>
      <c r="I27" s="33"/>
      <c r="J27" s="23">
        <v>0</v>
      </c>
      <c r="K27" s="23">
        <v>1</v>
      </c>
      <c r="L27" s="35">
        <v>1</v>
      </c>
      <c r="M27" s="23">
        <v>12</v>
      </c>
      <c r="N27" s="23">
        <v>0</v>
      </c>
      <c r="O27" s="49">
        <v>1</v>
      </c>
      <c r="P27" s="45" t="s">
        <v>6</v>
      </c>
      <c r="Q27" s="23" t="s">
        <v>24</v>
      </c>
      <c r="R27" s="23" t="s">
        <v>25</v>
      </c>
      <c r="S27" s="23" t="s">
        <v>9</v>
      </c>
      <c r="T27" s="23">
        <f>SUMIFS($J$1:INDEX(J:J,ROW()-1),$I$1:INDEX(I:I,ROW()-1),"&lt;&gt;Totals:")</f>
        <v>7</v>
      </c>
      <c r="U27" s="22">
        <f>SUMIFS($M$1:INDEX(M:M,ROW()),$I$1:INDEX(I:I,ROW()),"&lt;&gt;*Totals:*")</f>
        <v>337</v>
      </c>
    </row>
    <row r="28" spans="1:21" ht="12.75" customHeight="1" x14ac:dyDescent="0.25">
      <c r="A28" s="47" t="s">
        <v>0</v>
      </c>
      <c r="B28" s="23" t="s">
        <v>42</v>
      </c>
      <c r="C28" s="28">
        <v>45516</v>
      </c>
      <c r="D28" s="30" t="s">
        <v>21</v>
      </c>
      <c r="E28" s="28" t="s">
        <v>43</v>
      </c>
      <c r="F28" s="28" t="s">
        <v>44</v>
      </c>
      <c r="G28" s="28">
        <v>45545</v>
      </c>
      <c r="H28" s="23" t="s">
        <v>5</v>
      </c>
      <c r="I28" s="33"/>
      <c r="J28" s="23">
        <v>0</v>
      </c>
      <c r="K28" s="23">
        <v>1</v>
      </c>
      <c r="L28" s="35">
        <v>1</v>
      </c>
      <c r="M28" s="23">
        <v>123</v>
      </c>
      <c r="N28" s="23">
        <v>0</v>
      </c>
      <c r="O28" s="49">
        <v>1</v>
      </c>
      <c r="P28" s="45" t="s">
        <v>6</v>
      </c>
      <c r="Q28" s="23" t="s">
        <v>24</v>
      </c>
      <c r="R28" s="23" t="s">
        <v>25</v>
      </c>
      <c r="S28" s="23" t="s">
        <v>9</v>
      </c>
      <c r="T28" s="23">
        <f>SUMIFS($J$1:INDEX(J:J,ROW()-1),$I$1:INDEX(I:I,ROW()-1),"&lt;&gt;Totals:")</f>
        <v>7</v>
      </c>
      <c r="U28" s="22">
        <f>SUMIFS($M$1:INDEX(M:M,ROW()),$I$1:INDEX(I:I,ROW()),"&lt;&gt;*Totals:*")</f>
        <v>460</v>
      </c>
    </row>
    <row r="29" spans="1:21" ht="12.75" customHeight="1" x14ac:dyDescent="0.25">
      <c r="A29" s="47" t="s">
        <v>10</v>
      </c>
      <c r="B29" s="23" t="s">
        <v>33</v>
      </c>
      <c r="C29" s="28">
        <v>45516</v>
      </c>
      <c r="D29" s="30" t="s">
        <v>21</v>
      </c>
      <c r="E29" s="28" t="s">
        <v>12</v>
      </c>
      <c r="F29" s="28" t="s">
        <v>35</v>
      </c>
      <c r="G29" s="28">
        <v>45545</v>
      </c>
      <c r="H29" s="23" t="s">
        <v>5</v>
      </c>
      <c r="I29" s="33" t="s">
        <v>14</v>
      </c>
      <c r="J29" s="23">
        <v>1</v>
      </c>
      <c r="K29" s="23">
        <v>1</v>
      </c>
      <c r="L29" s="35">
        <v>0</v>
      </c>
      <c r="M29" s="23">
        <v>3</v>
      </c>
      <c r="N29" s="23">
        <v>3</v>
      </c>
      <c r="O29" s="49">
        <v>0</v>
      </c>
      <c r="P29" s="45" t="s">
        <v>6</v>
      </c>
      <c r="Q29" s="23" t="s">
        <v>24</v>
      </c>
      <c r="R29" s="23" t="s">
        <v>25</v>
      </c>
      <c r="S29" s="23" t="s">
        <v>9</v>
      </c>
      <c r="T29" s="23">
        <f>SUMIFS($J$1:INDEX(J:J,ROW()-1),$I$1:INDEX(I:I,ROW()-1),"&lt;&gt;Totals:")</f>
        <v>7</v>
      </c>
      <c r="U29" s="22">
        <f>SUMIFS($M$1:INDEX(M:M,ROW()),$I$1:INDEX(I:I,ROW()),"&lt;&gt;*Totals:*")</f>
        <v>463</v>
      </c>
    </row>
    <row r="30" spans="1:21" ht="12.75" customHeight="1" x14ac:dyDescent="0.25">
      <c r="A30" s="47" t="s">
        <v>15</v>
      </c>
      <c r="B30" s="23" t="s">
        <v>33</v>
      </c>
      <c r="C30" s="28">
        <v>45516</v>
      </c>
      <c r="D30" s="30" t="s">
        <v>21</v>
      </c>
      <c r="E30" s="28" t="s">
        <v>34</v>
      </c>
      <c r="F30" s="28" t="s">
        <v>22</v>
      </c>
      <c r="G30" s="28">
        <v>45545</v>
      </c>
      <c r="H30" s="23" t="s">
        <v>5</v>
      </c>
      <c r="I30" s="33" t="s">
        <v>14</v>
      </c>
      <c r="J30" s="23">
        <v>1</v>
      </c>
      <c r="K30" s="23">
        <v>1</v>
      </c>
      <c r="L30" s="35">
        <v>0</v>
      </c>
      <c r="M30" s="23">
        <v>1</v>
      </c>
      <c r="N30" s="23">
        <v>1</v>
      </c>
      <c r="O30" s="49">
        <v>0</v>
      </c>
      <c r="P30" s="45" t="s">
        <v>6</v>
      </c>
      <c r="Q30" s="23" t="s">
        <v>24</v>
      </c>
      <c r="R30" s="23" t="s">
        <v>25</v>
      </c>
      <c r="S30" s="23" t="s">
        <v>9</v>
      </c>
      <c r="T30" s="23">
        <f>SUMIFS($J$1:INDEX(J:J,ROW()-1),$I$1:INDEX(I:I,ROW()-1),"&lt;&gt;Totals:")</f>
        <v>8</v>
      </c>
      <c r="U30" s="22">
        <f>SUMIFS($M$1:INDEX(M:M,ROW()),$I$1:INDEX(I:I,ROW()),"&lt;&gt;*Totals:*")</f>
        <v>464</v>
      </c>
    </row>
    <row r="31" spans="1:21" ht="12.75" customHeight="1" x14ac:dyDescent="0.25">
      <c r="A31" s="47" t="s">
        <v>0</v>
      </c>
      <c r="B31" s="23" t="s">
        <v>45</v>
      </c>
      <c r="C31" s="28">
        <v>45516</v>
      </c>
      <c r="D31" s="30" t="s">
        <v>21</v>
      </c>
      <c r="E31" s="28" t="s">
        <v>12</v>
      </c>
      <c r="F31" s="28" t="s">
        <v>46</v>
      </c>
      <c r="G31" s="28">
        <v>45545</v>
      </c>
      <c r="H31" s="23" t="s">
        <v>5</v>
      </c>
      <c r="I31" s="33" t="s">
        <v>14</v>
      </c>
      <c r="J31" s="23">
        <v>1</v>
      </c>
      <c r="K31" s="23">
        <v>1</v>
      </c>
      <c r="L31" s="35">
        <v>0</v>
      </c>
      <c r="M31" s="23">
        <v>8</v>
      </c>
      <c r="N31" s="23">
        <v>8</v>
      </c>
      <c r="O31" s="49">
        <v>0</v>
      </c>
      <c r="P31" s="45" t="s">
        <v>6</v>
      </c>
      <c r="Q31" s="23" t="s">
        <v>24</v>
      </c>
      <c r="R31" s="23" t="s">
        <v>25</v>
      </c>
      <c r="S31" s="23" t="s">
        <v>9</v>
      </c>
      <c r="T31" s="23">
        <f>SUMIFS($J$1:INDEX(J:J,ROW()-1),$I$1:INDEX(I:I,ROW()-1),"&lt;&gt;Totals:")</f>
        <v>9</v>
      </c>
      <c r="U31" s="22">
        <f>SUMIFS($M$1:INDEX(M:M,ROW()),$I$1:INDEX(I:I,ROW()),"&lt;&gt;*Totals:*")</f>
        <v>472</v>
      </c>
    </row>
    <row r="32" spans="1:21" ht="12.75" customHeight="1" x14ac:dyDescent="0.25">
      <c r="A32" s="47" t="s">
        <v>29</v>
      </c>
      <c r="B32" s="23" t="s">
        <v>47</v>
      </c>
      <c r="C32" s="28">
        <v>45518</v>
      </c>
      <c r="D32" s="30" t="s">
        <v>21</v>
      </c>
      <c r="E32" s="28" t="s">
        <v>22</v>
      </c>
      <c r="F32" s="28" t="s">
        <v>48</v>
      </c>
      <c r="G32" s="28">
        <v>45547</v>
      </c>
      <c r="H32" s="23" t="s">
        <v>5</v>
      </c>
      <c r="I32" s="33"/>
      <c r="J32" s="23">
        <v>0</v>
      </c>
      <c r="K32" s="23">
        <v>1</v>
      </c>
      <c r="L32" s="35">
        <v>1</v>
      </c>
      <c r="M32" s="23">
        <v>1</v>
      </c>
      <c r="N32" s="23">
        <v>0</v>
      </c>
      <c r="O32" s="49">
        <v>1</v>
      </c>
      <c r="P32" s="45" t="s">
        <v>6</v>
      </c>
      <c r="Q32" s="23" t="s">
        <v>24</v>
      </c>
      <c r="R32" s="23" t="s">
        <v>25</v>
      </c>
      <c r="S32" s="23" t="s">
        <v>9</v>
      </c>
      <c r="T32" s="23">
        <f>SUMIFS($J$1:INDEX(J:J,ROW()-1),$I$1:INDEX(I:I,ROW()-1),"&lt;&gt;Totals:")</f>
        <v>10</v>
      </c>
      <c r="U32" s="22">
        <f>SUMIFS($M$1:INDEX(M:M,ROW()),$I$1:INDEX(I:I,ROW()),"&lt;&gt;*Totals:*")</f>
        <v>473</v>
      </c>
    </row>
    <row r="33" spans="1:21" ht="12.75" customHeight="1" x14ac:dyDescent="0.25">
      <c r="A33" s="47" t="s">
        <v>26</v>
      </c>
      <c r="B33" s="23" t="s">
        <v>49</v>
      </c>
      <c r="C33" s="28">
        <v>45518</v>
      </c>
      <c r="D33" s="30" t="s">
        <v>21</v>
      </c>
      <c r="E33" s="28" t="s">
        <v>22</v>
      </c>
      <c r="F33" s="28" t="s">
        <v>50</v>
      </c>
      <c r="G33" s="28">
        <v>45547</v>
      </c>
      <c r="H33" s="23" t="s">
        <v>5</v>
      </c>
      <c r="I33" s="33"/>
      <c r="J33" s="23">
        <v>0</v>
      </c>
      <c r="K33" s="23">
        <v>1</v>
      </c>
      <c r="L33" s="35">
        <v>1</v>
      </c>
      <c r="M33" s="23">
        <v>1</v>
      </c>
      <c r="N33" s="23">
        <v>0</v>
      </c>
      <c r="O33" s="49">
        <v>1</v>
      </c>
      <c r="P33" s="45" t="s">
        <v>6</v>
      </c>
      <c r="Q33" s="23" t="s">
        <v>24</v>
      </c>
      <c r="R33" s="23" t="s">
        <v>25</v>
      </c>
      <c r="S33" s="23" t="s">
        <v>9</v>
      </c>
      <c r="T33" s="23">
        <f>SUMIFS($J$1:INDEX(J:J,ROW()-1),$I$1:INDEX(I:I,ROW()-1),"&lt;&gt;Totals:")</f>
        <v>10</v>
      </c>
      <c r="U33" s="22">
        <f>SUMIFS($M$1:INDEX(M:M,ROW()),$I$1:INDEX(I:I,ROW()),"&lt;&gt;*Totals:*")</f>
        <v>474</v>
      </c>
    </row>
    <row r="34" spans="1:21" ht="12.75" customHeight="1" x14ac:dyDescent="0.25">
      <c r="A34" s="47" t="s">
        <v>29</v>
      </c>
      <c r="B34" s="23" t="s">
        <v>47</v>
      </c>
      <c r="C34" s="28">
        <v>45523</v>
      </c>
      <c r="D34" s="30" t="s">
        <v>21</v>
      </c>
      <c r="E34" s="28" t="s">
        <v>22</v>
      </c>
      <c r="F34" s="28" t="s">
        <v>48</v>
      </c>
      <c r="G34" s="28">
        <v>45552</v>
      </c>
      <c r="H34" s="23" t="s">
        <v>5</v>
      </c>
      <c r="I34" s="33"/>
      <c r="J34" s="23">
        <v>0</v>
      </c>
      <c r="K34" s="23">
        <v>1</v>
      </c>
      <c r="L34" s="35">
        <v>1</v>
      </c>
      <c r="M34" s="23">
        <v>1</v>
      </c>
      <c r="N34" s="23">
        <v>0</v>
      </c>
      <c r="O34" s="49">
        <v>1</v>
      </c>
      <c r="P34" s="45" t="s">
        <v>6</v>
      </c>
      <c r="Q34" s="23" t="s">
        <v>24</v>
      </c>
      <c r="R34" s="23" t="s">
        <v>25</v>
      </c>
      <c r="S34" s="23" t="s">
        <v>9</v>
      </c>
      <c r="T34" s="23">
        <f>SUMIFS($J$1:INDEX(J:J,ROW()-1),$I$1:INDEX(I:I,ROW()-1),"&lt;&gt;Totals:")</f>
        <v>10</v>
      </c>
      <c r="U34" s="22">
        <f>SUMIFS($M$1:INDEX(M:M,ROW()),$I$1:INDEX(I:I,ROW()),"&lt;&gt;*Totals:*")</f>
        <v>475</v>
      </c>
    </row>
    <row r="35" spans="1:21" ht="12.75" customHeight="1" x14ac:dyDescent="0.25">
      <c r="A35" s="47" t="s">
        <v>10</v>
      </c>
      <c r="B35" s="23" t="s">
        <v>33</v>
      </c>
      <c r="C35" s="28">
        <v>45525</v>
      </c>
      <c r="D35" s="30" t="s">
        <v>21</v>
      </c>
      <c r="E35" s="28" t="s">
        <v>12</v>
      </c>
      <c r="F35" s="28" t="s">
        <v>35</v>
      </c>
      <c r="G35" s="28">
        <v>45554</v>
      </c>
      <c r="H35" s="23" t="s">
        <v>5</v>
      </c>
      <c r="I35" s="33" t="s">
        <v>14</v>
      </c>
      <c r="J35" s="23">
        <v>1</v>
      </c>
      <c r="K35" s="23">
        <v>1</v>
      </c>
      <c r="L35" s="35">
        <v>0</v>
      </c>
      <c r="M35" s="23">
        <v>11</v>
      </c>
      <c r="N35" s="23">
        <v>11</v>
      </c>
      <c r="O35" s="49">
        <v>0</v>
      </c>
      <c r="P35" s="45" t="s">
        <v>6</v>
      </c>
      <c r="Q35" s="23" t="s">
        <v>24</v>
      </c>
      <c r="R35" s="23" t="s">
        <v>25</v>
      </c>
      <c r="S35" s="23" t="s">
        <v>9</v>
      </c>
      <c r="T35" s="23">
        <f>SUMIFS($J$1:INDEX(J:J,ROW()-1),$I$1:INDEX(I:I,ROW()-1),"&lt;&gt;Totals:")</f>
        <v>10</v>
      </c>
      <c r="U35" s="22">
        <f>SUMIFS($M$1:INDEX(M:M,ROW()),$I$1:INDEX(I:I,ROW()),"&lt;&gt;*Totals:*")</f>
        <v>486</v>
      </c>
    </row>
    <row r="36" spans="1:21" ht="12.75" customHeight="1" x14ac:dyDescent="0.25">
      <c r="A36" s="47" t="s">
        <v>15</v>
      </c>
      <c r="B36" s="23" t="s">
        <v>33</v>
      </c>
      <c r="C36" s="28">
        <v>45525</v>
      </c>
      <c r="D36" s="30" t="s">
        <v>21</v>
      </c>
      <c r="E36" s="28" t="s">
        <v>34</v>
      </c>
      <c r="F36" s="28" t="s">
        <v>22</v>
      </c>
      <c r="G36" s="28">
        <v>45554</v>
      </c>
      <c r="H36" s="23" t="s">
        <v>5</v>
      </c>
      <c r="I36" s="33"/>
      <c r="J36" s="23">
        <v>0</v>
      </c>
      <c r="K36" s="23">
        <v>1</v>
      </c>
      <c r="L36" s="35">
        <v>1</v>
      </c>
      <c r="M36" s="23">
        <v>4</v>
      </c>
      <c r="N36" s="23">
        <v>0</v>
      </c>
      <c r="O36" s="49">
        <v>1</v>
      </c>
      <c r="P36" s="45" t="s">
        <v>6</v>
      </c>
      <c r="Q36" s="23" t="s">
        <v>24</v>
      </c>
      <c r="R36" s="23" t="s">
        <v>25</v>
      </c>
      <c r="S36" s="23" t="s">
        <v>9</v>
      </c>
      <c r="T36" s="23">
        <f>SUMIFS($J$1:INDEX(J:J,ROW()-1),$I$1:INDEX(I:I,ROW()-1),"&lt;&gt;Totals:")</f>
        <v>11</v>
      </c>
      <c r="U36" s="22">
        <f>SUMIFS($M$1:INDEX(M:M,ROW()),$I$1:INDEX(I:I,ROW()),"&lt;&gt;*Totals:*")</f>
        <v>490</v>
      </c>
    </row>
    <row r="37" spans="1:21" ht="12.75" customHeight="1" x14ac:dyDescent="0.25">
      <c r="A37" s="47" t="s">
        <v>0</v>
      </c>
      <c r="B37" s="23" t="s">
        <v>42</v>
      </c>
      <c r="C37" s="28">
        <v>45526</v>
      </c>
      <c r="D37" s="30" t="s">
        <v>21</v>
      </c>
      <c r="E37" s="28" t="s">
        <v>12</v>
      </c>
      <c r="F37" s="28" t="s">
        <v>44</v>
      </c>
      <c r="G37" s="28">
        <v>45555</v>
      </c>
      <c r="H37" s="23" t="s">
        <v>5</v>
      </c>
      <c r="I37" s="33" t="s">
        <v>14</v>
      </c>
      <c r="J37" s="23">
        <v>1</v>
      </c>
      <c r="K37" s="23">
        <v>1</v>
      </c>
      <c r="L37" s="35">
        <v>0</v>
      </c>
      <c r="M37" s="23">
        <v>3</v>
      </c>
      <c r="N37" s="23">
        <v>3</v>
      </c>
      <c r="O37" s="49">
        <v>0</v>
      </c>
      <c r="P37" s="45" t="s">
        <v>6</v>
      </c>
      <c r="Q37" s="23" t="s">
        <v>24</v>
      </c>
      <c r="R37" s="23" t="s">
        <v>25</v>
      </c>
      <c r="S37" s="23" t="s">
        <v>9</v>
      </c>
      <c r="T37" s="23">
        <f>SUMIFS($J$1:INDEX(J:J,ROW()-1),$I$1:INDEX(I:I,ROW()-1),"&lt;&gt;Totals:")</f>
        <v>11</v>
      </c>
      <c r="U37" s="22">
        <f>SUMIFS($M$1:INDEX(M:M,ROW()),$I$1:INDEX(I:I,ROW()),"&lt;&gt;*Totals:*")</f>
        <v>493</v>
      </c>
    </row>
    <row r="38" spans="1:21" ht="12.75" customHeight="1" x14ac:dyDescent="0.25">
      <c r="A38" s="47" t="s">
        <v>26</v>
      </c>
      <c r="B38" s="23" t="s">
        <v>49</v>
      </c>
      <c r="C38" s="28">
        <v>45532</v>
      </c>
      <c r="D38" s="30" t="s">
        <v>21</v>
      </c>
      <c r="E38" s="28" t="s">
        <v>22</v>
      </c>
      <c r="F38" s="28" t="s">
        <v>50</v>
      </c>
      <c r="G38" s="28">
        <v>45561</v>
      </c>
      <c r="H38" s="23" t="s">
        <v>5</v>
      </c>
      <c r="I38" s="33"/>
      <c r="J38" s="23">
        <v>0</v>
      </c>
      <c r="K38" s="23">
        <v>1</v>
      </c>
      <c r="L38" s="35">
        <v>1</v>
      </c>
      <c r="M38" s="23">
        <v>1</v>
      </c>
      <c r="N38" s="23">
        <v>0</v>
      </c>
      <c r="O38" s="49">
        <v>1</v>
      </c>
      <c r="P38" s="45" t="s">
        <v>6</v>
      </c>
      <c r="Q38" s="23" t="s">
        <v>24</v>
      </c>
      <c r="R38" s="23" t="s">
        <v>25</v>
      </c>
      <c r="S38" s="23" t="s">
        <v>9</v>
      </c>
      <c r="T38" s="23">
        <f>SUMIFS($J$1:INDEX(J:J,ROW()-1),$I$1:INDEX(I:I,ROW()-1),"&lt;&gt;Totals:")</f>
        <v>12</v>
      </c>
      <c r="U38" s="22">
        <f>SUMIFS($M$1:INDEX(M:M,ROW()),$I$1:INDEX(I:I,ROW()),"&lt;&gt;*Totals:*")</f>
        <v>494</v>
      </c>
    </row>
    <row r="39" spans="1:21" ht="12.75" customHeight="1" x14ac:dyDescent="0.25">
      <c r="A39" s="47" t="s">
        <v>15</v>
      </c>
      <c r="B39" s="23" t="s">
        <v>33</v>
      </c>
      <c r="C39" s="28">
        <v>45534</v>
      </c>
      <c r="D39" s="30" t="s">
        <v>21</v>
      </c>
      <c r="E39" s="28" t="s">
        <v>34</v>
      </c>
      <c r="F39" s="28" t="s">
        <v>22</v>
      </c>
      <c r="G39" s="28">
        <v>45563</v>
      </c>
      <c r="H39" s="23" t="s">
        <v>5</v>
      </c>
      <c r="I39" s="33"/>
      <c r="J39" s="23">
        <v>0</v>
      </c>
      <c r="K39" s="23">
        <v>1</v>
      </c>
      <c r="L39" s="35">
        <v>1</v>
      </c>
      <c r="M39" s="23">
        <v>2</v>
      </c>
      <c r="N39" s="23">
        <v>0</v>
      </c>
      <c r="O39" s="49">
        <v>1</v>
      </c>
      <c r="P39" s="45" t="s">
        <v>6</v>
      </c>
      <c r="Q39" s="23" t="s">
        <v>24</v>
      </c>
      <c r="R39" s="23" t="s">
        <v>25</v>
      </c>
      <c r="S39" s="23" t="s">
        <v>9</v>
      </c>
      <c r="T39" s="23">
        <f>SUMIFS($J$1:INDEX(J:J,ROW()-1),$I$1:INDEX(I:I,ROW()-1),"&lt;&gt;Totals:")</f>
        <v>12</v>
      </c>
      <c r="U39" s="22">
        <f>SUMIFS($M$1:INDEX(M:M,ROW()),$I$1:INDEX(I:I,ROW()),"&lt;&gt;*Totals:*")</f>
        <v>496</v>
      </c>
    </row>
    <row r="40" spans="1:21" ht="12.75" customHeight="1" x14ac:dyDescent="0.25">
      <c r="A40" s="47" t="s">
        <v>10</v>
      </c>
      <c r="B40" s="23" t="s">
        <v>33</v>
      </c>
      <c r="C40" s="28">
        <v>45534</v>
      </c>
      <c r="D40" s="30" t="s">
        <v>21</v>
      </c>
      <c r="E40" s="28" t="s">
        <v>12</v>
      </c>
      <c r="F40" s="28" t="s">
        <v>35</v>
      </c>
      <c r="G40" s="28">
        <v>45563</v>
      </c>
      <c r="H40" s="23" t="s">
        <v>5</v>
      </c>
      <c r="I40" s="33" t="s">
        <v>14</v>
      </c>
      <c r="J40" s="23">
        <v>1</v>
      </c>
      <c r="K40" s="23">
        <v>1</v>
      </c>
      <c r="L40" s="35">
        <v>0</v>
      </c>
      <c r="M40" s="23">
        <v>6</v>
      </c>
      <c r="N40" s="23">
        <v>6</v>
      </c>
      <c r="O40" s="49">
        <v>0</v>
      </c>
      <c r="P40" s="45" t="s">
        <v>6</v>
      </c>
      <c r="Q40" s="23" t="s">
        <v>24</v>
      </c>
      <c r="R40" s="23" t="s">
        <v>25</v>
      </c>
      <c r="S40" s="23" t="s">
        <v>9</v>
      </c>
      <c r="T40" s="23">
        <f>SUMIFS($J$1:INDEX(J:J,ROW()-1),$I$1:INDEX(I:I,ROW()-1),"&lt;&gt;Totals:")</f>
        <v>12</v>
      </c>
      <c r="U40" s="22">
        <f>SUMIFS($M$1:INDEX(M:M,ROW()),$I$1:INDEX(I:I,ROW()),"&lt;&gt;*Totals:*")</f>
        <v>502</v>
      </c>
    </row>
    <row r="41" spans="1:21" ht="12.75" customHeight="1" thickBot="1" x14ac:dyDescent="0.3">
      <c r="A41" s="51" t="s">
        <v>0</v>
      </c>
      <c r="B41" s="20" t="s">
        <v>42</v>
      </c>
      <c r="C41" s="25">
        <v>45535</v>
      </c>
      <c r="D41" s="27" t="s">
        <v>21</v>
      </c>
      <c r="E41" s="25" t="s">
        <v>12</v>
      </c>
      <c r="F41" s="25" t="s">
        <v>44</v>
      </c>
      <c r="G41" s="25">
        <v>45564</v>
      </c>
      <c r="H41" s="20" t="s">
        <v>5</v>
      </c>
      <c r="I41" s="32" t="s">
        <v>14</v>
      </c>
      <c r="J41" s="20">
        <v>1</v>
      </c>
      <c r="K41" s="20">
        <v>1</v>
      </c>
      <c r="L41" s="34">
        <v>0</v>
      </c>
      <c r="M41" s="20">
        <v>6</v>
      </c>
      <c r="N41" s="20">
        <v>6</v>
      </c>
      <c r="O41" s="54">
        <v>0</v>
      </c>
      <c r="P41" s="45" t="s">
        <v>6</v>
      </c>
      <c r="Q41" s="23" t="s">
        <v>24</v>
      </c>
      <c r="R41" s="23" t="s">
        <v>25</v>
      </c>
      <c r="S41" s="23" t="s">
        <v>9</v>
      </c>
      <c r="T41" s="23">
        <f>SUMIFS($J$1:INDEX(J:J,ROW()-1),$I$1:INDEX(I:I,ROW()-1),"&lt;&gt;Totals:")</f>
        <v>13</v>
      </c>
      <c r="U41" s="22">
        <f>SUMIFS($M$1:INDEX(M:M,ROW()),$I$1:INDEX(I:I,ROW()),"&lt;&gt;*Totals:*")</f>
        <v>508</v>
      </c>
    </row>
    <row r="42" spans="1:21" ht="17.25" customHeight="1" x14ac:dyDescent="0.25">
      <c r="A42" s="60"/>
      <c r="B42" s="50"/>
      <c r="C42" s="55"/>
      <c r="D42" s="56"/>
      <c r="E42" s="56"/>
      <c r="F42" s="57"/>
      <c r="G42" s="57"/>
      <c r="H42" s="57"/>
      <c r="I42" s="58" t="s">
        <v>1087</v>
      </c>
      <c r="J42" s="57">
        <f>SUM(J20:J41)</f>
        <v>13</v>
      </c>
      <c r="K42" s="57">
        <f>SUM(K20:K41)</f>
        <v>22</v>
      </c>
      <c r="L42" s="59">
        <f>(SUM(K20:K41) - SUM(J20:J41)) / SUM(K20:K41)</f>
        <v>0.40909090909090912</v>
      </c>
      <c r="M42" s="57">
        <f>SUM(M20:M41)</f>
        <v>366</v>
      </c>
      <c r="N42" s="56">
        <f>SUM(N20:N41)</f>
        <v>216</v>
      </c>
      <c r="O42" s="61">
        <f>(SUM(M20:M41) - SUM(N20:N41)) / SUM(M20:M41)</f>
        <v>0.4098360655737705</v>
      </c>
      <c r="P42" s="52"/>
      <c r="Q42" s="53"/>
      <c r="R42" s="52"/>
      <c r="S42" s="52"/>
      <c r="T42" s="52"/>
      <c r="U42" s="52"/>
    </row>
    <row r="43" spans="1:21" x14ac:dyDescent="0.25">
      <c r="A43" s="70"/>
      <c r="B43" s="64"/>
      <c r="C43" s="64"/>
      <c r="D43" s="64"/>
      <c r="E43" s="64"/>
      <c r="F43" s="64"/>
      <c r="G43" s="64"/>
      <c r="H43" s="64"/>
      <c r="I43" s="65" t="s">
        <v>1088</v>
      </c>
      <c r="J43" s="64"/>
      <c r="K43" s="64"/>
      <c r="L43" s="65" t="s">
        <v>1089</v>
      </c>
      <c r="M43" s="64"/>
      <c r="N43" s="64"/>
      <c r="O43" s="72"/>
      <c r="P43" s="62"/>
      <c r="Q43" s="62"/>
      <c r="R43" s="62"/>
      <c r="S43" s="62"/>
      <c r="T43" s="62"/>
      <c r="U43" s="62"/>
    </row>
    <row r="44" spans="1:21" ht="15.75" thickBot="1" x14ac:dyDescent="0.3">
      <c r="A44" s="71"/>
      <c r="B44" s="66"/>
      <c r="C44" s="67"/>
      <c r="D44" s="66"/>
      <c r="E44" s="66"/>
      <c r="F44" s="66"/>
      <c r="G44" s="67"/>
      <c r="H44" s="66"/>
      <c r="I44" s="68">
        <v>13</v>
      </c>
      <c r="J44" s="66"/>
      <c r="K44" s="66"/>
      <c r="L44" s="69">
        <v>508</v>
      </c>
      <c r="M44" s="66"/>
      <c r="N44" s="66"/>
      <c r="O44" s="73"/>
      <c r="P44" s="63"/>
      <c r="Q44" s="63"/>
      <c r="R44" s="63"/>
      <c r="S44" s="63"/>
      <c r="T44" s="63"/>
      <c r="U44" s="63"/>
    </row>
    <row r="45" spans="1:21" ht="15.75" thickBot="1" x14ac:dyDescent="0.3">
      <c r="C45" s="1"/>
      <c r="G45" s="1"/>
    </row>
    <row r="46" spans="1:21" x14ac:dyDescent="0.25">
      <c r="A46" s="9"/>
      <c r="B46" s="10"/>
      <c r="C46" s="11"/>
      <c r="D46" s="11"/>
      <c r="E46" s="11"/>
      <c r="F46" s="11"/>
      <c r="G46" s="11"/>
      <c r="H46" s="12"/>
      <c r="I46" s="11"/>
      <c r="J46" s="13"/>
      <c r="K46" s="13"/>
      <c r="L46" s="13"/>
      <c r="M46" s="13"/>
      <c r="N46" s="11"/>
      <c r="O46" s="14"/>
      <c r="P46" s="4"/>
      <c r="Q46" s="5"/>
      <c r="R46" s="4"/>
      <c r="S46" s="4"/>
      <c r="T46" s="4"/>
      <c r="U46" s="4"/>
    </row>
    <row r="47" spans="1:21" x14ac:dyDescent="0.25">
      <c r="A47" s="6" t="s">
        <v>1067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15"/>
      <c r="P47" s="3"/>
      <c r="Q47" s="3"/>
      <c r="R47" s="3"/>
      <c r="S47" s="3"/>
      <c r="T47" s="3"/>
      <c r="U47" s="3"/>
    </row>
    <row r="48" spans="1:21" x14ac:dyDescent="0.25">
      <c r="A48" s="7" t="s">
        <v>55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15"/>
      <c r="P48" s="3"/>
      <c r="Q48" s="3"/>
      <c r="R48" s="3"/>
      <c r="S48" s="3"/>
      <c r="T48" s="3"/>
      <c r="U48" s="3"/>
    </row>
    <row r="49" spans="1:21" ht="15.75" thickBot="1" x14ac:dyDescent="0.3">
      <c r="A49" s="8"/>
      <c r="B49" s="8"/>
      <c r="C49" s="74"/>
      <c r="D49" s="8"/>
      <c r="E49" s="8"/>
      <c r="F49" s="8"/>
      <c r="G49" s="74"/>
      <c r="H49" s="8"/>
      <c r="I49" s="8"/>
      <c r="J49" s="8"/>
      <c r="K49" s="8"/>
      <c r="L49" s="8"/>
      <c r="M49" s="8"/>
      <c r="N49" s="8"/>
      <c r="O49" s="16"/>
      <c r="P49" s="3"/>
      <c r="Q49" s="3"/>
      <c r="R49" s="3"/>
      <c r="S49" s="3"/>
      <c r="T49" s="3"/>
      <c r="U49" s="3"/>
    </row>
    <row r="50" spans="1:21" ht="17.25" customHeight="1" thickBot="1" x14ac:dyDescent="0.3">
      <c r="A50" s="19" t="s">
        <v>1068</v>
      </c>
      <c r="B50" s="24" t="s">
        <v>1069</v>
      </c>
      <c r="C50" s="26" t="s">
        <v>1070</v>
      </c>
      <c r="D50" s="29" t="s">
        <v>1071</v>
      </c>
      <c r="E50" s="26" t="s">
        <v>1072</v>
      </c>
      <c r="F50" s="31" t="s">
        <v>1073</v>
      </c>
      <c r="G50" s="31" t="s">
        <v>1074</v>
      </c>
      <c r="H50" s="31" t="s">
        <v>1075</v>
      </c>
      <c r="I50" s="29" t="s">
        <v>14</v>
      </c>
      <c r="J50" s="29" t="s">
        <v>1076</v>
      </c>
      <c r="K50" s="29" t="s">
        <v>1077</v>
      </c>
      <c r="L50" s="29" t="s">
        <v>1078</v>
      </c>
      <c r="M50" s="29" t="s">
        <v>1079</v>
      </c>
      <c r="N50" s="29" t="s">
        <v>1080</v>
      </c>
      <c r="O50" s="36" t="s">
        <v>1081</v>
      </c>
      <c r="P50" s="37" t="s">
        <v>1082</v>
      </c>
      <c r="Q50" s="38" t="s">
        <v>1083</v>
      </c>
      <c r="R50" s="38" t="s">
        <v>1084</v>
      </c>
      <c r="S50" s="38" t="s">
        <v>1085</v>
      </c>
      <c r="T50" s="38" t="s">
        <v>1086</v>
      </c>
      <c r="U50" s="39" t="s">
        <v>1086</v>
      </c>
    </row>
    <row r="51" spans="1:21" ht="12.75" customHeight="1" x14ac:dyDescent="0.25">
      <c r="A51" s="46" t="s">
        <v>29</v>
      </c>
      <c r="B51" s="40" t="s">
        <v>51</v>
      </c>
      <c r="C51" s="41">
        <v>45536</v>
      </c>
      <c r="D51" s="42" t="s">
        <v>52</v>
      </c>
      <c r="E51" s="41" t="s">
        <v>53</v>
      </c>
      <c r="F51" s="41" t="s">
        <v>54</v>
      </c>
      <c r="G51" s="41">
        <v>45565</v>
      </c>
      <c r="H51" s="40" t="s">
        <v>5</v>
      </c>
      <c r="I51" s="43" t="s">
        <v>14</v>
      </c>
      <c r="J51" s="40">
        <v>1</v>
      </c>
      <c r="K51" s="40">
        <v>1</v>
      </c>
      <c r="L51" s="44">
        <v>0</v>
      </c>
      <c r="M51" s="40">
        <v>10</v>
      </c>
      <c r="N51" s="40">
        <v>10</v>
      </c>
      <c r="O51" s="48">
        <v>0</v>
      </c>
      <c r="P51" s="45" t="s">
        <v>6</v>
      </c>
      <c r="Q51" s="23" t="s">
        <v>55</v>
      </c>
      <c r="R51" s="23" t="s">
        <v>56</v>
      </c>
      <c r="S51" s="23" t="s">
        <v>9</v>
      </c>
      <c r="T51" s="23">
        <f>SUMIFS($J$1:INDEX(J:J,ROW()-1),$I$1:INDEX(I:I,ROW()-1),"&lt;&gt;Totals:")</f>
        <v>14</v>
      </c>
      <c r="U51" s="22">
        <f>SUMIFS($M$1:INDEX(M:M,ROW()),$I$1:INDEX(I:I,ROW()),"&lt;&gt;*Totals:*")</f>
        <v>518</v>
      </c>
    </row>
    <row r="52" spans="1:21" ht="12.75" customHeight="1" x14ac:dyDescent="0.25">
      <c r="A52" s="47" t="s">
        <v>29</v>
      </c>
      <c r="B52" s="23" t="s">
        <v>57</v>
      </c>
      <c r="C52" s="28">
        <v>45536</v>
      </c>
      <c r="D52" s="30" t="s">
        <v>52</v>
      </c>
      <c r="E52" s="28" t="s">
        <v>53</v>
      </c>
      <c r="F52" s="28" t="s">
        <v>34</v>
      </c>
      <c r="G52" s="28">
        <v>45565</v>
      </c>
      <c r="H52" s="23" t="s">
        <v>5</v>
      </c>
      <c r="I52" s="33" t="s">
        <v>14</v>
      </c>
      <c r="J52" s="23">
        <v>1</v>
      </c>
      <c r="K52" s="23">
        <v>1</v>
      </c>
      <c r="L52" s="35">
        <v>0</v>
      </c>
      <c r="M52" s="23">
        <v>16</v>
      </c>
      <c r="N52" s="23">
        <v>16</v>
      </c>
      <c r="O52" s="49">
        <v>0</v>
      </c>
      <c r="P52" s="45" t="s">
        <v>6</v>
      </c>
      <c r="Q52" s="23" t="s">
        <v>55</v>
      </c>
      <c r="R52" s="23" t="s">
        <v>56</v>
      </c>
      <c r="S52" s="23" t="s">
        <v>9</v>
      </c>
      <c r="T52" s="23">
        <f>SUMIFS($J$1:INDEX(J:J,ROW()-1),$I$1:INDEX(I:I,ROW()-1),"&lt;&gt;Totals:")</f>
        <v>15</v>
      </c>
      <c r="U52" s="22">
        <f>SUMIFS($M$1:INDEX(M:M,ROW()),$I$1:INDEX(I:I,ROW()),"&lt;&gt;*Totals:*")</f>
        <v>534</v>
      </c>
    </row>
    <row r="53" spans="1:21" ht="12.75" customHeight="1" x14ac:dyDescent="0.25">
      <c r="A53" s="47" t="s">
        <v>26</v>
      </c>
      <c r="B53" s="23" t="s">
        <v>58</v>
      </c>
      <c r="C53" s="28">
        <v>45537</v>
      </c>
      <c r="D53" s="30" t="s">
        <v>52</v>
      </c>
      <c r="E53" s="28" t="s">
        <v>59</v>
      </c>
      <c r="F53" s="28" t="s">
        <v>54</v>
      </c>
      <c r="G53" s="28">
        <v>45566</v>
      </c>
      <c r="H53" s="23" t="s">
        <v>5</v>
      </c>
      <c r="I53" s="33" t="s">
        <v>14</v>
      </c>
      <c r="J53" s="23">
        <v>1</v>
      </c>
      <c r="K53" s="23">
        <v>1</v>
      </c>
      <c r="L53" s="35">
        <v>0</v>
      </c>
      <c r="M53" s="23">
        <v>4</v>
      </c>
      <c r="N53" s="23">
        <v>4</v>
      </c>
      <c r="O53" s="49">
        <v>0</v>
      </c>
      <c r="P53" s="45" t="s">
        <v>6</v>
      </c>
      <c r="Q53" s="23" t="s">
        <v>55</v>
      </c>
      <c r="R53" s="23" t="s">
        <v>56</v>
      </c>
      <c r="S53" s="23" t="s">
        <v>9</v>
      </c>
      <c r="T53" s="23">
        <f>SUMIFS($J$1:INDEX(J:J,ROW()-1),$I$1:INDEX(I:I,ROW()-1),"&lt;&gt;Totals:")</f>
        <v>16</v>
      </c>
      <c r="U53" s="22">
        <f>SUMIFS($M$1:INDEX(M:M,ROW()),$I$1:INDEX(I:I,ROW()),"&lt;&gt;*Totals:*")</f>
        <v>538</v>
      </c>
    </row>
    <row r="54" spans="1:21" ht="12.75" customHeight="1" x14ac:dyDescent="0.25">
      <c r="A54" s="47" t="s">
        <v>26</v>
      </c>
      <c r="B54" s="23" t="s">
        <v>60</v>
      </c>
      <c r="C54" s="28">
        <v>45537</v>
      </c>
      <c r="D54" s="30" t="s">
        <v>52</v>
      </c>
      <c r="E54" s="28" t="s">
        <v>59</v>
      </c>
      <c r="F54" s="28" t="s">
        <v>61</v>
      </c>
      <c r="G54" s="28">
        <v>45566</v>
      </c>
      <c r="H54" s="23" t="s">
        <v>5</v>
      </c>
      <c r="I54" s="33" t="s">
        <v>14</v>
      </c>
      <c r="J54" s="23">
        <v>1</v>
      </c>
      <c r="K54" s="23">
        <v>1</v>
      </c>
      <c r="L54" s="35">
        <v>0</v>
      </c>
      <c r="M54" s="23">
        <v>1</v>
      </c>
      <c r="N54" s="23">
        <v>1</v>
      </c>
      <c r="O54" s="49">
        <v>0</v>
      </c>
      <c r="P54" s="45" t="s">
        <v>6</v>
      </c>
      <c r="Q54" s="23" t="s">
        <v>55</v>
      </c>
      <c r="R54" s="23" t="s">
        <v>56</v>
      </c>
      <c r="S54" s="23" t="s">
        <v>9</v>
      </c>
      <c r="T54" s="23">
        <f>SUMIFS($J$1:INDEX(J:J,ROW()-1),$I$1:INDEX(I:I,ROW()-1),"&lt;&gt;Totals:")</f>
        <v>17</v>
      </c>
      <c r="U54" s="22">
        <f>SUMIFS($M$1:INDEX(M:M,ROW()),$I$1:INDEX(I:I,ROW()),"&lt;&gt;*Totals:*")</f>
        <v>539</v>
      </c>
    </row>
    <row r="55" spans="1:21" ht="12.75" customHeight="1" x14ac:dyDescent="0.25">
      <c r="A55" s="47" t="s">
        <v>17</v>
      </c>
      <c r="B55" s="23" t="s">
        <v>62</v>
      </c>
      <c r="C55" s="28">
        <v>45537</v>
      </c>
      <c r="D55" s="30" t="s">
        <v>52</v>
      </c>
      <c r="E55" s="28" t="s">
        <v>53</v>
      </c>
      <c r="F55" s="28" t="s">
        <v>63</v>
      </c>
      <c r="G55" s="28">
        <v>45566</v>
      </c>
      <c r="H55" s="23" t="s">
        <v>5</v>
      </c>
      <c r="I55" s="33" t="s">
        <v>14</v>
      </c>
      <c r="J55" s="23">
        <v>1</v>
      </c>
      <c r="K55" s="23">
        <v>1</v>
      </c>
      <c r="L55" s="35">
        <v>0</v>
      </c>
      <c r="M55" s="23">
        <v>30</v>
      </c>
      <c r="N55" s="23">
        <v>30</v>
      </c>
      <c r="O55" s="49">
        <v>0</v>
      </c>
      <c r="P55" s="45" t="s">
        <v>6</v>
      </c>
      <c r="Q55" s="23" t="s">
        <v>55</v>
      </c>
      <c r="R55" s="23" t="s">
        <v>56</v>
      </c>
      <c r="S55" s="23" t="s">
        <v>9</v>
      </c>
      <c r="T55" s="23">
        <f>SUMIFS($J$1:INDEX(J:J,ROW()-1),$I$1:INDEX(I:I,ROW()-1),"&lt;&gt;Totals:")</f>
        <v>18</v>
      </c>
      <c r="U55" s="22">
        <f>SUMIFS($M$1:INDEX(M:M,ROW()),$I$1:INDEX(I:I,ROW()),"&lt;&gt;*Totals:*")</f>
        <v>569</v>
      </c>
    </row>
    <row r="56" spans="1:21" ht="12.75" customHeight="1" x14ac:dyDescent="0.25">
      <c r="A56" s="47" t="s">
        <v>26</v>
      </c>
      <c r="B56" s="23" t="s">
        <v>64</v>
      </c>
      <c r="C56" s="28">
        <v>45537</v>
      </c>
      <c r="D56" s="30" t="s">
        <v>52</v>
      </c>
      <c r="E56" s="28" t="s">
        <v>59</v>
      </c>
      <c r="F56" s="28" t="s">
        <v>54</v>
      </c>
      <c r="G56" s="28">
        <v>45566</v>
      </c>
      <c r="H56" s="23" t="s">
        <v>5</v>
      </c>
      <c r="I56" s="33" t="s">
        <v>14</v>
      </c>
      <c r="J56" s="23">
        <v>1</v>
      </c>
      <c r="K56" s="23">
        <v>1</v>
      </c>
      <c r="L56" s="35">
        <v>0</v>
      </c>
      <c r="M56" s="23">
        <v>14</v>
      </c>
      <c r="N56" s="23">
        <v>14</v>
      </c>
      <c r="O56" s="49">
        <v>0</v>
      </c>
      <c r="P56" s="45" t="s">
        <v>6</v>
      </c>
      <c r="Q56" s="23" t="s">
        <v>55</v>
      </c>
      <c r="R56" s="23" t="s">
        <v>56</v>
      </c>
      <c r="S56" s="23" t="s">
        <v>9</v>
      </c>
      <c r="T56" s="23">
        <f>SUMIFS($J$1:INDEX(J:J,ROW()-1),$I$1:INDEX(I:I,ROW()-1),"&lt;&gt;Totals:")</f>
        <v>19</v>
      </c>
      <c r="U56" s="22">
        <f>SUMIFS($M$1:INDEX(M:M,ROW()),$I$1:INDEX(I:I,ROW()),"&lt;&gt;*Totals:*")</f>
        <v>583</v>
      </c>
    </row>
    <row r="57" spans="1:21" ht="12.75" customHeight="1" x14ac:dyDescent="0.25">
      <c r="A57" s="47" t="s">
        <v>17</v>
      </c>
      <c r="B57" s="23" t="s">
        <v>65</v>
      </c>
      <c r="C57" s="28">
        <v>45538</v>
      </c>
      <c r="D57" s="30" t="s">
        <v>52</v>
      </c>
      <c r="E57" s="28" t="s">
        <v>53</v>
      </c>
      <c r="F57" s="28" t="s">
        <v>35</v>
      </c>
      <c r="G57" s="28">
        <v>45567</v>
      </c>
      <c r="H57" s="23" t="s">
        <v>5</v>
      </c>
      <c r="I57" s="33" t="s">
        <v>14</v>
      </c>
      <c r="J57" s="23">
        <v>1</v>
      </c>
      <c r="K57" s="23">
        <v>1</v>
      </c>
      <c r="L57" s="35">
        <v>0</v>
      </c>
      <c r="M57" s="23">
        <v>1</v>
      </c>
      <c r="N57" s="23">
        <v>1</v>
      </c>
      <c r="O57" s="49">
        <v>0</v>
      </c>
      <c r="P57" s="45" t="s">
        <v>6</v>
      </c>
      <c r="Q57" s="23" t="s">
        <v>55</v>
      </c>
      <c r="R57" s="23" t="s">
        <v>56</v>
      </c>
      <c r="S57" s="23" t="s">
        <v>9</v>
      </c>
      <c r="T57" s="23">
        <f>SUMIFS($J$1:INDEX(J:J,ROW()-1),$I$1:INDEX(I:I,ROW()-1),"&lt;&gt;Totals:")</f>
        <v>20</v>
      </c>
      <c r="U57" s="22">
        <f>SUMIFS($M$1:INDEX(M:M,ROW()),$I$1:INDEX(I:I,ROW()),"&lt;&gt;*Totals:*")</f>
        <v>584</v>
      </c>
    </row>
    <row r="58" spans="1:21" ht="12.75" customHeight="1" x14ac:dyDescent="0.25">
      <c r="A58" s="47" t="s">
        <v>26</v>
      </c>
      <c r="B58" s="23" t="s">
        <v>66</v>
      </c>
      <c r="C58" s="28">
        <v>45544</v>
      </c>
      <c r="D58" s="30" t="s">
        <v>52</v>
      </c>
      <c r="E58" s="28" t="s">
        <v>59</v>
      </c>
      <c r="F58" s="28" t="s">
        <v>67</v>
      </c>
      <c r="G58" s="28">
        <v>45573</v>
      </c>
      <c r="H58" s="23" t="s">
        <v>5</v>
      </c>
      <c r="I58" s="33" t="s">
        <v>14</v>
      </c>
      <c r="J58" s="23">
        <v>1</v>
      </c>
      <c r="K58" s="23">
        <v>1</v>
      </c>
      <c r="L58" s="35">
        <v>0</v>
      </c>
      <c r="M58" s="23">
        <v>1</v>
      </c>
      <c r="N58" s="23">
        <v>1</v>
      </c>
      <c r="O58" s="49">
        <v>0</v>
      </c>
      <c r="P58" s="45" t="s">
        <v>6</v>
      </c>
      <c r="Q58" s="23" t="s">
        <v>55</v>
      </c>
      <c r="R58" s="23" t="s">
        <v>56</v>
      </c>
      <c r="S58" s="23" t="s">
        <v>9</v>
      </c>
      <c r="T58" s="23">
        <f>SUMIFS($J$1:INDEX(J:J,ROW()-1),$I$1:INDEX(I:I,ROW()-1),"&lt;&gt;Totals:")</f>
        <v>21</v>
      </c>
      <c r="U58" s="22">
        <f>SUMIFS($M$1:INDEX(M:M,ROW()),$I$1:INDEX(I:I,ROW()),"&lt;&gt;*Totals:*")</f>
        <v>585</v>
      </c>
    </row>
    <row r="59" spans="1:21" ht="12.75" customHeight="1" x14ac:dyDescent="0.25">
      <c r="A59" s="47" t="s">
        <v>36</v>
      </c>
      <c r="B59" s="23" t="s">
        <v>68</v>
      </c>
      <c r="C59" s="28">
        <v>45544</v>
      </c>
      <c r="D59" s="30" t="s">
        <v>52</v>
      </c>
      <c r="E59" s="28" t="s">
        <v>59</v>
      </c>
      <c r="F59" s="28" t="s">
        <v>34</v>
      </c>
      <c r="G59" s="28">
        <v>45573</v>
      </c>
      <c r="H59" s="23" t="s">
        <v>5</v>
      </c>
      <c r="I59" s="33" t="s">
        <v>14</v>
      </c>
      <c r="J59" s="23">
        <v>1</v>
      </c>
      <c r="K59" s="23">
        <v>1</v>
      </c>
      <c r="L59" s="35">
        <v>0</v>
      </c>
      <c r="M59" s="23">
        <v>5</v>
      </c>
      <c r="N59" s="23">
        <v>5</v>
      </c>
      <c r="O59" s="49">
        <v>0</v>
      </c>
      <c r="P59" s="45" t="s">
        <v>6</v>
      </c>
      <c r="Q59" s="23" t="s">
        <v>55</v>
      </c>
      <c r="R59" s="23" t="s">
        <v>56</v>
      </c>
      <c r="S59" s="23" t="s">
        <v>9</v>
      </c>
      <c r="T59" s="23">
        <f>SUMIFS($J$1:INDEX(J:J,ROW()-1),$I$1:INDEX(I:I,ROW()-1),"&lt;&gt;Totals:")</f>
        <v>22</v>
      </c>
      <c r="U59" s="22">
        <f>SUMIFS($M$1:INDEX(M:M,ROW()),$I$1:INDEX(I:I,ROW()),"&lt;&gt;*Totals:*")</f>
        <v>590</v>
      </c>
    </row>
    <row r="60" spans="1:21" ht="12.75" customHeight="1" x14ac:dyDescent="0.25">
      <c r="A60" s="47" t="s">
        <v>10</v>
      </c>
      <c r="B60" s="23" t="s">
        <v>69</v>
      </c>
      <c r="C60" s="28">
        <v>45544</v>
      </c>
      <c r="D60" s="30" t="s">
        <v>52</v>
      </c>
      <c r="E60" s="28" t="s">
        <v>70</v>
      </c>
      <c r="F60" s="28" t="s">
        <v>71</v>
      </c>
      <c r="G60" s="28">
        <v>45573</v>
      </c>
      <c r="H60" s="23" t="s">
        <v>5</v>
      </c>
      <c r="I60" s="33"/>
      <c r="J60" s="23">
        <v>0</v>
      </c>
      <c r="K60" s="23">
        <v>1</v>
      </c>
      <c r="L60" s="35">
        <v>1</v>
      </c>
      <c r="M60" s="23">
        <v>103</v>
      </c>
      <c r="N60" s="23">
        <v>0</v>
      </c>
      <c r="O60" s="49">
        <v>1</v>
      </c>
      <c r="P60" s="45" t="s">
        <v>6</v>
      </c>
      <c r="Q60" s="23" t="s">
        <v>55</v>
      </c>
      <c r="R60" s="23" t="s">
        <v>56</v>
      </c>
      <c r="S60" s="23" t="s">
        <v>9</v>
      </c>
      <c r="T60" s="23">
        <f>SUMIFS($J$1:INDEX(J:J,ROW()-1),$I$1:INDEX(I:I,ROW()-1),"&lt;&gt;Totals:")</f>
        <v>23</v>
      </c>
      <c r="U60" s="22">
        <f>SUMIFS($M$1:INDEX(M:M,ROW()),$I$1:INDEX(I:I,ROW()),"&lt;&gt;*Totals:*")</f>
        <v>693</v>
      </c>
    </row>
    <row r="61" spans="1:21" ht="12.75" customHeight="1" x14ac:dyDescent="0.25">
      <c r="A61" s="47" t="s">
        <v>15</v>
      </c>
      <c r="B61" s="23" t="s">
        <v>69</v>
      </c>
      <c r="C61" s="28">
        <v>45544</v>
      </c>
      <c r="D61" s="30" t="s">
        <v>52</v>
      </c>
      <c r="E61" s="28" t="s">
        <v>59</v>
      </c>
      <c r="F61" s="28" t="s">
        <v>71</v>
      </c>
      <c r="G61" s="28">
        <v>45573</v>
      </c>
      <c r="H61" s="23" t="s">
        <v>5</v>
      </c>
      <c r="I61" s="33" t="s">
        <v>14</v>
      </c>
      <c r="J61" s="23">
        <v>1</v>
      </c>
      <c r="K61" s="23">
        <v>1</v>
      </c>
      <c r="L61" s="35">
        <v>0</v>
      </c>
      <c r="M61" s="23">
        <v>27</v>
      </c>
      <c r="N61" s="23">
        <v>27</v>
      </c>
      <c r="O61" s="49">
        <v>0</v>
      </c>
      <c r="P61" s="45" t="s">
        <v>6</v>
      </c>
      <c r="Q61" s="23" t="s">
        <v>55</v>
      </c>
      <c r="R61" s="23" t="s">
        <v>56</v>
      </c>
      <c r="S61" s="23" t="s">
        <v>9</v>
      </c>
      <c r="T61" s="23">
        <f>SUMIFS($J$1:INDEX(J:J,ROW()-1),$I$1:INDEX(I:I,ROW()-1),"&lt;&gt;Totals:")</f>
        <v>23</v>
      </c>
      <c r="U61" s="22">
        <f>SUMIFS($M$1:INDEX(M:M,ROW()),$I$1:INDEX(I:I,ROW()),"&lt;&gt;*Totals:*")</f>
        <v>720</v>
      </c>
    </row>
    <row r="62" spans="1:21" ht="12.75" customHeight="1" x14ac:dyDescent="0.25">
      <c r="A62" s="47" t="s">
        <v>15</v>
      </c>
      <c r="B62" s="23" t="s">
        <v>69</v>
      </c>
      <c r="C62" s="28">
        <v>45547</v>
      </c>
      <c r="D62" s="30" t="s">
        <v>52</v>
      </c>
      <c r="E62" s="28" t="s">
        <v>59</v>
      </c>
      <c r="F62" s="28" t="s">
        <v>71</v>
      </c>
      <c r="G62" s="28">
        <v>45576</v>
      </c>
      <c r="H62" s="23" t="s">
        <v>5</v>
      </c>
      <c r="I62" s="33" t="s">
        <v>14</v>
      </c>
      <c r="J62" s="23">
        <v>1</v>
      </c>
      <c r="K62" s="23">
        <v>1</v>
      </c>
      <c r="L62" s="35">
        <v>0</v>
      </c>
      <c r="M62" s="23">
        <v>1</v>
      </c>
      <c r="N62" s="23">
        <v>1</v>
      </c>
      <c r="O62" s="49">
        <v>0</v>
      </c>
      <c r="P62" s="45" t="s">
        <v>6</v>
      </c>
      <c r="Q62" s="23" t="s">
        <v>55</v>
      </c>
      <c r="R62" s="23" t="s">
        <v>56</v>
      </c>
      <c r="S62" s="23" t="s">
        <v>9</v>
      </c>
      <c r="T62" s="23">
        <f>SUMIFS($J$1:INDEX(J:J,ROW()-1),$I$1:INDEX(I:I,ROW()-1),"&lt;&gt;Totals:")</f>
        <v>24</v>
      </c>
      <c r="U62" s="22">
        <f>SUMIFS($M$1:INDEX(M:M,ROW()),$I$1:INDEX(I:I,ROW()),"&lt;&gt;*Totals:*")</f>
        <v>721</v>
      </c>
    </row>
    <row r="63" spans="1:21" ht="12.75" customHeight="1" x14ac:dyDescent="0.25">
      <c r="A63" s="47" t="s">
        <v>0</v>
      </c>
      <c r="B63" s="23" t="s">
        <v>72</v>
      </c>
      <c r="C63" s="28">
        <v>45547</v>
      </c>
      <c r="D63" s="30" t="s">
        <v>52</v>
      </c>
      <c r="E63" s="28" t="s">
        <v>73</v>
      </c>
      <c r="F63" s="28" t="s">
        <v>74</v>
      </c>
      <c r="G63" s="28">
        <v>45576</v>
      </c>
      <c r="H63" s="23" t="s">
        <v>5</v>
      </c>
      <c r="I63" s="33"/>
      <c r="J63" s="23">
        <v>0</v>
      </c>
      <c r="K63" s="23">
        <v>1</v>
      </c>
      <c r="L63" s="35">
        <v>1</v>
      </c>
      <c r="M63" s="23">
        <v>132</v>
      </c>
      <c r="N63" s="23">
        <v>0</v>
      </c>
      <c r="O63" s="49">
        <v>1</v>
      </c>
      <c r="P63" s="45" t="s">
        <v>6</v>
      </c>
      <c r="Q63" s="23" t="s">
        <v>55</v>
      </c>
      <c r="R63" s="23" t="s">
        <v>56</v>
      </c>
      <c r="S63" s="23" t="s">
        <v>9</v>
      </c>
      <c r="T63" s="23">
        <f>SUMIFS($J$1:INDEX(J:J,ROW()-1),$I$1:INDEX(I:I,ROW()-1),"&lt;&gt;Totals:")</f>
        <v>25</v>
      </c>
      <c r="U63" s="22">
        <f>SUMIFS($M$1:INDEX(M:M,ROW()),$I$1:INDEX(I:I,ROW()),"&lt;&gt;*Totals:*")</f>
        <v>853</v>
      </c>
    </row>
    <row r="64" spans="1:21" ht="12.75" customHeight="1" x14ac:dyDescent="0.25">
      <c r="A64" s="47" t="s">
        <v>10</v>
      </c>
      <c r="B64" s="23" t="s">
        <v>69</v>
      </c>
      <c r="C64" s="28">
        <v>45547</v>
      </c>
      <c r="D64" s="30" t="s">
        <v>52</v>
      </c>
      <c r="E64" s="28" t="s">
        <v>12</v>
      </c>
      <c r="F64" s="28" t="s">
        <v>71</v>
      </c>
      <c r="G64" s="28">
        <v>45576</v>
      </c>
      <c r="H64" s="23" t="s">
        <v>5</v>
      </c>
      <c r="I64" s="33" t="s">
        <v>14</v>
      </c>
      <c r="J64" s="23">
        <v>1</v>
      </c>
      <c r="K64" s="23">
        <v>1</v>
      </c>
      <c r="L64" s="35">
        <v>0</v>
      </c>
      <c r="M64" s="23">
        <v>6</v>
      </c>
      <c r="N64" s="23">
        <v>6</v>
      </c>
      <c r="O64" s="49">
        <v>0</v>
      </c>
      <c r="P64" s="45" t="s">
        <v>6</v>
      </c>
      <c r="Q64" s="23" t="s">
        <v>55</v>
      </c>
      <c r="R64" s="23" t="s">
        <v>56</v>
      </c>
      <c r="S64" s="23" t="s">
        <v>9</v>
      </c>
      <c r="T64" s="23">
        <f>SUMIFS($J$1:INDEX(J:J,ROW()-1),$I$1:INDEX(I:I,ROW()-1),"&lt;&gt;Totals:")</f>
        <v>25</v>
      </c>
      <c r="U64" s="22">
        <f>SUMIFS($M$1:INDEX(M:M,ROW()),$I$1:INDEX(I:I,ROW()),"&lt;&gt;*Totals:*")</f>
        <v>859</v>
      </c>
    </row>
    <row r="65" spans="1:21" ht="12.75" customHeight="1" x14ac:dyDescent="0.25">
      <c r="A65" s="47" t="s">
        <v>17</v>
      </c>
      <c r="B65" s="23" t="s">
        <v>65</v>
      </c>
      <c r="C65" s="28">
        <v>45547</v>
      </c>
      <c r="D65" s="30" t="s">
        <v>52</v>
      </c>
      <c r="E65" s="28" t="s">
        <v>53</v>
      </c>
      <c r="F65" s="28" t="s">
        <v>35</v>
      </c>
      <c r="G65" s="28">
        <v>45576</v>
      </c>
      <c r="H65" s="23" t="s">
        <v>5</v>
      </c>
      <c r="I65" s="33" t="s">
        <v>14</v>
      </c>
      <c r="J65" s="23">
        <v>1</v>
      </c>
      <c r="K65" s="23">
        <v>1</v>
      </c>
      <c r="L65" s="35">
        <v>0</v>
      </c>
      <c r="M65" s="23">
        <v>1</v>
      </c>
      <c r="N65" s="23">
        <v>1</v>
      </c>
      <c r="O65" s="49">
        <v>0</v>
      </c>
      <c r="P65" s="45" t="s">
        <v>6</v>
      </c>
      <c r="Q65" s="23" t="s">
        <v>55</v>
      </c>
      <c r="R65" s="23" t="s">
        <v>56</v>
      </c>
      <c r="S65" s="23" t="s">
        <v>9</v>
      </c>
      <c r="T65" s="23">
        <f>SUMIFS($J$1:INDEX(J:J,ROW()-1),$I$1:INDEX(I:I,ROW()-1),"&lt;&gt;Totals:")</f>
        <v>26</v>
      </c>
      <c r="U65" s="22">
        <f>SUMIFS($M$1:INDEX(M:M,ROW()),$I$1:INDEX(I:I,ROW()),"&lt;&gt;*Totals:*")</f>
        <v>860</v>
      </c>
    </row>
    <row r="66" spans="1:21" ht="12.75" customHeight="1" thickBot="1" x14ac:dyDescent="0.3">
      <c r="A66" s="51" t="s">
        <v>10</v>
      </c>
      <c r="B66" s="20" t="s">
        <v>75</v>
      </c>
      <c r="C66" s="25">
        <v>45565</v>
      </c>
      <c r="D66" s="27" t="s">
        <v>52</v>
      </c>
      <c r="E66" s="25" t="s">
        <v>12</v>
      </c>
      <c r="F66" s="25" t="s">
        <v>76</v>
      </c>
      <c r="G66" s="25">
        <v>45594</v>
      </c>
      <c r="H66" s="20" t="s">
        <v>5</v>
      </c>
      <c r="I66" s="32" t="s">
        <v>14</v>
      </c>
      <c r="J66" s="20">
        <v>1</v>
      </c>
      <c r="K66" s="20">
        <v>1</v>
      </c>
      <c r="L66" s="34">
        <v>0</v>
      </c>
      <c r="M66" s="20">
        <v>2</v>
      </c>
      <c r="N66" s="20">
        <v>2</v>
      </c>
      <c r="O66" s="54">
        <v>0</v>
      </c>
      <c r="P66" s="45" t="s">
        <v>6</v>
      </c>
      <c r="Q66" s="23" t="s">
        <v>55</v>
      </c>
      <c r="R66" s="23" t="s">
        <v>56</v>
      </c>
      <c r="S66" s="23" t="s">
        <v>9</v>
      </c>
      <c r="T66" s="23">
        <f>SUMIFS($J$1:INDEX(J:J,ROW()-1),$I$1:INDEX(I:I,ROW()-1),"&lt;&gt;Totals:")</f>
        <v>27</v>
      </c>
      <c r="U66" s="22">
        <f>SUMIFS($M$1:INDEX(M:M,ROW()),$I$1:INDEX(I:I,ROW()),"&lt;&gt;*Totals:*")</f>
        <v>862</v>
      </c>
    </row>
    <row r="67" spans="1:21" ht="17.25" customHeight="1" x14ac:dyDescent="0.25">
      <c r="A67" s="60"/>
      <c r="B67" s="50"/>
      <c r="C67" s="55"/>
      <c r="D67" s="56"/>
      <c r="E67" s="56"/>
      <c r="F67" s="57"/>
      <c r="G67" s="57"/>
      <c r="H67" s="57"/>
      <c r="I67" s="58" t="s">
        <v>1087</v>
      </c>
      <c r="J67" s="57">
        <f>SUM(J51:J66)</f>
        <v>14</v>
      </c>
      <c r="K67" s="57">
        <f>SUM(K51:K66)</f>
        <v>16</v>
      </c>
      <c r="L67" s="59">
        <f>(SUM(K51:K66) - SUM(J51:J66)) / SUM(K51:K66)</f>
        <v>0.125</v>
      </c>
      <c r="M67" s="57">
        <f>SUM(M51:M66)</f>
        <v>354</v>
      </c>
      <c r="N67" s="56">
        <f>SUM(N51:N66)</f>
        <v>119</v>
      </c>
      <c r="O67" s="61">
        <f>(SUM(M51:M66) - SUM(N51:N66)) / SUM(M51:M66)</f>
        <v>0.66384180790960456</v>
      </c>
      <c r="P67" s="52"/>
      <c r="Q67" s="53"/>
      <c r="R67" s="52"/>
      <c r="S67" s="52"/>
      <c r="T67" s="52"/>
      <c r="U67" s="52"/>
    </row>
    <row r="68" spans="1:21" x14ac:dyDescent="0.25">
      <c r="A68" s="70"/>
      <c r="B68" s="64"/>
      <c r="C68" s="64"/>
      <c r="D68" s="64"/>
      <c r="E68" s="64"/>
      <c r="F68" s="64"/>
      <c r="G68" s="64"/>
      <c r="H68" s="64"/>
      <c r="I68" s="65" t="s">
        <v>1088</v>
      </c>
      <c r="J68" s="64"/>
      <c r="K68" s="64"/>
      <c r="L68" s="65" t="s">
        <v>1089</v>
      </c>
      <c r="M68" s="64"/>
      <c r="N68" s="64"/>
      <c r="O68" s="72"/>
      <c r="P68" s="62"/>
      <c r="Q68" s="62"/>
      <c r="R68" s="62"/>
      <c r="S68" s="62"/>
      <c r="T68" s="62"/>
      <c r="U68" s="62"/>
    </row>
    <row r="69" spans="1:21" ht="15.75" thickBot="1" x14ac:dyDescent="0.3">
      <c r="A69" s="71"/>
      <c r="B69" s="66"/>
      <c r="C69" s="67"/>
      <c r="D69" s="66"/>
      <c r="E69" s="66"/>
      <c r="F69" s="66"/>
      <c r="G69" s="67"/>
      <c r="H69" s="66"/>
      <c r="I69" s="68">
        <v>27</v>
      </c>
      <c r="J69" s="66"/>
      <c r="K69" s="66"/>
      <c r="L69" s="69">
        <v>862</v>
      </c>
      <c r="M69" s="66"/>
      <c r="N69" s="66"/>
      <c r="O69" s="73"/>
      <c r="P69" s="63"/>
      <c r="Q69" s="63"/>
      <c r="R69" s="63"/>
      <c r="S69" s="63"/>
      <c r="T69" s="63"/>
      <c r="U69" s="63"/>
    </row>
    <row r="70" spans="1:21" ht="15.75" thickBot="1" x14ac:dyDescent="0.3">
      <c r="C70" s="1"/>
      <c r="G70" s="1"/>
    </row>
    <row r="71" spans="1:21" x14ac:dyDescent="0.25">
      <c r="A71" s="9"/>
      <c r="B71" s="10"/>
      <c r="C71" s="11"/>
      <c r="D71" s="11"/>
      <c r="E71" s="11"/>
      <c r="F71" s="11"/>
      <c r="G71" s="11"/>
      <c r="H71" s="12"/>
      <c r="I71" s="11"/>
      <c r="J71" s="13"/>
      <c r="K71" s="13"/>
      <c r="L71" s="13"/>
      <c r="M71" s="13"/>
      <c r="N71" s="11"/>
      <c r="O71" s="14"/>
      <c r="P71" s="4"/>
      <c r="Q71" s="5"/>
      <c r="R71" s="4"/>
      <c r="S71" s="4"/>
      <c r="T71" s="4"/>
      <c r="U71" s="4"/>
    </row>
    <row r="72" spans="1:21" x14ac:dyDescent="0.25">
      <c r="A72" s="6" t="s">
        <v>1067</v>
      </c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15"/>
      <c r="P72" s="3"/>
      <c r="Q72" s="3"/>
      <c r="R72" s="3"/>
      <c r="S72" s="3"/>
      <c r="T72" s="3"/>
      <c r="U72" s="3"/>
    </row>
    <row r="73" spans="1:21" x14ac:dyDescent="0.25">
      <c r="A73" s="7" t="s">
        <v>81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15"/>
      <c r="P73" s="3"/>
      <c r="Q73" s="3"/>
      <c r="R73" s="3"/>
      <c r="S73" s="3"/>
      <c r="T73" s="3"/>
      <c r="U73" s="3"/>
    </row>
    <row r="74" spans="1:21" ht="15.75" thickBot="1" x14ac:dyDescent="0.3">
      <c r="A74" s="8"/>
      <c r="B74" s="8"/>
      <c r="C74" s="74"/>
      <c r="D74" s="8"/>
      <c r="E74" s="8"/>
      <c r="F74" s="8"/>
      <c r="G74" s="74"/>
      <c r="H74" s="8"/>
      <c r="I74" s="8"/>
      <c r="J74" s="8"/>
      <c r="K74" s="8"/>
      <c r="L74" s="8"/>
      <c r="M74" s="8"/>
      <c r="N74" s="8"/>
      <c r="O74" s="16"/>
      <c r="P74" s="3"/>
      <c r="Q74" s="3"/>
      <c r="R74" s="3"/>
      <c r="S74" s="3"/>
      <c r="T74" s="3"/>
      <c r="U74" s="3"/>
    </row>
    <row r="75" spans="1:21" ht="17.25" customHeight="1" thickBot="1" x14ac:dyDescent="0.3">
      <c r="A75" s="19" t="s">
        <v>1068</v>
      </c>
      <c r="B75" s="24" t="s">
        <v>1069</v>
      </c>
      <c r="C75" s="26" t="s">
        <v>1070</v>
      </c>
      <c r="D75" s="29" t="s">
        <v>1071</v>
      </c>
      <c r="E75" s="26" t="s">
        <v>1072</v>
      </c>
      <c r="F75" s="31" t="s">
        <v>1073</v>
      </c>
      <c r="G75" s="31" t="s">
        <v>1074</v>
      </c>
      <c r="H75" s="31" t="s">
        <v>1075</v>
      </c>
      <c r="I75" s="29" t="s">
        <v>14</v>
      </c>
      <c r="J75" s="29" t="s">
        <v>1076</v>
      </c>
      <c r="K75" s="29" t="s">
        <v>1077</v>
      </c>
      <c r="L75" s="29" t="s">
        <v>1078</v>
      </c>
      <c r="M75" s="29" t="s">
        <v>1079</v>
      </c>
      <c r="N75" s="29" t="s">
        <v>1080</v>
      </c>
      <c r="O75" s="36" t="s">
        <v>1081</v>
      </c>
      <c r="P75" s="37" t="s">
        <v>1082</v>
      </c>
      <c r="Q75" s="38" t="s">
        <v>1083</v>
      </c>
      <c r="R75" s="38" t="s">
        <v>1084</v>
      </c>
      <c r="S75" s="38" t="s">
        <v>1085</v>
      </c>
      <c r="T75" s="38" t="s">
        <v>1086</v>
      </c>
      <c r="U75" s="39" t="s">
        <v>1086</v>
      </c>
    </row>
    <row r="76" spans="1:21" ht="12.75" customHeight="1" x14ac:dyDescent="0.25">
      <c r="A76" s="46" t="s">
        <v>29</v>
      </c>
      <c r="B76" s="40" t="s">
        <v>77</v>
      </c>
      <c r="C76" s="41">
        <v>45566</v>
      </c>
      <c r="D76" s="42" t="s">
        <v>78</v>
      </c>
      <c r="E76" s="41" t="s">
        <v>79</v>
      </c>
      <c r="F76" s="41" t="s">
        <v>80</v>
      </c>
      <c r="G76" s="41">
        <v>45595</v>
      </c>
      <c r="H76" s="40" t="s">
        <v>5</v>
      </c>
      <c r="I76" s="43" t="s">
        <v>14</v>
      </c>
      <c r="J76" s="40">
        <v>1</v>
      </c>
      <c r="K76" s="40">
        <v>1</v>
      </c>
      <c r="L76" s="44">
        <v>0</v>
      </c>
      <c r="M76" s="40">
        <v>9</v>
      </c>
      <c r="N76" s="40">
        <v>9</v>
      </c>
      <c r="O76" s="48">
        <v>0</v>
      </c>
      <c r="P76" s="45" t="s">
        <v>6</v>
      </c>
      <c r="Q76" s="23" t="s">
        <v>81</v>
      </c>
      <c r="R76" s="23" t="s">
        <v>82</v>
      </c>
      <c r="S76" s="23" t="s">
        <v>9</v>
      </c>
      <c r="T76" s="23">
        <f>SUMIFS($J$1:INDEX(J:J,ROW()-1),$I$1:INDEX(I:I,ROW()-1),"&lt;&gt;Totals:")</f>
        <v>28</v>
      </c>
      <c r="U76" s="22">
        <f>SUMIFS($M$1:INDEX(M:M,ROW()),$I$1:INDEX(I:I,ROW()),"&lt;&gt;*Totals:*")</f>
        <v>871</v>
      </c>
    </row>
    <row r="77" spans="1:21" ht="12.75" customHeight="1" x14ac:dyDescent="0.25">
      <c r="A77" s="47" t="s">
        <v>26</v>
      </c>
      <c r="B77" s="23" t="s">
        <v>83</v>
      </c>
      <c r="C77" s="28">
        <v>45566</v>
      </c>
      <c r="D77" s="30" t="s">
        <v>78</v>
      </c>
      <c r="E77" s="28" t="s">
        <v>84</v>
      </c>
      <c r="F77" s="28" t="s">
        <v>85</v>
      </c>
      <c r="G77" s="28">
        <v>45595</v>
      </c>
      <c r="H77" s="23" t="s">
        <v>5</v>
      </c>
      <c r="I77" s="33" t="s">
        <v>14</v>
      </c>
      <c r="J77" s="23">
        <v>1</v>
      </c>
      <c r="K77" s="23">
        <v>1</v>
      </c>
      <c r="L77" s="35">
        <v>0</v>
      </c>
      <c r="M77" s="23">
        <v>15</v>
      </c>
      <c r="N77" s="23">
        <v>15</v>
      </c>
      <c r="O77" s="49">
        <v>0</v>
      </c>
      <c r="P77" s="45" t="s">
        <v>6</v>
      </c>
      <c r="Q77" s="23" t="s">
        <v>81</v>
      </c>
      <c r="R77" s="23" t="s">
        <v>82</v>
      </c>
      <c r="S77" s="23" t="s">
        <v>9</v>
      </c>
      <c r="T77" s="23">
        <f>SUMIFS($J$1:INDEX(J:J,ROW()-1),$I$1:INDEX(I:I,ROW()-1),"&lt;&gt;Totals:")</f>
        <v>29</v>
      </c>
      <c r="U77" s="22">
        <f>SUMIFS($M$1:INDEX(M:M,ROW()),$I$1:INDEX(I:I,ROW()),"&lt;&gt;*Totals:*")</f>
        <v>886</v>
      </c>
    </row>
    <row r="78" spans="1:21" ht="12.75" customHeight="1" x14ac:dyDescent="0.25">
      <c r="A78" s="47" t="s">
        <v>26</v>
      </c>
      <c r="B78" s="23" t="s">
        <v>86</v>
      </c>
      <c r="C78" s="28">
        <v>45566</v>
      </c>
      <c r="D78" s="30" t="s">
        <v>78</v>
      </c>
      <c r="E78" s="28" t="s">
        <v>84</v>
      </c>
      <c r="F78" s="28" t="s">
        <v>87</v>
      </c>
      <c r="G78" s="28">
        <v>45595</v>
      </c>
      <c r="H78" s="23" t="s">
        <v>5</v>
      </c>
      <c r="I78" s="33" t="s">
        <v>14</v>
      </c>
      <c r="J78" s="23">
        <v>1</v>
      </c>
      <c r="K78" s="23">
        <v>1</v>
      </c>
      <c r="L78" s="35">
        <v>0</v>
      </c>
      <c r="M78" s="23">
        <v>4</v>
      </c>
      <c r="N78" s="23">
        <v>4</v>
      </c>
      <c r="O78" s="49">
        <v>0</v>
      </c>
      <c r="P78" s="45" t="s">
        <v>6</v>
      </c>
      <c r="Q78" s="23" t="s">
        <v>81</v>
      </c>
      <c r="R78" s="23" t="s">
        <v>82</v>
      </c>
      <c r="S78" s="23" t="s">
        <v>9</v>
      </c>
      <c r="T78" s="23">
        <f>SUMIFS($J$1:INDEX(J:J,ROW()-1),$I$1:INDEX(I:I,ROW()-1),"&lt;&gt;Totals:")</f>
        <v>30</v>
      </c>
      <c r="U78" s="22">
        <f>SUMIFS($M$1:INDEX(M:M,ROW()),$I$1:INDEX(I:I,ROW()),"&lt;&gt;*Totals:*")</f>
        <v>890</v>
      </c>
    </row>
    <row r="79" spans="1:21" ht="12.75" customHeight="1" x14ac:dyDescent="0.25">
      <c r="A79" s="47" t="s">
        <v>29</v>
      </c>
      <c r="B79" s="23" t="s">
        <v>88</v>
      </c>
      <c r="C79" s="28">
        <v>45566</v>
      </c>
      <c r="D79" s="30" t="s">
        <v>78</v>
      </c>
      <c r="E79" s="28" t="s">
        <v>79</v>
      </c>
      <c r="F79" s="28" t="s">
        <v>76</v>
      </c>
      <c r="G79" s="28">
        <v>45595</v>
      </c>
      <c r="H79" s="23" t="s">
        <v>5</v>
      </c>
      <c r="I79" s="33" t="s">
        <v>14</v>
      </c>
      <c r="J79" s="23">
        <v>1</v>
      </c>
      <c r="K79" s="23">
        <v>1</v>
      </c>
      <c r="L79" s="35">
        <v>0</v>
      </c>
      <c r="M79" s="23">
        <v>17</v>
      </c>
      <c r="N79" s="23">
        <v>17</v>
      </c>
      <c r="O79" s="49">
        <v>0</v>
      </c>
      <c r="P79" s="45" t="s">
        <v>6</v>
      </c>
      <c r="Q79" s="23" t="s">
        <v>81</v>
      </c>
      <c r="R79" s="23" t="s">
        <v>82</v>
      </c>
      <c r="S79" s="23" t="s">
        <v>9</v>
      </c>
      <c r="T79" s="23">
        <f>SUMIFS($J$1:INDEX(J:J,ROW()-1),$I$1:INDEX(I:I,ROW()-1),"&lt;&gt;Totals:")</f>
        <v>31</v>
      </c>
      <c r="U79" s="22">
        <f>SUMIFS($M$1:INDEX(M:M,ROW()),$I$1:INDEX(I:I,ROW()),"&lt;&gt;*Totals:*")</f>
        <v>907</v>
      </c>
    </row>
    <row r="80" spans="1:21" ht="12.75" customHeight="1" x14ac:dyDescent="0.25">
      <c r="A80" s="47" t="s">
        <v>17</v>
      </c>
      <c r="B80" s="23" t="s">
        <v>89</v>
      </c>
      <c r="C80" s="28">
        <v>45566</v>
      </c>
      <c r="D80" s="30" t="s">
        <v>78</v>
      </c>
      <c r="E80" s="28" t="s">
        <v>84</v>
      </c>
      <c r="F80" s="28" t="s">
        <v>80</v>
      </c>
      <c r="G80" s="28">
        <v>45595</v>
      </c>
      <c r="H80" s="23" t="s">
        <v>5</v>
      </c>
      <c r="I80" s="33" t="s">
        <v>14</v>
      </c>
      <c r="J80" s="23">
        <v>1</v>
      </c>
      <c r="K80" s="23">
        <v>1</v>
      </c>
      <c r="L80" s="35">
        <v>0</v>
      </c>
      <c r="M80" s="23">
        <v>19</v>
      </c>
      <c r="N80" s="23">
        <v>19</v>
      </c>
      <c r="O80" s="49">
        <v>0</v>
      </c>
      <c r="P80" s="45" t="s">
        <v>6</v>
      </c>
      <c r="Q80" s="23" t="s">
        <v>81</v>
      </c>
      <c r="R80" s="23" t="s">
        <v>82</v>
      </c>
      <c r="S80" s="23" t="s">
        <v>9</v>
      </c>
      <c r="T80" s="23">
        <f>SUMIFS($J$1:INDEX(J:J,ROW()-1),$I$1:INDEX(I:I,ROW()-1),"&lt;&gt;Totals:")</f>
        <v>32</v>
      </c>
      <c r="U80" s="22">
        <f>SUMIFS($M$1:INDEX(M:M,ROW()),$I$1:INDEX(I:I,ROW()),"&lt;&gt;*Totals:*")</f>
        <v>926</v>
      </c>
    </row>
    <row r="81" spans="1:21" ht="12.75" customHeight="1" x14ac:dyDescent="0.25">
      <c r="A81" s="47" t="s">
        <v>26</v>
      </c>
      <c r="B81" s="23" t="s">
        <v>90</v>
      </c>
      <c r="C81" s="28">
        <v>45572</v>
      </c>
      <c r="D81" s="30" t="s">
        <v>78</v>
      </c>
      <c r="E81" s="28" t="s">
        <v>84</v>
      </c>
      <c r="F81" s="28" t="s">
        <v>80</v>
      </c>
      <c r="G81" s="28">
        <v>45601</v>
      </c>
      <c r="H81" s="23" t="s">
        <v>5</v>
      </c>
      <c r="I81" s="33" t="s">
        <v>14</v>
      </c>
      <c r="J81" s="23">
        <v>1</v>
      </c>
      <c r="K81" s="23">
        <v>1</v>
      </c>
      <c r="L81" s="35">
        <v>0</v>
      </c>
      <c r="M81" s="23">
        <v>1</v>
      </c>
      <c r="N81" s="23">
        <v>1</v>
      </c>
      <c r="O81" s="49">
        <v>0</v>
      </c>
      <c r="P81" s="45" t="s">
        <v>6</v>
      </c>
      <c r="Q81" s="23" t="s">
        <v>81</v>
      </c>
      <c r="R81" s="23" t="s">
        <v>82</v>
      </c>
      <c r="S81" s="23" t="s">
        <v>9</v>
      </c>
      <c r="T81" s="23">
        <f>SUMIFS($J$1:INDEX(J:J,ROW()-1),$I$1:INDEX(I:I,ROW()-1),"&lt;&gt;Totals:")</f>
        <v>33</v>
      </c>
      <c r="U81" s="22">
        <f>SUMIFS($M$1:INDEX(M:M,ROW()),$I$1:INDEX(I:I,ROW()),"&lt;&gt;*Totals:*")</f>
        <v>927</v>
      </c>
    </row>
    <row r="82" spans="1:21" ht="12.75" customHeight="1" x14ac:dyDescent="0.25">
      <c r="A82" s="47" t="s">
        <v>29</v>
      </c>
      <c r="B82" s="23" t="s">
        <v>91</v>
      </c>
      <c r="C82" s="28">
        <v>45572</v>
      </c>
      <c r="D82" s="30" t="s">
        <v>78</v>
      </c>
      <c r="E82" s="28" t="s">
        <v>79</v>
      </c>
      <c r="F82" s="28" t="s">
        <v>73</v>
      </c>
      <c r="G82" s="28">
        <v>45601</v>
      </c>
      <c r="H82" s="23" t="s">
        <v>5</v>
      </c>
      <c r="I82" s="33"/>
      <c r="J82" s="23">
        <v>0</v>
      </c>
      <c r="K82" s="23">
        <v>1</v>
      </c>
      <c r="L82" s="35">
        <v>1</v>
      </c>
      <c r="M82" s="23">
        <v>1</v>
      </c>
      <c r="N82" s="23">
        <v>0</v>
      </c>
      <c r="O82" s="49">
        <v>1</v>
      </c>
      <c r="P82" s="45" t="s">
        <v>6</v>
      </c>
      <c r="Q82" s="23" t="s">
        <v>81</v>
      </c>
      <c r="R82" s="23" t="s">
        <v>82</v>
      </c>
      <c r="S82" s="23" t="s">
        <v>9</v>
      </c>
      <c r="T82" s="23">
        <f>SUMIFS($J$1:INDEX(J:J,ROW()-1),$I$1:INDEX(I:I,ROW()-1),"&lt;&gt;Totals:")</f>
        <v>34</v>
      </c>
      <c r="U82" s="22">
        <f>SUMIFS($M$1:INDEX(M:M,ROW()),$I$1:INDEX(I:I,ROW()),"&lt;&gt;*Totals:*")</f>
        <v>928</v>
      </c>
    </row>
    <row r="83" spans="1:21" ht="12.75" customHeight="1" x14ac:dyDescent="0.25">
      <c r="A83" s="47" t="s">
        <v>10</v>
      </c>
      <c r="B83" s="23" t="s">
        <v>92</v>
      </c>
      <c r="C83" s="28">
        <v>45575</v>
      </c>
      <c r="D83" s="30" t="s">
        <v>78</v>
      </c>
      <c r="E83" s="28" t="s">
        <v>12</v>
      </c>
      <c r="F83" s="28" t="s">
        <v>93</v>
      </c>
      <c r="G83" s="28">
        <v>45604</v>
      </c>
      <c r="H83" s="23" t="s">
        <v>5</v>
      </c>
      <c r="I83" s="33" t="s">
        <v>14</v>
      </c>
      <c r="J83" s="23">
        <v>1</v>
      </c>
      <c r="K83" s="23">
        <v>1</v>
      </c>
      <c r="L83" s="35">
        <v>0</v>
      </c>
      <c r="M83" s="23">
        <v>98</v>
      </c>
      <c r="N83" s="23">
        <v>98</v>
      </c>
      <c r="O83" s="49">
        <v>0</v>
      </c>
      <c r="P83" s="45" t="s">
        <v>6</v>
      </c>
      <c r="Q83" s="23" t="s">
        <v>81</v>
      </c>
      <c r="R83" s="23" t="s">
        <v>82</v>
      </c>
      <c r="S83" s="23" t="s">
        <v>9</v>
      </c>
      <c r="T83" s="23">
        <f>SUMIFS($J$1:INDEX(J:J,ROW()-1),$I$1:INDEX(I:I,ROW()-1),"&lt;&gt;Totals:")</f>
        <v>34</v>
      </c>
      <c r="U83" s="22">
        <f>SUMIFS($M$1:INDEX(M:M,ROW()),$I$1:INDEX(I:I,ROW()),"&lt;&gt;*Totals:*")</f>
        <v>1026</v>
      </c>
    </row>
    <row r="84" spans="1:21" ht="12.75" customHeight="1" x14ac:dyDescent="0.25">
      <c r="A84" s="47" t="s">
        <v>36</v>
      </c>
      <c r="B84" s="23" t="s">
        <v>94</v>
      </c>
      <c r="C84" s="28">
        <v>45575</v>
      </c>
      <c r="D84" s="30" t="s">
        <v>78</v>
      </c>
      <c r="E84" s="28" t="s">
        <v>79</v>
      </c>
      <c r="F84" s="28" t="s">
        <v>53</v>
      </c>
      <c r="G84" s="28">
        <v>45604</v>
      </c>
      <c r="H84" s="23" t="s">
        <v>5</v>
      </c>
      <c r="I84" s="33"/>
      <c r="J84" s="23">
        <v>0</v>
      </c>
      <c r="K84" s="23">
        <v>1</v>
      </c>
      <c r="L84" s="35">
        <v>1</v>
      </c>
      <c r="M84" s="23">
        <v>5</v>
      </c>
      <c r="N84" s="23">
        <v>0</v>
      </c>
      <c r="O84" s="49">
        <v>1</v>
      </c>
      <c r="P84" s="45" t="s">
        <v>6</v>
      </c>
      <c r="Q84" s="23" t="s">
        <v>81</v>
      </c>
      <c r="R84" s="23" t="s">
        <v>82</v>
      </c>
      <c r="S84" s="23" t="s">
        <v>9</v>
      </c>
      <c r="T84" s="23">
        <f>SUMIFS($J$1:INDEX(J:J,ROW()-1),$I$1:INDEX(I:I,ROW()-1),"&lt;&gt;Totals:")</f>
        <v>35</v>
      </c>
      <c r="U84" s="22">
        <f>SUMIFS($M$1:INDEX(M:M,ROW()),$I$1:INDEX(I:I,ROW()),"&lt;&gt;*Totals:*")</f>
        <v>1031</v>
      </c>
    </row>
    <row r="85" spans="1:21" ht="12.75" customHeight="1" x14ac:dyDescent="0.25">
      <c r="A85" s="47" t="s">
        <v>15</v>
      </c>
      <c r="B85" s="23" t="s">
        <v>92</v>
      </c>
      <c r="C85" s="28">
        <v>45575</v>
      </c>
      <c r="D85" s="30" t="s">
        <v>78</v>
      </c>
      <c r="E85" s="28" t="s">
        <v>95</v>
      </c>
      <c r="F85" s="28" t="s">
        <v>93</v>
      </c>
      <c r="G85" s="28">
        <v>45604</v>
      </c>
      <c r="H85" s="23" t="s">
        <v>5</v>
      </c>
      <c r="I85" s="33" t="s">
        <v>14</v>
      </c>
      <c r="J85" s="23">
        <v>1</v>
      </c>
      <c r="K85" s="23">
        <v>1</v>
      </c>
      <c r="L85" s="35">
        <v>0</v>
      </c>
      <c r="M85" s="23">
        <v>29</v>
      </c>
      <c r="N85" s="23">
        <v>29</v>
      </c>
      <c r="O85" s="49">
        <v>0</v>
      </c>
      <c r="P85" s="45" t="s">
        <v>6</v>
      </c>
      <c r="Q85" s="23" t="s">
        <v>81</v>
      </c>
      <c r="R85" s="23" t="s">
        <v>82</v>
      </c>
      <c r="S85" s="23" t="s">
        <v>9</v>
      </c>
      <c r="T85" s="23">
        <f>SUMIFS($J$1:INDEX(J:J,ROW()-1),$I$1:INDEX(I:I,ROW()-1),"&lt;&gt;Totals:")</f>
        <v>35</v>
      </c>
      <c r="U85" s="22">
        <f>SUMIFS($M$1:INDEX(M:M,ROW()),$I$1:INDEX(I:I,ROW()),"&lt;&gt;*Totals:*")</f>
        <v>1060</v>
      </c>
    </row>
    <row r="86" spans="1:21" ht="12.75" customHeight="1" x14ac:dyDescent="0.25">
      <c r="A86" s="47" t="s">
        <v>40</v>
      </c>
      <c r="B86" s="23" t="s">
        <v>96</v>
      </c>
      <c r="C86" s="28">
        <v>45575</v>
      </c>
      <c r="D86" s="30" t="s">
        <v>78</v>
      </c>
      <c r="E86" s="28" t="s">
        <v>84</v>
      </c>
      <c r="F86" s="28" t="s">
        <v>59</v>
      </c>
      <c r="G86" s="28">
        <v>45604</v>
      </c>
      <c r="H86" s="23" t="s">
        <v>5</v>
      </c>
      <c r="I86" s="33"/>
      <c r="J86" s="23">
        <v>0</v>
      </c>
      <c r="K86" s="23">
        <v>1</v>
      </c>
      <c r="L86" s="35">
        <v>1</v>
      </c>
      <c r="M86" s="23">
        <v>12</v>
      </c>
      <c r="N86" s="23">
        <v>0</v>
      </c>
      <c r="O86" s="49">
        <v>1</v>
      </c>
      <c r="P86" s="45" t="s">
        <v>6</v>
      </c>
      <c r="Q86" s="23" t="s">
        <v>81</v>
      </c>
      <c r="R86" s="23" t="s">
        <v>82</v>
      </c>
      <c r="S86" s="23" t="s">
        <v>9</v>
      </c>
      <c r="T86" s="23">
        <f>SUMIFS($J$1:INDEX(J:J,ROW()-1),$I$1:INDEX(I:I,ROW()-1),"&lt;&gt;Totals:")</f>
        <v>36</v>
      </c>
      <c r="U86" s="22">
        <f>SUMIFS($M$1:INDEX(M:M,ROW()),$I$1:INDEX(I:I,ROW()),"&lt;&gt;*Totals:*")</f>
        <v>1072</v>
      </c>
    </row>
    <row r="87" spans="1:21" ht="12.75" customHeight="1" x14ac:dyDescent="0.25">
      <c r="A87" s="47" t="s">
        <v>15</v>
      </c>
      <c r="B87" s="23" t="s">
        <v>92</v>
      </c>
      <c r="C87" s="28">
        <v>45576</v>
      </c>
      <c r="D87" s="30" t="s">
        <v>78</v>
      </c>
      <c r="E87" s="28" t="s">
        <v>95</v>
      </c>
      <c r="F87" s="28" t="s">
        <v>93</v>
      </c>
      <c r="G87" s="28">
        <v>45605</v>
      </c>
      <c r="H87" s="23" t="s">
        <v>5</v>
      </c>
      <c r="I87" s="33" t="s">
        <v>14</v>
      </c>
      <c r="J87" s="23">
        <v>1</v>
      </c>
      <c r="K87" s="23">
        <v>1</v>
      </c>
      <c r="L87" s="35">
        <v>0</v>
      </c>
      <c r="M87" s="23">
        <v>2</v>
      </c>
      <c r="N87" s="23">
        <v>2</v>
      </c>
      <c r="O87" s="49">
        <v>0</v>
      </c>
      <c r="P87" s="45" t="s">
        <v>6</v>
      </c>
      <c r="Q87" s="23" t="s">
        <v>81</v>
      </c>
      <c r="R87" s="23" t="s">
        <v>82</v>
      </c>
      <c r="S87" s="23" t="s">
        <v>9</v>
      </c>
      <c r="T87" s="23">
        <f>SUMIFS($J$1:INDEX(J:J,ROW()-1),$I$1:INDEX(I:I,ROW()-1),"&lt;&gt;Totals:")</f>
        <v>36</v>
      </c>
      <c r="U87" s="22">
        <f>SUMIFS($M$1:INDEX(M:M,ROW()),$I$1:INDEX(I:I,ROW()),"&lt;&gt;*Totals:*")</f>
        <v>1074</v>
      </c>
    </row>
    <row r="88" spans="1:21" ht="12.75" customHeight="1" x14ac:dyDescent="0.25">
      <c r="A88" s="47" t="s">
        <v>29</v>
      </c>
      <c r="B88" s="23" t="s">
        <v>91</v>
      </c>
      <c r="C88" s="28">
        <v>45576</v>
      </c>
      <c r="D88" s="30" t="s">
        <v>78</v>
      </c>
      <c r="E88" s="28" t="s">
        <v>79</v>
      </c>
      <c r="F88" s="28" t="s">
        <v>73</v>
      </c>
      <c r="G88" s="28">
        <v>45605</v>
      </c>
      <c r="H88" s="23" t="s">
        <v>5</v>
      </c>
      <c r="I88" s="33"/>
      <c r="J88" s="23">
        <v>0</v>
      </c>
      <c r="K88" s="23">
        <v>1</v>
      </c>
      <c r="L88" s="35">
        <v>1</v>
      </c>
      <c r="M88" s="23">
        <v>1</v>
      </c>
      <c r="N88" s="23">
        <v>0</v>
      </c>
      <c r="O88" s="49">
        <v>1</v>
      </c>
      <c r="P88" s="45" t="s">
        <v>6</v>
      </c>
      <c r="Q88" s="23" t="s">
        <v>81</v>
      </c>
      <c r="R88" s="23" t="s">
        <v>82</v>
      </c>
      <c r="S88" s="23" t="s">
        <v>9</v>
      </c>
      <c r="T88" s="23">
        <f>SUMIFS($J$1:INDEX(J:J,ROW()-1),$I$1:INDEX(I:I,ROW()-1),"&lt;&gt;Totals:")</f>
        <v>37</v>
      </c>
      <c r="U88" s="22">
        <f>SUMIFS($M$1:INDEX(M:M,ROW()),$I$1:INDEX(I:I,ROW()),"&lt;&gt;*Totals:*")</f>
        <v>1075</v>
      </c>
    </row>
    <row r="89" spans="1:21" ht="12.75" customHeight="1" x14ac:dyDescent="0.25">
      <c r="A89" s="47" t="s">
        <v>10</v>
      </c>
      <c r="B89" s="23" t="s">
        <v>92</v>
      </c>
      <c r="C89" s="28">
        <v>45576</v>
      </c>
      <c r="D89" s="30" t="s">
        <v>78</v>
      </c>
      <c r="E89" s="28" t="s">
        <v>12</v>
      </c>
      <c r="F89" s="28" t="s">
        <v>93</v>
      </c>
      <c r="G89" s="28">
        <v>45605</v>
      </c>
      <c r="H89" s="23" t="s">
        <v>5</v>
      </c>
      <c r="I89" s="33" t="s">
        <v>14</v>
      </c>
      <c r="J89" s="23">
        <v>1</v>
      </c>
      <c r="K89" s="23">
        <v>1</v>
      </c>
      <c r="L89" s="35">
        <v>0</v>
      </c>
      <c r="M89" s="23">
        <v>5</v>
      </c>
      <c r="N89" s="23">
        <v>5</v>
      </c>
      <c r="O89" s="49">
        <v>0</v>
      </c>
      <c r="P89" s="45" t="s">
        <v>6</v>
      </c>
      <c r="Q89" s="23" t="s">
        <v>81</v>
      </c>
      <c r="R89" s="23" t="s">
        <v>82</v>
      </c>
      <c r="S89" s="23" t="s">
        <v>9</v>
      </c>
      <c r="T89" s="23">
        <f>SUMIFS($J$1:INDEX(J:J,ROW()-1),$I$1:INDEX(I:I,ROW()-1),"&lt;&gt;Totals:")</f>
        <v>37</v>
      </c>
      <c r="U89" s="22">
        <f>SUMIFS($M$1:INDEX(M:M,ROW()),$I$1:INDEX(I:I,ROW()),"&lt;&gt;*Totals:*")</f>
        <v>1080</v>
      </c>
    </row>
    <row r="90" spans="1:21" ht="12.75" customHeight="1" x14ac:dyDescent="0.25">
      <c r="A90" s="47" t="s">
        <v>0</v>
      </c>
      <c r="B90" s="23" t="s">
        <v>97</v>
      </c>
      <c r="C90" s="28">
        <v>45577</v>
      </c>
      <c r="D90" s="30" t="s">
        <v>78</v>
      </c>
      <c r="E90" s="28" t="s">
        <v>98</v>
      </c>
      <c r="F90" s="28" t="s">
        <v>99</v>
      </c>
      <c r="G90" s="28">
        <v>45606</v>
      </c>
      <c r="H90" s="23" t="s">
        <v>5</v>
      </c>
      <c r="I90" s="33"/>
      <c r="J90" s="23">
        <v>0</v>
      </c>
      <c r="K90" s="23">
        <v>1</v>
      </c>
      <c r="L90" s="35">
        <v>1</v>
      </c>
      <c r="M90" s="23">
        <v>144</v>
      </c>
      <c r="N90" s="23">
        <v>0</v>
      </c>
      <c r="O90" s="49">
        <v>1</v>
      </c>
      <c r="P90" s="45" t="s">
        <v>6</v>
      </c>
      <c r="Q90" s="23" t="s">
        <v>81</v>
      </c>
      <c r="R90" s="23" t="s">
        <v>82</v>
      </c>
      <c r="S90" s="23" t="s">
        <v>9</v>
      </c>
      <c r="T90" s="23">
        <f>SUMIFS($J$1:INDEX(J:J,ROW()-1),$I$1:INDEX(I:I,ROW()-1),"&lt;&gt;Totals:")</f>
        <v>38</v>
      </c>
      <c r="U90" s="22">
        <f>SUMIFS($M$1:INDEX(M:M,ROW()),$I$1:INDEX(I:I,ROW()),"&lt;&gt;*Totals:*")</f>
        <v>1224</v>
      </c>
    </row>
    <row r="91" spans="1:21" ht="12.75" customHeight="1" x14ac:dyDescent="0.25">
      <c r="A91" s="47" t="s">
        <v>10</v>
      </c>
      <c r="B91" s="23" t="s">
        <v>92</v>
      </c>
      <c r="C91" s="28">
        <v>45581</v>
      </c>
      <c r="D91" s="30" t="s">
        <v>78</v>
      </c>
      <c r="E91" s="28" t="s">
        <v>12</v>
      </c>
      <c r="F91" s="28" t="s">
        <v>93</v>
      </c>
      <c r="G91" s="28">
        <v>45610</v>
      </c>
      <c r="H91" s="23" t="s">
        <v>5</v>
      </c>
      <c r="I91" s="33" t="s">
        <v>14</v>
      </c>
      <c r="J91" s="23">
        <v>1</v>
      </c>
      <c r="K91" s="23">
        <v>1</v>
      </c>
      <c r="L91" s="35">
        <v>0</v>
      </c>
      <c r="M91" s="23">
        <v>4</v>
      </c>
      <c r="N91" s="23">
        <v>4</v>
      </c>
      <c r="O91" s="49">
        <v>0</v>
      </c>
      <c r="P91" s="45" t="s">
        <v>6</v>
      </c>
      <c r="Q91" s="23" t="s">
        <v>81</v>
      </c>
      <c r="R91" s="23" t="s">
        <v>82</v>
      </c>
      <c r="S91" s="23" t="s">
        <v>9</v>
      </c>
      <c r="T91" s="23">
        <f>SUMIFS($J$1:INDEX(J:J,ROW()-1),$I$1:INDEX(I:I,ROW()-1),"&lt;&gt;Totals:")</f>
        <v>38</v>
      </c>
      <c r="U91" s="22">
        <f>SUMIFS($M$1:INDEX(M:M,ROW()),$I$1:INDEX(I:I,ROW()),"&lt;&gt;*Totals:*")</f>
        <v>1228</v>
      </c>
    </row>
    <row r="92" spans="1:21" ht="12.75" customHeight="1" x14ac:dyDescent="0.25">
      <c r="A92" s="47" t="s">
        <v>15</v>
      </c>
      <c r="B92" s="23" t="s">
        <v>92</v>
      </c>
      <c r="C92" s="28">
        <v>45581</v>
      </c>
      <c r="D92" s="30" t="s">
        <v>78</v>
      </c>
      <c r="E92" s="28" t="s">
        <v>95</v>
      </c>
      <c r="F92" s="28" t="s">
        <v>93</v>
      </c>
      <c r="G92" s="28">
        <v>45610</v>
      </c>
      <c r="H92" s="23" t="s">
        <v>5</v>
      </c>
      <c r="I92" s="33"/>
      <c r="J92" s="23">
        <v>0</v>
      </c>
      <c r="K92" s="23">
        <v>1</v>
      </c>
      <c r="L92" s="35">
        <v>1</v>
      </c>
      <c r="M92" s="23">
        <v>1</v>
      </c>
      <c r="N92" s="23">
        <v>0</v>
      </c>
      <c r="O92" s="49">
        <v>1</v>
      </c>
      <c r="P92" s="45" t="s">
        <v>6</v>
      </c>
      <c r="Q92" s="23" t="s">
        <v>81</v>
      </c>
      <c r="R92" s="23" t="s">
        <v>82</v>
      </c>
      <c r="S92" s="23" t="s">
        <v>9</v>
      </c>
      <c r="T92" s="23">
        <f>SUMIFS($J$1:INDEX(J:J,ROW()-1),$I$1:INDEX(I:I,ROW()-1),"&lt;&gt;Totals:")</f>
        <v>39</v>
      </c>
      <c r="U92" s="22">
        <f>SUMIFS($M$1:INDEX(M:M,ROW()),$I$1:INDEX(I:I,ROW()),"&lt;&gt;*Totals:*")</f>
        <v>1229</v>
      </c>
    </row>
    <row r="93" spans="1:21" ht="12.75" customHeight="1" x14ac:dyDescent="0.25">
      <c r="A93" s="47" t="s">
        <v>15</v>
      </c>
      <c r="B93" s="23" t="s">
        <v>92</v>
      </c>
      <c r="C93" s="28">
        <v>45584</v>
      </c>
      <c r="D93" s="30" t="s">
        <v>78</v>
      </c>
      <c r="E93" s="28" t="s">
        <v>95</v>
      </c>
      <c r="F93" s="28" t="s">
        <v>93</v>
      </c>
      <c r="G93" s="28">
        <v>45613</v>
      </c>
      <c r="H93" s="23" t="s">
        <v>5</v>
      </c>
      <c r="I93" s="33"/>
      <c r="J93" s="23">
        <v>0</v>
      </c>
      <c r="K93" s="23">
        <v>1</v>
      </c>
      <c r="L93" s="35">
        <v>1</v>
      </c>
      <c r="M93" s="23">
        <v>3</v>
      </c>
      <c r="N93" s="23">
        <v>0</v>
      </c>
      <c r="O93" s="49">
        <v>1</v>
      </c>
      <c r="P93" s="45" t="s">
        <v>6</v>
      </c>
      <c r="Q93" s="23" t="s">
        <v>81</v>
      </c>
      <c r="R93" s="23" t="s">
        <v>82</v>
      </c>
      <c r="S93" s="23" t="s">
        <v>9</v>
      </c>
      <c r="T93" s="23">
        <f>SUMIFS($J$1:INDEX(J:J,ROW()-1),$I$1:INDEX(I:I,ROW()-1),"&lt;&gt;Totals:")</f>
        <v>39</v>
      </c>
      <c r="U93" s="22">
        <f>SUMIFS($M$1:INDEX(M:M,ROW()),$I$1:INDEX(I:I,ROW()),"&lt;&gt;*Totals:*")</f>
        <v>1232</v>
      </c>
    </row>
    <row r="94" spans="1:21" ht="12.75" customHeight="1" x14ac:dyDescent="0.25">
      <c r="A94" s="47" t="s">
        <v>10</v>
      </c>
      <c r="B94" s="23" t="s">
        <v>92</v>
      </c>
      <c r="C94" s="28">
        <v>45584</v>
      </c>
      <c r="D94" s="30" t="s">
        <v>78</v>
      </c>
      <c r="E94" s="28" t="s">
        <v>12</v>
      </c>
      <c r="F94" s="28" t="s">
        <v>93</v>
      </c>
      <c r="G94" s="28">
        <v>45613</v>
      </c>
      <c r="H94" s="23" t="s">
        <v>5</v>
      </c>
      <c r="I94" s="33" t="s">
        <v>14</v>
      </c>
      <c r="J94" s="23">
        <v>1</v>
      </c>
      <c r="K94" s="23">
        <v>1</v>
      </c>
      <c r="L94" s="35">
        <v>0</v>
      </c>
      <c r="M94" s="23">
        <v>8</v>
      </c>
      <c r="N94" s="23">
        <v>8</v>
      </c>
      <c r="O94" s="49">
        <v>0</v>
      </c>
      <c r="P94" s="45" t="s">
        <v>6</v>
      </c>
      <c r="Q94" s="23" t="s">
        <v>81</v>
      </c>
      <c r="R94" s="23" t="s">
        <v>82</v>
      </c>
      <c r="S94" s="23" t="s">
        <v>9</v>
      </c>
      <c r="T94" s="23">
        <f>SUMIFS($J$1:INDEX(J:J,ROW()-1),$I$1:INDEX(I:I,ROW()-1),"&lt;&gt;Totals:")</f>
        <v>39</v>
      </c>
      <c r="U94" s="22">
        <f>SUMIFS($M$1:INDEX(M:M,ROW()),$I$1:INDEX(I:I,ROW()),"&lt;&gt;*Totals:*")</f>
        <v>1240</v>
      </c>
    </row>
    <row r="95" spans="1:21" ht="12.75" customHeight="1" x14ac:dyDescent="0.25">
      <c r="A95" s="47" t="s">
        <v>26</v>
      </c>
      <c r="B95" s="23" t="s">
        <v>90</v>
      </c>
      <c r="C95" s="28">
        <v>45587</v>
      </c>
      <c r="D95" s="30" t="s">
        <v>78</v>
      </c>
      <c r="E95" s="28" t="s">
        <v>84</v>
      </c>
      <c r="F95" s="28" t="s">
        <v>80</v>
      </c>
      <c r="G95" s="28">
        <v>45616</v>
      </c>
      <c r="H95" s="23" t="s">
        <v>5</v>
      </c>
      <c r="I95" s="33"/>
      <c r="J95" s="23">
        <v>0</v>
      </c>
      <c r="K95" s="23">
        <v>1</v>
      </c>
      <c r="L95" s="35">
        <v>1</v>
      </c>
      <c r="M95" s="23">
        <v>1</v>
      </c>
      <c r="N95" s="23">
        <v>0</v>
      </c>
      <c r="O95" s="49">
        <v>1</v>
      </c>
      <c r="P95" s="45" t="s">
        <v>6</v>
      </c>
      <c r="Q95" s="23" t="s">
        <v>81</v>
      </c>
      <c r="R95" s="23" t="s">
        <v>82</v>
      </c>
      <c r="S95" s="23" t="s">
        <v>9</v>
      </c>
      <c r="T95" s="23">
        <f>SUMIFS($J$1:INDEX(J:J,ROW()-1),$I$1:INDEX(I:I,ROW()-1),"&lt;&gt;Totals:")</f>
        <v>40</v>
      </c>
      <c r="U95" s="22">
        <f>SUMIFS($M$1:INDEX(M:M,ROW()),$I$1:INDEX(I:I,ROW()),"&lt;&gt;*Totals:*")</f>
        <v>1241</v>
      </c>
    </row>
    <row r="96" spans="1:21" ht="12.75" customHeight="1" x14ac:dyDescent="0.25">
      <c r="A96" s="47" t="s">
        <v>17</v>
      </c>
      <c r="B96" s="23" t="s">
        <v>100</v>
      </c>
      <c r="C96" s="28">
        <v>45589</v>
      </c>
      <c r="D96" s="30" t="s">
        <v>78</v>
      </c>
      <c r="E96" s="28" t="s">
        <v>101</v>
      </c>
      <c r="F96" s="28" t="s">
        <v>80</v>
      </c>
      <c r="G96" s="28">
        <v>45618</v>
      </c>
      <c r="H96" s="23" t="s">
        <v>5</v>
      </c>
      <c r="I96" s="33" t="s">
        <v>14</v>
      </c>
      <c r="J96" s="23">
        <v>1</v>
      </c>
      <c r="K96" s="23">
        <v>1</v>
      </c>
      <c r="L96" s="35">
        <v>0</v>
      </c>
      <c r="M96" s="23">
        <v>1</v>
      </c>
      <c r="N96" s="23">
        <v>1</v>
      </c>
      <c r="O96" s="49">
        <v>0</v>
      </c>
      <c r="P96" s="45" t="s">
        <v>6</v>
      </c>
      <c r="Q96" s="23" t="s">
        <v>81</v>
      </c>
      <c r="R96" s="23" t="s">
        <v>82</v>
      </c>
      <c r="S96" s="23" t="s">
        <v>9</v>
      </c>
      <c r="T96" s="23">
        <f>SUMIFS($J$1:INDEX(J:J,ROW()-1),$I$1:INDEX(I:I,ROW()-1),"&lt;&gt;Totals:")</f>
        <v>40</v>
      </c>
      <c r="U96" s="22">
        <f>SUMIFS($M$1:INDEX(M:M,ROW()),$I$1:INDEX(I:I,ROW()),"&lt;&gt;*Totals:*")</f>
        <v>1242</v>
      </c>
    </row>
    <row r="97" spans="1:21" ht="12.75" customHeight="1" x14ac:dyDescent="0.25">
      <c r="A97" s="47" t="s">
        <v>26</v>
      </c>
      <c r="B97" s="23" t="s">
        <v>102</v>
      </c>
      <c r="C97" s="28">
        <v>45590</v>
      </c>
      <c r="D97" s="30" t="s">
        <v>78</v>
      </c>
      <c r="E97" s="28" t="s">
        <v>84</v>
      </c>
      <c r="F97" s="28" t="s">
        <v>76</v>
      </c>
      <c r="G97" s="28">
        <v>45619</v>
      </c>
      <c r="H97" s="23" t="s">
        <v>5</v>
      </c>
      <c r="I97" s="33"/>
      <c r="J97" s="23">
        <v>0</v>
      </c>
      <c r="K97" s="23">
        <v>1</v>
      </c>
      <c r="L97" s="35">
        <v>1</v>
      </c>
      <c r="M97" s="23">
        <v>1</v>
      </c>
      <c r="N97" s="23">
        <v>0</v>
      </c>
      <c r="O97" s="49">
        <v>1</v>
      </c>
      <c r="P97" s="45" t="s">
        <v>6</v>
      </c>
      <c r="Q97" s="23" t="s">
        <v>81</v>
      </c>
      <c r="R97" s="23" t="s">
        <v>82</v>
      </c>
      <c r="S97" s="23" t="s">
        <v>9</v>
      </c>
      <c r="T97" s="23">
        <f>SUMIFS($J$1:INDEX(J:J,ROW()-1),$I$1:INDEX(I:I,ROW()-1),"&lt;&gt;Totals:")</f>
        <v>41</v>
      </c>
      <c r="U97" s="22">
        <f>SUMIFS($M$1:INDEX(M:M,ROW()),$I$1:INDEX(I:I,ROW()),"&lt;&gt;*Totals:*")</f>
        <v>1243</v>
      </c>
    </row>
    <row r="98" spans="1:21" ht="12.75" customHeight="1" x14ac:dyDescent="0.25">
      <c r="A98" s="47" t="s">
        <v>17</v>
      </c>
      <c r="B98" s="23" t="s">
        <v>103</v>
      </c>
      <c r="C98" s="28">
        <v>45593</v>
      </c>
      <c r="D98" s="30" t="s">
        <v>78</v>
      </c>
      <c r="E98" s="28" t="s">
        <v>84</v>
      </c>
      <c r="F98" s="28" t="s">
        <v>80</v>
      </c>
      <c r="G98" s="28">
        <v>45622</v>
      </c>
      <c r="H98" s="23" t="s">
        <v>5</v>
      </c>
      <c r="I98" s="33"/>
      <c r="J98" s="23">
        <v>0</v>
      </c>
      <c r="K98" s="23">
        <v>1</v>
      </c>
      <c r="L98" s="35">
        <v>1</v>
      </c>
      <c r="M98" s="23">
        <v>1</v>
      </c>
      <c r="N98" s="23">
        <v>0</v>
      </c>
      <c r="O98" s="49">
        <v>1</v>
      </c>
      <c r="P98" s="45" t="s">
        <v>6</v>
      </c>
      <c r="Q98" s="23" t="s">
        <v>81</v>
      </c>
      <c r="R98" s="23" t="s">
        <v>82</v>
      </c>
      <c r="S98" s="23" t="s">
        <v>9</v>
      </c>
      <c r="T98" s="23">
        <f>SUMIFS($J$1:INDEX(J:J,ROW()-1),$I$1:INDEX(I:I,ROW()-1),"&lt;&gt;Totals:")</f>
        <v>41</v>
      </c>
      <c r="U98" s="22">
        <f>SUMIFS($M$1:INDEX(M:M,ROW()),$I$1:INDEX(I:I,ROW()),"&lt;&gt;*Totals:*")</f>
        <v>1244</v>
      </c>
    </row>
    <row r="99" spans="1:21" ht="12.75" customHeight="1" x14ac:dyDescent="0.25">
      <c r="A99" s="47" t="s">
        <v>26</v>
      </c>
      <c r="B99" s="23" t="s">
        <v>90</v>
      </c>
      <c r="C99" s="28">
        <v>45593</v>
      </c>
      <c r="D99" s="30" t="s">
        <v>78</v>
      </c>
      <c r="E99" s="28" t="s">
        <v>84</v>
      </c>
      <c r="F99" s="28" t="s">
        <v>80</v>
      </c>
      <c r="G99" s="28">
        <v>45622</v>
      </c>
      <c r="H99" s="23" t="s">
        <v>5</v>
      </c>
      <c r="I99" s="33"/>
      <c r="J99" s="23">
        <v>0</v>
      </c>
      <c r="K99" s="23">
        <v>1</v>
      </c>
      <c r="L99" s="35">
        <v>1</v>
      </c>
      <c r="M99" s="23">
        <v>1</v>
      </c>
      <c r="N99" s="23">
        <v>0</v>
      </c>
      <c r="O99" s="49">
        <v>1</v>
      </c>
      <c r="P99" s="45" t="s">
        <v>6</v>
      </c>
      <c r="Q99" s="23" t="s">
        <v>81</v>
      </c>
      <c r="R99" s="23" t="s">
        <v>82</v>
      </c>
      <c r="S99" s="23" t="s">
        <v>9</v>
      </c>
      <c r="T99" s="23">
        <f>SUMIFS($J$1:INDEX(J:J,ROW()-1),$I$1:INDEX(I:I,ROW()-1),"&lt;&gt;Totals:")</f>
        <v>41</v>
      </c>
      <c r="U99" s="22">
        <f>SUMIFS($M$1:INDEX(M:M,ROW()),$I$1:INDEX(I:I,ROW()),"&lt;&gt;*Totals:*")</f>
        <v>1245</v>
      </c>
    </row>
    <row r="100" spans="1:21" ht="12.75" customHeight="1" thickBot="1" x14ac:dyDescent="0.3">
      <c r="A100" s="51" t="s">
        <v>17</v>
      </c>
      <c r="B100" s="20" t="s">
        <v>100</v>
      </c>
      <c r="C100" s="25">
        <v>45593</v>
      </c>
      <c r="D100" s="27" t="s">
        <v>78</v>
      </c>
      <c r="E100" s="25" t="s">
        <v>101</v>
      </c>
      <c r="F100" s="25" t="s">
        <v>80</v>
      </c>
      <c r="G100" s="25">
        <v>45622</v>
      </c>
      <c r="H100" s="20" t="s">
        <v>5</v>
      </c>
      <c r="I100" s="32" t="s">
        <v>14</v>
      </c>
      <c r="J100" s="20">
        <v>1</v>
      </c>
      <c r="K100" s="20">
        <v>1</v>
      </c>
      <c r="L100" s="34">
        <v>0</v>
      </c>
      <c r="M100" s="20">
        <v>1</v>
      </c>
      <c r="N100" s="20">
        <v>1</v>
      </c>
      <c r="O100" s="54">
        <v>0</v>
      </c>
      <c r="P100" s="45" t="s">
        <v>6</v>
      </c>
      <c r="Q100" s="23" t="s">
        <v>81</v>
      </c>
      <c r="R100" s="23" t="s">
        <v>82</v>
      </c>
      <c r="S100" s="23" t="s">
        <v>9</v>
      </c>
      <c r="T100" s="23">
        <f>SUMIFS($J$1:INDEX(J:J,ROW()-1),$I$1:INDEX(I:I,ROW()-1),"&lt;&gt;Totals:")</f>
        <v>41</v>
      </c>
      <c r="U100" s="22">
        <f>SUMIFS($M$1:INDEX(M:M,ROW()),$I$1:INDEX(I:I,ROW()),"&lt;&gt;*Totals:*")</f>
        <v>1246</v>
      </c>
    </row>
    <row r="101" spans="1:21" ht="17.25" customHeight="1" x14ac:dyDescent="0.25">
      <c r="A101" s="60"/>
      <c r="B101" s="50"/>
      <c r="C101" s="55"/>
      <c r="D101" s="56"/>
      <c r="E101" s="56"/>
      <c r="F101" s="57"/>
      <c r="G101" s="57"/>
      <c r="H101" s="57"/>
      <c r="I101" s="58" t="s">
        <v>1087</v>
      </c>
      <c r="J101" s="57">
        <f>SUM(J76:J100)</f>
        <v>14</v>
      </c>
      <c r="K101" s="57">
        <f>SUM(K76:K100)</f>
        <v>25</v>
      </c>
      <c r="L101" s="59">
        <f>(SUM(K76:K100) - SUM(J76:J100)) / SUM(K76:K100)</f>
        <v>0.44</v>
      </c>
      <c r="M101" s="57">
        <f>SUM(M76:M100)</f>
        <v>384</v>
      </c>
      <c r="N101" s="56">
        <f>SUM(N76:N100)</f>
        <v>213</v>
      </c>
      <c r="O101" s="61">
        <f>(SUM(M76:M100) - SUM(N76:N100)) / SUM(M76:M100)</f>
        <v>0.4453125</v>
      </c>
      <c r="P101" s="52"/>
      <c r="Q101" s="53"/>
      <c r="R101" s="52"/>
      <c r="S101" s="52"/>
      <c r="T101" s="52"/>
      <c r="U101" s="52"/>
    </row>
    <row r="102" spans="1:21" x14ac:dyDescent="0.25">
      <c r="A102" s="70"/>
      <c r="B102" s="64"/>
      <c r="C102" s="64"/>
      <c r="D102" s="64"/>
      <c r="E102" s="64"/>
      <c r="F102" s="64"/>
      <c r="G102" s="64"/>
      <c r="H102" s="64"/>
      <c r="I102" s="65" t="s">
        <v>1088</v>
      </c>
      <c r="J102" s="64"/>
      <c r="K102" s="64"/>
      <c r="L102" s="65" t="s">
        <v>1089</v>
      </c>
      <c r="M102" s="64"/>
      <c r="N102" s="64"/>
      <c r="O102" s="72"/>
      <c r="P102" s="62"/>
      <c r="Q102" s="62"/>
      <c r="R102" s="62"/>
      <c r="S102" s="62"/>
      <c r="T102" s="62"/>
      <c r="U102" s="62"/>
    </row>
    <row r="103" spans="1:21" ht="15.75" thickBot="1" x14ac:dyDescent="0.3">
      <c r="A103" s="71"/>
      <c r="B103" s="66"/>
      <c r="C103" s="67"/>
      <c r="D103" s="66"/>
      <c r="E103" s="66"/>
      <c r="F103" s="66"/>
      <c r="G103" s="67"/>
      <c r="H103" s="66"/>
      <c r="I103" s="68">
        <v>41</v>
      </c>
      <c r="J103" s="66"/>
      <c r="K103" s="66"/>
      <c r="L103" s="69">
        <v>1246</v>
      </c>
      <c r="M103" s="66"/>
      <c r="N103" s="66"/>
      <c r="O103" s="73"/>
      <c r="P103" s="63"/>
      <c r="Q103" s="63"/>
      <c r="R103" s="63"/>
      <c r="S103" s="63"/>
      <c r="T103" s="63"/>
      <c r="U103" s="63"/>
    </row>
    <row r="104" spans="1:21" ht="15.75" thickBot="1" x14ac:dyDescent="0.3">
      <c r="C104" s="1"/>
      <c r="G104" s="1"/>
    </row>
    <row r="105" spans="1:21" x14ac:dyDescent="0.25">
      <c r="A105" s="9"/>
      <c r="B105" s="10"/>
      <c r="C105" s="11"/>
      <c r="D105" s="11"/>
      <c r="E105" s="11"/>
      <c r="F105" s="11"/>
      <c r="G105" s="11"/>
      <c r="H105" s="12"/>
      <c r="I105" s="11"/>
      <c r="J105" s="13"/>
      <c r="K105" s="13"/>
      <c r="L105" s="13"/>
      <c r="M105" s="13"/>
      <c r="N105" s="11"/>
      <c r="O105" s="14"/>
      <c r="P105" s="4"/>
      <c r="Q105" s="5"/>
      <c r="R105" s="4"/>
      <c r="S105" s="4"/>
      <c r="T105" s="4"/>
      <c r="U105" s="4"/>
    </row>
    <row r="106" spans="1:21" x14ac:dyDescent="0.25">
      <c r="A106" s="6" t="s">
        <v>1067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15"/>
      <c r="P106" s="3"/>
      <c r="Q106" s="3"/>
      <c r="R106" s="3"/>
      <c r="S106" s="3"/>
      <c r="T106" s="3"/>
      <c r="U106" s="3"/>
    </row>
    <row r="107" spans="1:21" x14ac:dyDescent="0.25">
      <c r="A107" s="7" t="s">
        <v>107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15"/>
      <c r="P107" s="3"/>
      <c r="Q107" s="3"/>
      <c r="R107" s="3"/>
      <c r="S107" s="3"/>
      <c r="T107" s="3"/>
      <c r="U107" s="3"/>
    </row>
    <row r="108" spans="1:21" ht="15.75" thickBot="1" x14ac:dyDescent="0.3">
      <c r="A108" s="8"/>
      <c r="B108" s="8"/>
      <c r="C108" s="74"/>
      <c r="D108" s="8"/>
      <c r="E108" s="8"/>
      <c r="F108" s="8"/>
      <c r="G108" s="74"/>
      <c r="H108" s="8"/>
      <c r="I108" s="8"/>
      <c r="J108" s="8"/>
      <c r="K108" s="8"/>
      <c r="L108" s="8"/>
      <c r="M108" s="8"/>
      <c r="N108" s="8"/>
      <c r="O108" s="16"/>
      <c r="P108" s="3"/>
      <c r="Q108" s="3"/>
      <c r="R108" s="3"/>
      <c r="S108" s="3"/>
      <c r="T108" s="3"/>
      <c r="U108" s="3"/>
    </row>
    <row r="109" spans="1:21" ht="17.25" customHeight="1" thickBot="1" x14ac:dyDescent="0.3">
      <c r="A109" s="19" t="s">
        <v>1068</v>
      </c>
      <c r="B109" s="24" t="s">
        <v>1069</v>
      </c>
      <c r="C109" s="26" t="s">
        <v>1070</v>
      </c>
      <c r="D109" s="29" t="s">
        <v>1071</v>
      </c>
      <c r="E109" s="26" t="s">
        <v>1072</v>
      </c>
      <c r="F109" s="31" t="s">
        <v>1073</v>
      </c>
      <c r="G109" s="31" t="s">
        <v>1074</v>
      </c>
      <c r="H109" s="31" t="s">
        <v>1075</v>
      </c>
      <c r="I109" s="29" t="s">
        <v>14</v>
      </c>
      <c r="J109" s="29" t="s">
        <v>1076</v>
      </c>
      <c r="K109" s="29" t="s">
        <v>1077</v>
      </c>
      <c r="L109" s="29" t="s">
        <v>1078</v>
      </c>
      <c r="M109" s="29" t="s">
        <v>1079</v>
      </c>
      <c r="N109" s="29" t="s">
        <v>1080</v>
      </c>
      <c r="O109" s="36" t="s">
        <v>1081</v>
      </c>
      <c r="P109" s="37" t="s">
        <v>1082</v>
      </c>
      <c r="Q109" s="38" t="s">
        <v>1083</v>
      </c>
      <c r="R109" s="38" t="s">
        <v>1084</v>
      </c>
      <c r="S109" s="38" t="s">
        <v>1085</v>
      </c>
      <c r="T109" s="38" t="s">
        <v>1086</v>
      </c>
      <c r="U109" s="39" t="s">
        <v>1086</v>
      </c>
    </row>
    <row r="110" spans="1:21" ht="12.75" customHeight="1" x14ac:dyDescent="0.25">
      <c r="A110" s="46" t="s">
        <v>29</v>
      </c>
      <c r="B110" s="40" t="s">
        <v>104</v>
      </c>
      <c r="C110" s="41">
        <v>45597</v>
      </c>
      <c r="D110" s="42" t="s">
        <v>105</v>
      </c>
      <c r="E110" s="41" t="s">
        <v>101</v>
      </c>
      <c r="F110" s="41" t="s">
        <v>106</v>
      </c>
      <c r="G110" s="41">
        <v>45626</v>
      </c>
      <c r="H110" s="40" t="s">
        <v>5</v>
      </c>
      <c r="I110" s="43" t="s">
        <v>14</v>
      </c>
      <c r="J110" s="40">
        <v>1</v>
      </c>
      <c r="K110" s="40">
        <v>1</v>
      </c>
      <c r="L110" s="44">
        <v>0</v>
      </c>
      <c r="M110" s="40">
        <v>16</v>
      </c>
      <c r="N110" s="40">
        <v>16</v>
      </c>
      <c r="O110" s="48">
        <v>0</v>
      </c>
      <c r="P110" s="45" t="s">
        <v>6</v>
      </c>
      <c r="Q110" s="23" t="s">
        <v>107</v>
      </c>
      <c r="R110" s="23" t="s">
        <v>108</v>
      </c>
      <c r="S110" s="23" t="s">
        <v>9</v>
      </c>
      <c r="T110" s="23">
        <f>SUMIFS($J$1:INDEX(J:J,ROW()-1),$I$1:INDEX(I:I,ROW()-1),"&lt;&gt;Totals:")</f>
        <v>42</v>
      </c>
      <c r="U110" s="22">
        <f>SUMIFS($M$1:INDEX(M:M,ROW()),$I$1:INDEX(I:I,ROW()),"&lt;&gt;*Totals:*")</f>
        <v>1262</v>
      </c>
    </row>
    <row r="111" spans="1:21" ht="12.75" customHeight="1" x14ac:dyDescent="0.25">
      <c r="A111" s="47" t="s">
        <v>29</v>
      </c>
      <c r="B111" s="23" t="s">
        <v>109</v>
      </c>
      <c r="C111" s="28">
        <v>45597</v>
      </c>
      <c r="D111" s="30" t="s">
        <v>105</v>
      </c>
      <c r="E111" s="28" t="s">
        <v>101</v>
      </c>
      <c r="F111" s="28" t="s">
        <v>110</v>
      </c>
      <c r="G111" s="28">
        <v>45626</v>
      </c>
      <c r="H111" s="23" t="s">
        <v>5</v>
      </c>
      <c r="I111" s="33" t="s">
        <v>14</v>
      </c>
      <c r="J111" s="23">
        <v>1</v>
      </c>
      <c r="K111" s="23">
        <v>1</v>
      </c>
      <c r="L111" s="35">
        <v>0</v>
      </c>
      <c r="M111" s="23">
        <v>10</v>
      </c>
      <c r="N111" s="23">
        <v>10</v>
      </c>
      <c r="O111" s="49">
        <v>0</v>
      </c>
      <c r="P111" s="45" t="s">
        <v>6</v>
      </c>
      <c r="Q111" s="23" t="s">
        <v>107</v>
      </c>
      <c r="R111" s="23" t="s">
        <v>108</v>
      </c>
      <c r="S111" s="23" t="s">
        <v>9</v>
      </c>
      <c r="T111" s="23">
        <f>SUMIFS($J$1:INDEX(J:J,ROW()-1),$I$1:INDEX(I:I,ROW()-1),"&lt;&gt;Totals:")</f>
        <v>43</v>
      </c>
      <c r="U111" s="22">
        <f>SUMIFS($M$1:INDEX(M:M,ROW()),$I$1:INDEX(I:I,ROW()),"&lt;&gt;*Totals:*")</f>
        <v>1272</v>
      </c>
    </row>
    <row r="112" spans="1:21" ht="12.75" customHeight="1" x14ac:dyDescent="0.25">
      <c r="A112" s="47" t="s">
        <v>17</v>
      </c>
      <c r="B112" s="23" t="s">
        <v>111</v>
      </c>
      <c r="C112" s="28">
        <v>45597</v>
      </c>
      <c r="D112" s="30" t="s">
        <v>105</v>
      </c>
      <c r="E112" s="28" t="s">
        <v>101</v>
      </c>
      <c r="F112" s="28" t="s">
        <v>106</v>
      </c>
      <c r="G112" s="28">
        <v>45626</v>
      </c>
      <c r="H112" s="23" t="s">
        <v>5</v>
      </c>
      <c r="I112" s="33" t="s">
        <v>14</v>
      </c>
      <c r="J112" s="23">
        <v>1</v>
      </c>
      <c r="K112" s="23">
        <v>1</v>
      </c>
      <c r="L112" s="35">
        <v>0</v>
      </c>
      <c r="M112" s="23">
        <v>30</v>
      </c>
      <c r="N112" s="23">
        <v>30</v>
      </c>
      <c r="O112" s="49">
        <v>0</v>
      </c>
      <c r="P112" s="45" t="s">
        <v>6</v>
      </c>
      <c r="Q112" s="23" t="s">
        <v>107</v>
      </c>
      <c r="R112" s="23" t="s">
        <v>108</v>
      </c>
      <c r="S112" s="23" t="s">
        <v>9</v>
      </c>
      <c r="T112" s="23">
        <f>SUMIFS($J$1:INDEX(J:J,ROW()-1),$I$1:INDEX(I:I,ROW()-1),"&lt;&gt;Totals:")</f>
        <v>44</v>
      </c>
      <c r="U112" s="22">
        <f>SUMIFS($M$1:INDEX(M:M,ROW()),$I$1:INDEX(I:I,ROW()),"&lt;&gt;*Totals:*")</f>
        <v>1302</v>
      </c>
    </row>
    <row r="113" spans="1:21" ht="12.75" customHeight="1" x14ac:dyDescent="0.25">
      <c r="A113" s="47" t="s">
        <v>26</v>
      </c>
      <c r="B113" s="23" t="s">
        <v>112</v>
      </c>
      <c r="C113" s="28">
        <v>45597</v>
      </c>
      <c r="D113" s="30" t="s">
        <v>105</v>
      </c>
      <c r="E113" s="28"/>
      <c r="F113" s="28"/>
      <c r="G113" s="28">
        <v>45626</v>
      </c>
      <c r="H113" s="23" t="s">
        <v>5</v>
      </c>
      <c r="I113" s="33" t="s">
        <v>113</v>
      </c>
      <c r="J113" s="23">
        <v>0</v>
      </c>
      <c r="K113" s="23">
        <v>1</v>
      </c>
      <c r="L113" s="35">
        <v>1</v>
      </c>
      <c r="M113" s="23">
        <v>1</v>
      </c>
      <c r="N113" s="23">
        <v>0</v>
      </c>
      <c r="O113" s="49">
        <v>1</v>
      </c>
      <c r="P113" s="45" t="s">
        <v>6</v>
      </c>
      <c r="Q113" s="23" t="s">
        <v>107</v>
      </c>
      <c r="R113" s="23" t="s">
        <v>108</v>
      </c>
      <c r="S113" s="23" t="s">
        <v>9</v>
      </c>
      <c r="T113" s="23">
        <f>SUMIFS($J$1:INDEX(J:J,ROW()-1),$I$1:INDEX(I:I,ROW()-1),"&lt;&gt;Totals:")</f>
        <v>45</v>
      </c>
      <c r="U113" s="22">
        <f>SUMIFS($M$1:INDEX(M:M,ROW()),$I$1:INDEX(I:I,ROW()),"&lt;&gt;*Totals:*")</f>
        <v>1303</v>
      </c>
    </row>
    <row r="114" spans="1:21" ht="12.75" customHeight="1" x14ac:dyDescent="0.25">
      <c r="A114" s="47" t="s">
        <v>26</v>
      </c>
      <c r="B114" s="23" t="s">
        <v>114</v>
      </c>
      <c r="C114" s="28">
        <v>45597</v>
      </c>
      <c r="D114" s="30" t="s">
        <v>105</v>
      </c>
      <c r="E114" s="28" t="s">
        <v>101</v>
      </c>
      <c r="F114" s="28" t="s">
        <v>106</v>
      </c>
      <c r="G114" s="28">
        <v>45626</v>
      </c>
      <c r="H114" s="23" t="s">
        <v>5</v>
      </c>
      <c r="I114" s="33" t="s">
        <v>14</v>
      </c>
      <c r="J114" s="23">
        <v>1</v>
      </c>
      <c r="K114" s="23">
        <v>1</v>
      </c>
      <c r="L114" s="35">
        <v>0</v>
      </c>
      <c r="M114" s="23">
        <v>2</v>
      </c>
      <c r="N114" s="23">
        <v>2</v>
      </c>
      <c r="O114" s="49">
        <v>0</v>
      </c>
      <c r="P114" s="45" t="s">
        <v>6</v>
      </c>
      <c r="Q114" s="23" t="s">
        <v>107</v>
      </c>
      <c r="R114" s="23" t="s">
        <v>108</v>
      </c>
      <c r="S114" s="23" t="s">
        <v>9</v>
      </c>
      <c r="T114" s="23">
        <f>SUMIFS($J$1:INDEX(J:J,ROW()-1),$I$1:INDEX(I:I,ROW()-1),"&lt;&gt;Totals:")</f>
        <v>45</v>
      </c>
      <c r="U114" s="22">
        <f>SUMIFS($M$1:INDEX(M:M,ROW()),$I$1:INDEX(I:I,ROW()),"&lt;&gt;*Totals:*")</f>
        <v>1305</v>
      </c>
    </row>
    <row r="115" spans="1:21" ht="12.75" customHeight="1" x14ac:dyDescent="0.25">
      <c r="A115" s="47" t="s">
        <v>26</v>
      </c>
      <c r="B115" s="23" t="s">
        <v>115</v>
      </c>
      <c r="C115" s="28">
        <v>45597</v>
      </c>
      <c r="D115" s="30" t="s">
        <v>105</v>
      </c>
      <c r="E115" s="28" t="s">
        <v>101</v>
      </c>
      <c r="F115" s="28" t="s">
        <v>99</v>
      </c>
      <c r="G115" s="28">
        <v>45626</v>
      </c>
      <c r="H115" s="23" t="s">
        <v>5</v>
      </c>
      <c r="I115" s="33" t="s">
        <v>14</v>
      </c>
      <c r="J115" s="23">
        <v>1</v>
      </c>
      <c r="K115" s="23">
        <v>1</v>
      </c>
      <c r="L115" s="35">
        <v>0</v>
      </c>
      <c r="M115" s="23">
        <v>1</v>
      </c>
      <c r="N115" s="23">
        <v>1</v>
      </c>
      <c r="O115" s="49">
        <v>0</v>
      </c>
      <c r="P115" s="45" t="s">
        <v>6</v>
      </c>
      <c r="Q115" s="23" t="s">
        <v>107</v>
      </c>
      <c r="R115" s="23" t="s">
        <v>108</v>
      </c>
      <c r="S115" s="23" t="s">
        <v>9</v>
      </c>
      <c r="T115" s="23">
        <f>SUMIFS($J$1:INDEX(J:J,ROW()-1),$I$1:INDEX(I:I,ROW()-1),"&lt;&gt;Totals:")</f>
        <v>46</v>
      </c>
      <c r="U115" s="22">
        <f>SUMIFS($M$1:INDEX(M:M,ROW()),$I$1:INDEX(I:I,ROW()),"&lt;&gt;*Totals:*")</f>
        <v>1306</v>
      </c>
    </row>
    <row r="116" spans="1:21" ht="12.75" customHeight="1" x14ac:dyDescent="0.25">
      <c r="A116" s="47" t="s">
        <v>26</v>
      </c>
      <c r="B116" s="23" t="s">
        <v>116</v>
      </c>
      <c r="C116" s="28">
        <v>45597</v>
      </c>
      <c r="D116" s="30" t="s">
        <v>105</v>
      </c>
      <c r="E116" s="28" t="s">
        <v>101</v>
      </c>
      <c r="F116" s="28" t="s">
        <v>106</v>
      </c>
      <c r="G116" s="28">
        <v>45626</v>
      </c>
      <c r="H116" s="23" t="s">
        <v>5</v>
      </c>
      <c r="I116" s="33" t="s">
        <v>14</v>
      </c>
      <c r="J116" s="23">
        <v>1</v>
      </c>
      <c r="K116" s="23">
        <v>1</v>
      </c>
      <c r="L116" s="35">
        <v>0</v>
      </c>
      <c r="M116" s="23">
        <v>40</v>
      </c>
      <c r="N116" s="23">
        <v>40</v>
      </c>
      <c r="O116" s="49">
        <v>0</v>
      </c>
      <c r="P116" s="45" t="s">
        <v>6</v>
      </c>
      <c r="Q116" s="23" t="s">
        <v>107</v>
      </c>
      <c r="R116" s="23" t="s">
        <v>108</v>
      </c>
      <c r="S116" s="23" t="s">
        <v>9</v>
      </c>
      <c r="T116" s="23">
        <f>SUMIFS($J$1:INDEX(J:J,ROW()-1),$I$1:INDEX(I:I,ROW()-1),"&lt;&gt;Totals:")</f>
        <v>47</v>
      </c>
      <c r="U116" s="22">
        <f>SUMIFS($M$1:INDEX(M:M,ROW()),$I$1:INDEX(I:I,ROW()),"&lt;&gt;*Totals:*")</f>
        <v>1346</v>
      </c>
    </row>
    <row r="117" spans="1:21" ht="12.75" customHeight="1" x14ac:dyDescent="0.25">
      <c r="A117" s="47" t="s">
        <v>29</v>
      </c>
      <c r="B117" s="23" t="s">
        <v>117</v>
      </c>
      <c r="C117" s="28">
        <v>45602</v>
      </c>
      <c r="D117" s="30" t="s">
        <v>105</v>
      </c>
      <c r="E117" s="28" t="s">
        <v>101</v>
      </c>
      <c r="F117" s="28" t="s">
        <v>93</v>
      </c>
      <c r="G117" s="28">
        <v>45631</v>
      </c>
      <c r="H117" s="23" t="s">
        <v>5</v>
      </c>
      <c r="I117" s="33" t="s">
        <v>14</v>
      </c>
      <c r="J117" s="23">
        <v>1</v>
      </c>
      <c r="K117" s="23">
        <v>1</v>
      </c>
      <c r="L117" s="35">
        <v>0</v>
      </c>
      <c r="M117" s="23">
        <v>1</v>
      </c>
      <c r="N117" s="23">
        <v>1</v>
      </c>
      <c r="O117" s="49">
        <v>0</v>
      </c>
      <c r="P117" s="45" t="s">
        <v>6</v>
      </c>
      <c r="Q117" s="23" t="s">
        <v>107</v>
      </c>
      <c r="R117" s="23" t="s">
        <v>108</v>
      </c>
      <c r="S117" s="23" t="s">
        <v>9</v>
      </c>
      <c r="T117" s="23">
        <f>SUMIFS($J$1:INDEX(J:J,ROW()-1),$I$1:INDEX(I:I,ROW()-1),"&lt;&gt;Totals:")</f>
        <v>48</v>
      </c>
      <c r="U117" s="22">
        <f>SUMIFS($M$1:INDEX(M:M,ROW()),$I$1:INDEX(I:I,ROW()),"&lt;&gt;*Totals:*")</f>
        <v>1347</v>
      </c>
    </row>
    <row r="118" spans="1:21" ht="12.75" customHeight="1" x14ac:dyDescent="0.25">
      <c r="A118" s="47" t="s">
        <v>10</v>
      </c>
      <c r="B118" s="23" t="s">
        <v>118</v>
      </c>
      <c r="C118" s="28">
        <v>45605</v>
      </c>
      <c r="D118" s="30" t="s">
        <v>105</v>
      </c>
      <c r="E118" s="28" t="s">
        <v>119</v>
      </c>
      <c r="F118" s="28" t="s">
        <v>120</v>
      </c>
      <c r="G118" s="28">
        <v>45634</v>
      </c>
      <c r="H118" s="23" t="s">
        <v>5</v>
      </c>
      <c r="I118" s="33"/>
      <c r="J118" s="23">
        <v>0</v>
      </c>
      <c r="K118" s="23">
        <v>1</v>
      </c>
      <c r="L118" s="35">
        <v>1</v>
      </c>
      <c r="M118" s="23">
        <v>108</v>
      </c>
      <c r="N118" s="23">
        <v>0</v>
      </c>
      <c r="O118" s="49">
        <v>1</v>
      </c>
      <c r="P118" s="45" t="s">
        <v>6</v>
      </c>
      <c r="Q118" s="23" t="s">
        <v>107</v>
      </c>
      <c r="R118" s="23" t="s">
        <v>108</v>
      </c>
      <c r="S118" s="23" t="s">
        <v>9</v>
      </c>
      <c r="T118" s="23">
        <f>SUMIFS($J$1:INDEX(J:J,ROW()-1),$I$1:INDEX(I:I,ROW()-1),"&lt;&gt;Totals:")</f>
        <v>49</v>
      </c>
      <c r="U118" s="22">
        <f>SUMIFS($M$1:INDEX(M:M,ROW()),$I$1:INDEX(I:I,ROW()),"&lt;&gt;*Totals:*")</f>
        <v>1455</v>
      </c>
    </row>
    <row r="119" spans="1:21" ht="12.75" customHeight="1" x14ac:dyDescent="0.25">
      <c r="A119" s="47" t="s">
        <v>15</v>
      </c>
      <c r="B119" s="23" t="s">
        <v>118</v>
      </c>
      <c r="C119" s="28">
        <v>45605</v>
      </c>
      <c r="D119" s="30" t="s">
        <v>105</v>
      </c>
      <c r="E119" s="28" t="s">
        <v>121</v>
      </c>
      <c r="F119" s="28" t="s">
        <v>120</v>
      </c>
      <c r="G119" s="28">
        <v>45634</v>
      </c>
      <c r="H119" s="23" t="s">
        <v>5</v>
      </c>
      <c r="I119" s="33" t="s">
        <v>14</v>
      </c>
      <c r="J119" s="23">
        <v>1</v>
      </c>
      <c r="K119" s="23">
        <v>1</v>
      </c>
      <c r="L119" s="35">
        <v>0</v>
      </c>
      <c r="M119" s="23">
        <v>34</v>
      </c>
      <c r="N119" s="23">
        <v>34</v>
      </c>
      <c r="O119" s="49">
        <v>0</v>
      </c>
      <c r="P119" s="45" t="s">
        <v>6</v>
      </c>
      <c r="Q119" s="23" t="s">
        <v>107</v>
      </c>
      <c r="R119" s="23" t="s">
        <v>108</v>
      </c>
      <c r="S119" s="23" t="s">
        <v>9</v>
      </c>
      <c r="T119" s="23">
        <f>SUMIFS($J$1:INDEX(J:J,ROW()-1),$I$1:INDEX(I:I,ROW()-1),"&lt;&gt;Totals:")</f>
        <v>49</v>
      </c>
      <c r="U119" s="22">
        <f>SUMIFS($M$1:INDEX(M:M,ROW()),$I$1:INDEX(I:I,ROW()),"&lt;&gt;*Totals:*")</f>
        <v>1489</v>
      </c>
    </row>
    <row r="120" spans="1:21" ht="12.75" customHeight="1" x14ac:dyDescent="0.25">
      <c r="A120" s="47" t="s">
        <v>36</v>
      </c>
      <c r="B120" s="23" t="s">
        <v>122</v>
      </c>
      <c r="C120" s="28">
        <v>45606</v>
      </c>
      <c r="D120" s="30" t="s">
        <v>105</v>
      </c>
      <c r="E120" s="28" t="s">
        <v>101</v>
      </c>
      <c r="F120" s="28" t="s">
        <v>95</v>
      </c>
      <c r="G120" s="28">
        <v>45635</v>
      </c>
      <c r="H120" s="23" t="s">
        <v>5</v>
      </c>
      <c r="I120" s="33" t="s">
        <v>14</v>
      </c>
      <c r="J120" s="23">
        <v>1</v>
      </c>
      <c r="K120" s="23">
        <v>1</v>
      </c>
      <c r="L120" s="35">
        <v>0</v>
      </c>
      <c r="M120" s="23">
        <v>5</v>
      </c>
      <c r="N120" s="23">
        <v>5</v>
      </c>
      <c r="O120" s="49">
        <v>0</v>
      </c>
      <c r="P120" s="45" t="s">
        <v>6</v>
      </c>
      <c r="Q120" s="23" t="s">
        <v>107</v>
      </c>
      <c r="R120" s="23" t="s">
        <v>108</v>
      </c>
      <c r="S120" s="23" t="s">
        <v>9</v>
      </c>
      <c r="T120" s="23">
        <f>SUMIFS($J$1:INDEX(J:J,ROW()-1),$I$1:INDEX(I:I,ROW()-1),"&lt;&gt;Totals:")</f>
        <v>50</v>
      </c>
      <c r="U120" s="22">
        <f>SUMIFS($M$1:INDEX(M:M,ROW()),$I$1:INDEX(I:I,ROW()),"&lt;&gt;*Totals:*")</f>
        <v>1494</v>
      </c>
    </row>
    <row r="121" spans="1:21" ht="12.75" customHeight="1" x14ac:dyDescent="0.25">
      <c r="A121" s="47" t="s">
        <v>0</v>
      </c>
      <c r="B121" s="23" t="s">
        <v>123</v>
      </c>
      <c r="C121" s="28">
        <v>45607</v>
      </c>
      <c r="D121" s="30" t="s">
        <v>105</v>
      </c>
      <c r="E121" s="28" t="s">
        <v>124</v>
      </c>
      <c r="F121" s="28" t="s">
        <v>125</v>
      </c>
      <c r="G121" s="28">
        <v>45636</v>
      </c>
      <c r="H121" s="23" t="s">
        <v>5</v>
      </c>
      <c r="I121" s="33"/>
      <c r="J121" s="23">
        <v>0</v>
      </c>
      <c r="K121" s="23">
        <v>1</v>
      </c>
      <c r="L121" s="35">
        <v>1</v>
      </c>
      <c r="M121" s="23">
        <v>129</v>
      </c>
      <c r="N121" s="23">
        <v>0</v>
      </c>
      <c r="O121" s="49">
        <v>1</v>
      </c>
      <c r="P121" s="45" t="s">
        <v>6</v>
      </c>
      <c r="Q121" s="23" t="s">
        <v>107</v>
      </c>
      <c r="R121" s="23" t="s">
        <v>108</v>
      </c>
      <c r="S121" s="23" t="s">
        <v>9</v>
      </c>
      <c r="T121" s="23">
        <f>SUMIFS($J$1:INDEX(J:J,ROW()-1),$I$1:INDEX(I:I,ROW()-1),"&lt;&gt;Totals:")</f>
        <v>51</v>
      </c>
      <c r="U121" s="22">
        <f>SUMIFS($M$1:INDEX(M:M,ROW()),$I$1:INDEX(I:I,ROW()),"&lt;&gt;*Totals:*")</f>
        <v>1623</v>
      </c>
    </row>
    <row r="122" spans="1:21" ht="12.75" customHeight="1" x14ac:dyDescent="0.25">
      <c r="A122" s="47" t="s">
        <v>0</v>
      </c>
      <c r="B122" s="23" t="s">
        <v>123</v>
      </c>
      <c r="C122" s="28">
        <v>45613</v>
      </c>
      <c r="D122" s="30" t="s">
        <v>105</v>
      </c>
      <c r="E122" s="28" t="s">
        <v>12</v>
      </c>
      <c r="F122" s="28" t="s">
        <v>125</v>
      </c>
      <c r="G122" s="28">
        <v>45642</v>
      </c>
      <c r="H122" s="23" t="s">
        <v>5</v>
      </c>
      <c r="I122" s="33" t="s">
        <v>14</v>
      </c>
      <c r="J122" s="23">
        <v>1</v>
      </c>
      <c r="K122" s="23">
        <v>1</v>
      </c>
      <c r="L122" s="35">
        <v>0</v>
      </c>
      <c r="M122" s="23">
        <v>3</v>
      </c>
      <c r="N122" s="23">
        <v>3</v>
      </c>
      <c r="O122" s="49">
        <v>0</v>
      </c>
      <c r="P122" s="45" t="s">
        <v>6</v>
      </c>
      <c r="Q122" s="23" t="s">
        <v>107</v>
      </c>
      <c r="R122" s="23" t="s">
        <v>108</v>
      </c>
      <c r="S122" s="23" t="s">
        <v>9</v>
      </c>
      <c r="T122" s="23">
        <f>SUMIFS($J$1:INDEX(J:J,ROW()-1),$I$1:INDEX(I:I,ROW()-1),"&lt;&gt;Totals:")</f>
        <v>51</v>
      </c>
      <c r="U122" s="22">
        <f>SUMIFS($M$1:INDEX(M:M,ROW()),$I$1:INDEX(I:I,ROW()),"&lt;&gt;*Totals:*")</f>
        <v>1626</v>
      </c>
    </row>
    <row r="123" spans="1:21" ht="12.75" customHeight="1" x14ac:dyDescent="0.25">
      <c r="A123" s="47" t="s">
        <v>26</v>
      </c>
      <c r="B123" s="23" t="s">
        <v>126</v>
      </c>
      <c r="C123" s="28">
        <v>45614</v>
      </c>
      <c r="D123" s="30" t="s">
        <v>105</v>
      </c>
      <c r="E123" s="28" t="s">
        <v>101</v>
      </c>
      <c r="F123" s="28" t="s">
        <v>127</v>
      </c>
      <c r="G123" s="28">
        <v>45643</v>
      </c>
      <c r="H123" s="23" t="s">
        <v>5</v>
      </c>
      <c r="I123" s="33"/>
      <c r="J123" s="23">
        <v>0</v>
      </c>
      <c r="K123" s="23">
        <v>1</v>
      </c>
      <c r="L123" s="35">
        <v>1</v>
      </c>
      <c r="M123" s="23">
        <v>1</v>
      </c>
      <c r="N123" s="23">
        <v>0</v>
      </c>
      <c r="O123" s="49">
        <v>1</v>
      </c>
      <c r="P123" s="45" t="s">
        <v>6</v>
      </c>
      <c r="Q123" s="23" t="s">
        <v>107</v>
      </c>
      <c r="R123" s="23" t="s">
        <v>108</v>
      </c>
      <c r="S123" s="23" t="s">
        <v>9</v>
      </c>
      <c r="T123" s="23">
        <f>SUMIFS($J$1:INDEX(J:J,ROW()-1),$I$1:INDEX(I:I,ROW()-1),"&lt;&gt;Totals:")</f>
        <v>52</v>
      </c>
      <c r="U123" s="22">
        <f>SUMIFS($M$1:INDEX(M:M,ROW()),$I$1:INDEX(I:I,ROW()),"&lt;&gt;*Totals:*")</f>
        <v>1627</v>
      </c>
    </row>
    <row r="124" spans="1:21" ht="12.75" customHeight="1" thickBot="1" x14ac:dyDescent="0.3">
      <c r="A124" s="51" t="s">
        <v>10</v>
      </c>
      <c r="B124" s="20" t="s">
        <v>118</v>
      </c>
      <c r="C124" s="25">
        <v>45620</v>
      </c>
      <c r="D124" s="27" t="s">
        <v>105</v>
      </c>
      <c r="E124" s="25" t="s">
        <v>12</v>
      </c>
      <c r="F124" s="25" t="s">
        <v>120</v>
      </c>
      <c r="G124" s="25">
        <v>45649</v>
      </c>
      <c r="H124" s="20" t="s">
        <v>5</v>
      </c>
      <c r="I124" s="32" t="s">
        <v>14</v>
      </c>
      <c r="J124" s="20">
        <v>1</v>
      </c>
      <c r="K124" s="20">
        <v>1</v>
      </c>
      <c r="L124" s="34">
        <v>0</v>
      </c>
      <c r="M124" s="20">
        <v>2</v>
      </c>
      <c r="N124" s="20">
        <v>2</v>
      </c>
      <c r="O124" s="54">
        <v>0</v>
      </c>
      <c r="P124" s="45" t="s">
        <v>6</v>
      </c>
      <c r="Q124" s="23" t="s">
        <v>107</v>
      </c>
      <c r="R124" s="23" t="s">
        <v>108</v>
      </c>
      <c r="S124" s="23" t="s">
        <v>9</v>
      </c>
      <c r="T124" s="23">
        <f>SUMIFS($J$1:INDEX(J:J,ROW()-1),$I$1:INDEX(I:I,ROW()-1),"&lt;&gt;Totals:")</f>
        <v>52</v>
      </c>
      <c r="U124" s="22">
        <f>SUMIFS($M$1:INDEX(M:M,ROW()),$I$1:INDEX(I:I,ROW()),"&lt;&gt;*Totals:*")</f>
        <v>1629</v>
      </c>
    </row>
    <row r="125" spans="1:21" ht="17.25" customHeight="1" x14ac:dyDescent="0.25">
      <c r="A125" s="60"/>
      <c r="B125" s="50"/>
      <c r="C125" s="55"/>
      <c r="D125" s="56"/>
      <c r="E125" s="56"/>
      <c r="F125" s="57"/>
      <c r="G125" s="57"/>
      <c r="H125" s="57"/>
      <c r="I125" s="58" t="s">
        <v>1087</v>
      </c>
      <c r="J125" s="57">
        <f>SUM(J110:J124)</f>
        <v>11</v>
      </c>
      <c r="K125" s="57">
        <f>SUM(K110:K124)</f>
        <v>15</v>
      </c>
      <c r="L125" s="59">
        <f>(SUM(K110:K124) - SUM(J110:J124)) / SUM(K110:K124)</f>
        <v>0.26666666666666666</v>
      </c>
      <c r="M125" s="57">
        <f>SUM(M110:M124)</f>
        <v>383</v>
      </c>
      <c r="N125" s="56">
        <f>SUM(N110:N124)</f>
        <v>144</v>
      </c>
      <c r="O125" s="61">
        <f>(SUM(M110:M124) - SUM(N110:N124)) / SUM(M110:M124)</f>
        <v>0.62402088772845954</v>
      </c>
      <c r="P125" s="52"/>
      <c r="Q125" s="53"/>
      <c r="R125" s="52"/>
      <c r="S125" s="52"/>
      <c r="T125" s="52"/>
      <c r="U125" s="52"/>
    </row>
    <row r="126" spans="1:21" x14ac:dyDescent="0.25">
      <c r="A126" s="70"/>
      <c r="B126" s="64"/>
      <c r="C126" s="64"/>
      <c r="D126" s="64"/>
      <c r="E126" s="64"/>
      <c r="F126" s="64"/>
      <c r="G126" s="64"/>
      <c r="H126" s="64"/>
      <c r="I126" s="65" t="s">
        <v>1088</v>
      </c>
      <c r="J126" s="64"/>
      <c r="K126" s="64"/>
      <c r="L126" s="65" t="s">
        <v>1089</v>
      </c>
      <c r="M126" s="64"/>
      <c r="N126" s="64"/>
      <c r="O126" s="72"/>
      <c r="P126" s="62"/>
      <c r="Q126" s="62"/>
      <c r="R126" s="62"/>
      <c r="S126" s="62"/>
      <c r="T126" s="62"/>
      <c r="U126" s="62"/>
    </row>
    <row r="127" spans="1:21" ht="15.75" thickBot="1" x14ac:dyDescent="0.3">
      <c r="A127" s="71"/>
      <c r="B127" s="66"/>
      <c r="C127" s="67"/>
      <c r="D127" s="66"/>
      <c r="E127" s="66"/>
      <c r="F127" s="66"/>
      <c r="G127" s="67"/>
      <c r="H127" s="66"/>
      <c r="I127" s="68">
        <v>52</v>
      </c>
      <c r="J127" s="66"/>
      <c r="K127" s="66"/>
      <c r="L127" s="69">
        <v>1629</v>
      </c>
      <c r="M127" s="66"/>
      <c r="N127" s="66"/>
      <c r="O127" s="73"/>
      <c r="P127" s="63"/>
      <c r="Q127" s="63"/>
      <c r="R127" s="63"/>
      <c r="S127" s="63"/>
      <c r="T127" s="63"/>
      <c r="U127" s="63"/>
    </row>
    <row r="128" spans="1:21" ht="15.75" thickBot="1" x14ac:dyDescent="0.3">
      <c r="C128" s="1"/>
      <c r="G128" s="1"/>
    </row>
    <row r="129" spans="1:21" x14ac:dyDescent="0.25">
      <c r="A129" s="9"/>
      <c r="B129" s="10"/>
      <c r="C129" s="11"/>
      <c r="D129" s="11"/>
      <c r="E129" s="11"/>
      <c r="F129" s="11"/>
      <c r="G129" s="11"/>
      <c r="H129" s="12"/>
      <c r="I129" s="11"/>
      <c r="J129" s="13"/>
      <c r="K129" s="13"/>
      <c r="L129" s="13"/>
      <c r="M129" s="13"/>
      <c r="N129" s="11"/>
      <c r="O129" s="14"/>
      <c r="P129" s="4"/>
      <c r="Q129" s="5"/>
      <c r="R129" s="4"/>
      <c r="S129" s="4"/>
      <c r="T129" s="4"/>
      <c r="U129" s="4"/>
    </row>
    <row r="130" spans="1:21" x14ac:dyDescent="0.25">
      <c r="A130" s="6" t="s">
        <v>1067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15"/>
      <c r="P130" s="3"/>
      <c r="Q130" s="3"/>
      <c r="R130" s="3"/>
      <c r="S130" s="3"/>
      <c r="T130" s="3"/>
      <c r="U130" s="3"/>
    </row>
    <row r="131" spans="1:21" x14ac:dyDescent="0.25">
      <c r="A131" s="7" t="s">
        <v>132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15"/>
      <c r="P131" s="3"/>
      <c r="Q131" s="3"/>
      <c r="R131" s="3"/>
      <c r="S131" s="3"/>
      <c r="T131" s="3"/>
      <c r="U131" s="3"/>
    </row>
    <row r="132" spans="1:21" ht="15.75" thickBot="1" x14ac:dyDescent="0.3">
      <c r="A132" s="8"/>
      <c r="B132" s="8"/>
      <c r="C132" s="74"/>
      <c r="D132" s="8"/>
      <c r="E132" s="8"/>
      <c r="F132" s="8"/>
      <c r="G132" s="74"/>
      <c r="H132" s="8"/>
      <c r="I132" s="8"/>
      <c r="J132" s="8"/>
      <c r="K132" s="8"/>
      <c r="L132" s="8"/>
      <c r="M132" s="8"/>
      <c r="N132" s="8"/>
      <c r="O132" s="16"/>
      <c r="P132" s="3"/>
      <c r="Q132" s="3"/>
      <c r="R132" s="3"/>
      <c r="S132" s="3"/>
      <c r="T132" s="3"/>
      <c r="U132" s="3"/>
    </row>
    <row r="133" spans="1:21" ht="17.25" customHeight="1" thickBot="1" x14ac:dyDescent="0.3">
      <c r="A133" s="19" t="s">
        <v>1068</v>
      </c>
      <c r="B133" s="24" t="s">
        <v>1069</v>
      </c>
      <c r="C133" s="26" t="s">
        <v>1070</v>
      </c>
      <c r="D133" s="29" t="s">
        <v>1071</v>
      </c>
      <c r="E133" s="26" t="s">
        <v>1072</v>
      </c>
      <c r="F133" s="31" t="s">
        <v>1073</v>
      </c>
      <c r="G133" s="31" t="s">
        <v>1074</v>
      </c>
      <c r="H133" s="31" t="s">
        <v>1075</v>
      </c>
      <c r="I133" s="29" t="s">
        <v>14</v>
      </c>
      <c r="J133" s="29" t="s">
        <v>1076</v>
      </c>
      <c r="K133" s="29" t="s">
        <v>1077</v>
      </c>
      <c r="L133" s="29" t="s">
        <v>1078</v>
      </c>
      <c r="M133" s="29" t="s">
        <v>1079</v>
      </c>
      <c r="N133" s="29" t="s">
        <v>1080</v>
      </c>
      <c r="O133" s="36" t="s">
        <v>1081</v>
      </c>
      <c r="P133" s="37" t="s">
        <v>1082</v>
      </c>
      <c r="Q133" s="38" t="s">
        <v>1083</v>
      </c>
      <c r="R133" s="38" t="s">
        <v>1084</v>
      </c>
      <c r="S133" s="38" t="s">
        <v>1085</v>
      </c>
      <c r="T133" s="38" t="s">
        <v>1086</v>
      </c>
      <c r="U133" s="39" t="s">
        <v>1086</v>
      </c>
    </row>
    <row r="134" spans="1:21" ht="12.75" customHeight="1" x14ac:dyDescent="0.25">
      <c r="A134" s="46" t="s">
        <v>29</v>
      </c>
      <c r="B134" s="40" t="s">
        <v>128</v>
      </c>
      <c r="C134" s="41">
        <v>45627</v>
      </c>
      <c r="D134" s="42" t="s">
        <v>129</v>
      </c>
      <c r="E134" s="41" t="s">
        <v>130</v>
      </c>
      <c r="F134" s="41" t="s">
        <v>131</v>
      </c>
      <c r="G134" s="41">
        <v>45656</v>
      </c>
      <c r="H134" s="40" t="s">
        <v>5</v>
      </c>
      <c r="I134" s="43" t="s">
        <v>14</v>
      </c>
      <c r="J134" s="40">
        <v>1</v>
      </c>
      <c r="K134" s="40">
        <v>1</v>
      </c>
      <c r="L134" s="44">
        <v>0</v>
      </c>
      <c r="M134" s="40">
        <v>17</v>
      </c>
      <c r="N134" s="40">
        <v>17</v>
      </c>
      <c r="O134" s="48">
        <v>0</v>
      </c>
      <c r="P134" s="45" t="s">
        <v>6</v>
      </c>
      <c r="Q134" s="23" t="s">
        <v>132</v>
      </c>
      <c r="R134" s="23" t="s">
        <v>133</v>
      </c>
      <c r="S134" s="23" t="s">
        <v>9</v>
      </c>
      <c r="T134" s="23">
        <f>SUMIFS($J$1:INDEX(J:J,ROW()-1),$I$1:INDEX(I:I,ROW()-1),"&lt;&gt;Totals:")</f>
        <v>53</v>
      </c>
      <c r="U134" s="22">
        <f>SUMIFS($M$1:INDEX(M:M,ROW()),$I$1:INDEX(I:I,ROW()),"&lt;&gt;*Totals:*")</f>
        <v>1646</v>
      </c>
    </row>
    <row r="135" spans="1:21" ht="12.75" customHeight="1" x14ac:dyDescent="0.25">
      <c r="A135" s="47" t="s">
        <v>29</v>
      </c>
      <c r="B135" s="23" t="s">
        <v>134</v>
      </c>
      <c r="C135" s="28">
        <v>45627</v>
      </c>
      <c r="D135" s="30" t="s">
        <v>129</v>
      </c>
      <c r="E135" s="28" t="s">
        <v>130</v>
      </c>
      <c r="F135" s="28" t="s">
        <v>135</v>
      </c>
      <c r="G135" s="28">
        <v>45656</v>
      </c>
      <c r="H135" s="23" t="s">
        <v>5</v>
      </c>
      <c r="I135" s="33" t="s">
        <v>14</v>
      </c>
      <c r="J135" s="23">
        <v>1</v>
      </c>
      <c r="K135" s="23">
        <v>1</v>
      </c>
      <c r="L135" s="35">
        <v>0</v>
      </c>
      <c r="M135" s="23">
        <v>9</v>
      </c>
      <c r="N135" s="23">
        <v>9</v>
      </c>
      <c r="O135" s="49">
        <v>0</v>
      </c>
      <c r="P135" s="45" t="s">
        <v>6</v>
      </c>
      <c r="Q135" s="23" t="s">
        <v>132</v>
      </c>
      <c r="R135" s="23" t="s">
        <v>133</v>
      </c>
      <c r="S135" s="23" t="s">
        <v>9</v>
      </c>
      <c r="T135" s="23">
        <f>SUMIFS($J$1:INDEX(J:J,ROW()-1),$I$1:INDEX(I:I,ROW()-1),"&lt;&gt;Totals:")</f>
        <v>54</v>
      </c>
      <c r="U135" s="22">
        <f>SUMIFS($M$1:INDEX(M:M,ROW()),$I$1:INDEX(I:I,ROW()),"&lt;&gt;*Totals:*")</f>
        <v>1655</v>
      </c>
    </row>
    <row r="136" spans="1:21" ht="12.75" customHeight="1" x14ac:dyDescent="0.25">
      <c r="A136" s="47" t="s">
        <v>26</v>
      </c>
      <c r="B136" s="23" t="s">
        <v>136</v>
      </c>
      <c r="C136" s="28">
        <v>45628</v>
      </c>
      <c r="D136" s="30" t="s">
        <v>129</v>
      </c>
      <c r="E136" s="28" t="s">
        <v>130</v>
      </c>
      <c r="F136" s="28" t="s">
        <v>137</v>
      </c>
      <c r="G136" s="28">
        <v>45657</v>
      </c>
      <c r="H136" s="23" t="s">
        <v>5</v>
      </c>
      <c r="I136" s="33" t="s">
        <v>14</v>
      </c>
      <c r="J136" s="23">
        <v>1</v>
      </c>
      <c r="K136" s="23">
        <v>1</v>
      </c>
      <c r="L136" s="35">
        <v>0</v>
      </c>
      <c r="M136" s="23">
        <v>3</v>
      </c>
      <c r="N136" s="23">
        <v>3</v>
      </c>
      <c r="O136" s="49">
        <v>0</v>
      </c>
      <c r="P136" s="45" t="s">
        <v>6</v>
      </c>
      <c r="Q136" s="23" t="s">
        <v>132</v>
      </c>
      <c r="R136" s="23" t="s">
        <v>133</v>
      </c>
      <c r="S136" s="23" t="s">
        <v>9</v>
      </c>
      <c r="T136" s="23">
        <f>SUMIFS($J$1:INDEX(J:J,ROW()-1),$I$1:INDEX(I:I,ROW()-1),"&lt;&gt;Totals:")</f>
        <v>55</v>
      </c>
      <c r="U136" s="22">
        <f>SUMIFS($M$1:INDEX(M:M,ROW()),$I$1:INDEX(I:I,ROW()),"&lt;&gt;*Totals:*")</f>
        <v>1658</v>
      </c>
    </row>
    <row r="137" spans="1:21" ht="12.75" customHeight="1" x14ac:dyDescent="0.25">
      <c r="A137" s="47" t="s">
        <v>17</v>
      </c>
      <c r="B137" s="23" t="s">
        <v>138</v>
      </c>
      <c r="C137" s="28">
        <v>45628</v>
      </c>
      <c r="D137" s="30" t="s">
        <v>129</v>
      </c>
      <c r="E137" s="28" t="s">
        <v>130</v>
      </c>
      <c r="F137" s="28" t="s">
        <v>121</v>
      </c>
      <c r="G137" s="28">
        <v>45657</v>
      </c>
      <c r="H137" s="23" t="s">
        <v>5</v>
      </c>
      <c r="I137" s="33" t="s">
        <v>14</v>
      </c>
      <c r="J137" s="23">
        <v>1</v>
      </c>
      <c r="K137" s="23">
        <v>1</v>
      </c>
      <c r="L137" s="35">
        <v>0</v>
      </c>
      <c r="M137" s="23">
        <v>23</v>
      </c>
      <c r="N137" s="23">
        <v>23</v>
      </c>
      <c r="O137" s="49">
        <v>0</v>
      </c>
      <c r="P137" s="45" t="s">
        <v>6</v>
      </c>
      <c r="Q137" s="23" t="s">
        <v>132</v>
      </c>
      <c r="R137" s="23" t="s">
        <v>133</v>
      </c>
      <c r="S137" s="23" t="s">
        <v>9</v>
      </c>
      <c r="T137" s="23">
        <f>SUMIFS($J$1:INDEX(J:J,ROW()-1),$I$1:INDEX(I:I,ROW()-1),"&lt;&gt;Totals:")</f>
        <v>56</v>
      </c>
      <c r="U137" s="22">
        <f>SUMIFS($M$1:INDEX(M:M,ROW()),$I$1:INDEX(I:I,ROW()),"&lt;&gt;*Totals:*")</f>
        <v>1681</v>
      </c>
    </row>
    <row r="138" spans="1:21" ht="12.75" customHeight="1" x14ac:dyDescent="0.25">
      <c r="A138" s="47" t="s">
        <v>17</v>
      </c>
      <c r="B138" s="23" t="s">
        <v>139</v>
      </c>
      <c r="C138" s="28">
        <v>45628</v>
      </c>
      <c r="D138" s="30" t="s">
        <v>129</v>
      </c>
      <c r="E138" s="28" t="s">
        <v>130</v>
      </c>
      <c r="F138" s="28" t="s">
        <v>140</v>
      </c>
      <c r="G138" s="28">
        <v>45657</v>
      </c>
      <c r="H138" s="23" t="s">
        <v>5</v>
      </c>
      <c r="I138" s="33" t="s">
        <v>14</v>
      </c>
      <c r="J138" s="23">
        <v>1</v>
      </c>
      <c r="K138" s="23">
        <v>1</v>
      </c>
      <c r="L138" s="35">
        <v>0</v>
      </c>
      <c r="M138" s="23">
        <v>2</v>
      </c>
      <c r="N138" s="23">
        <v>2</v>
      </c>
      <c r="O138" s="49">
        <v>0</v>
      </c>
      <c r="P138" s="45" t="s">
        <v>6</v>
      </c>
      <c r="Q138" s="23" t="s">
        <v>132</v>
      </c>
      <c r="R138" s="23" t="s">
        <v>133</v>
      </c>
      <c r="S138" s="23" t="s">
        <v>9</v>
      </c>
      <c r="T138" s="23">
        <f>SUMIFS($J$1:INDEX(J:J,ROW()-1),$I$1:INDEX(I:I,ROW()-1),"&lt;&gt;Totals:")</f>
        <v>57</v>
      </c>
      <c r="U138" s="22">
        <f>SUMIFS($M$1:INDEX(M:M,ROW()),$I$1:INDEX(I:I,ROW()),"&lt;&gt;*Totals:*")</f>
        <v>1683</v>
      </c>
    </row>
    <row r="139" spans="1:21" ht="12.75" customHeight="1" x14ac:dyDescent="0.25">
      <c r="A139" s="47" t="s">
        <v>29</v>
      </c>
      <c r="B139" s="23" t="s">
        <v>141</v>
      </c>
      <c r="C139" s="28">
        <v>45628</v>
      </c>
      <c r="D139" s="30" t="s">
        <v>129</v>
      </c>
      <c r="E139" s="28" t="s">
        <v>130</v>
      </c>
      <c r="F139" s="28" t="s">
        <v>142</v>
      </c>
      <c r="G139" s="28">
        <v>45657</v>
      </c>
      <c r="H139" s="23" t="s">
        <v>5</v>
      </c>
      <c r="I139" s="33" t="s">
        <v>14</v>
      </c>
      <c r="J139" s="23">
        <v>1</v>
      </c>
      <c r="K139" s="23">
        <v>1</v>
      </c>
      <c r="L139" s="35">
        <v>0</v>
      </c>
      <c r="M139" s="23">
        <v>2</v>
      </c>
      <c r="N139" s="23">
        <v>2</v>
      </c>
      <c r="O139" s="49">
        <v>0</v>
      </c>
      <c r="P139" s="45" t="s">
        <v>6</v>
      </c>
      <c r="Q139" s="23" t="s">
        <v>132</v>
      </c>
      <c r="R139" s="23" t="s">
        <v>133</v>
      </c>
      <c r="S139" s="23" t="s">
        <v>9</v>
      </c>
      <c r="T139" s="23">
        <f>SUMIFS($J$1:INDEX(J:J,ROW()-1),$I$1:INDEX(I:I,ROW()-1),"&lt;&gt;Totals:")</f>
        <v>58</v>
      </c>
      <c r="U139" s="22">
        <f>SUMIFS($M$1:INDEX(M:M,ROW()),$I$1:INDEX(I:I,ROW()),"&lt;&gt;*Totals:*")</f>
        <v>1685</v>
      </c>
    </row>
    <row r="140" spans="1:21" ht="12.75" customHeight="1" x14ac:dyDescent="0.25">
      <c r="A140" s="47" t="s">
        <v>29</v>
      </c>
      <c r="B140" s="23" t="s">
        <v>141</v>
      </c>
      <c r="C140" s="28">
        <v>45629</v>
      </c>
      <c r="D140" s="30" t="s">
        <v>129</v>
      </c>
      <c r="E140" s="28" t="s">
        <v>130</v>
      </c>
      <c r="F140" s="28" t="s">
        <v>142</v>
      </c>
      <c r="G140" s="28">
        <v>45658</v>
      </c>
      <c r="H140" s="23" t="s">
        <v>5</v>
      </c>
      <c r="I140" s="33" t="s">
        <v>14</v>
      </c>
      <c r="J140" s="23">
        <v>1</v>
      </c>
      <c r="K140" s="23">
        <v>1</v>
      </c>
      <c r="L140" s="35">
        <v>0</v>
      </c>
      <c r="M140" s="23">
        <v>1</v>
      </c>
      <c r="N140" s="23">
        <v>1</v>
      </c>
      <c r="O140" s="49">
        <v>0</v>
      </c>
      <c r="P140" s="45" t="s">
        <v>6</v>
      </c>
      <c r="Q140" s="23" t="s">
        <v>132</v>
      </c>
      <c r="R140" s="23" t="s">
        <v>133</v>
      </c>
      <c r="S140" s="23" t="s">
        <v>9</v>
      </c>
      <c r="T140" s="23">
        <f>SUMIFS($J$1:INDEX(J:J,ROW()-1),$I$1:INDEX(I:I,ROW()-1),"&lt;&gt;Totals:")</f>
        <v>59</v>
      </c>
      <c r="U140" s="22">
        <f>SUMIFS($M$1:INDEX(M:M,ROW()),$I$1:INDEX(I:I,ROW()),"&lt;&gt;*Totals:*")</f>
        <v>1686</v>
      </c>
    </row>
    <row r="141" spans="1:21" ht="12.75" customHeight="1" x14ac:dyDescent="0.25">
      <c r="A141" s="47" t="s">
        <v>15</v>
      </c>
      <c r="B141" s="23" t="s">
        <v>118</v>
      </c>
      <c r="C141" s="28">
        <v>45632</v>
      </c>
      <c r="D141" s="30" t="s">
        <v>129</v>
      </c>
      <c r="E141" s="28" t="s">
        <v>121</v>
      </c>
      <c r="F141" s="28" t="s">
        <v>120</v>
      </c>
      <c r="G141" s="28">
        <v>45661</v>
      </c>
      <c r="H141" s="23" t="s">
        <v>5</v>
      </c>
      <c r="I141" s="33"/>
      <c r="J141" s="23">
        <v>0</v>
      </c>
      <c r="K141" s="23">
        <v>1</v>
      </c>
      <c r="L141" s="35">
        <v>1</v>
      </c>
      <c r="M141" s="23">
        <v>1</v>
      </c>
      <c r="N141" s="23">
        <v>0</v>
      </c>
      <c r="O141" s="49">
        <v>1</v>
      </c>
      <c r="P141" s="45" t="s">
        <v>6</v>
      </c>
      <c r="Q141" s="23" t="s">
        <v>132</v>
      </c>
      <c r="R141" s="23" t="s">
        <v>133</v>
      </c>
      <c r="S141" s="23" t="s">
        <v>9</v>
      </c>
      <c r="T141" s="23">
        <f>SUMIFS($J$1:INDEX(J:J,ROW()-1),$I$1:INDEX(I:I,ROW()-1),"&lt;&gt;Totals:")</f>
        <v>60</v>
      </c>
      <c r="U141" s="22">
        <f>SUMIFS($M$1:INDEX(M:M,ROW()),$I$1:INDEX(I:I,ROW()),"&lt;&gt;*Totals:*")</f>
        <v>1687</v>
      </c>
    </row>
    <row r="142" spans="1:21" ht="12.75" customHeight="1" x14ac:dyDescent="0.25">
      <c r="A142" s="47" t="s">
        <v>29</v>
      </c>
      <c r="B142" s="23" t="s">
        <v>141</v>
      </c>
      <c r="C142" s="28">
        <v>45632</v>
      </c>
      <c r="D142" s="30" t="s">
        <v>129</v>
      </c>
      <c r="E142" s="28" t="s">
        <v>130</v>
      </c>
      <c r="F142" s="28" t="s">
        <v>142</v>
      </c>
      <c r="G142" s="28">
        <v>45661</v>
      </c>
      <c r="H142" s="23" t="s">
        <v>5</v>
      </c>
      <c r="I142" s="33" t="s">
        <v>14</v>
      </c>
      <c r="J142" s="23">
        <v>1</v>
      </c>
      <c r="K142" s="23">
        <v>1</v>
      </c>
      <c r="L142" s="35">
        <v>0</v>
      </c>
      <c r="M142" s="23">
        <v>2</v>
      </c>
      <c r="N142" s="23">
        <v>2</v>
      </c>
      <c r="O142" s="49">
        <v>0</v>
      </c>
      <c r="P142" s="45" t="s">
        <v>6</v>
      </c>
      <c r="Q142" s="23" t="s">
        <v>132</v>
      </c>
      <c r="R142" s="23" t="s">
        <v>133</v>
      </c>
      <c r="S142" s="23" t="s">
        <v>9</v>
      </c>
      <c r="T142" s="23">
        <f>SUMIFS($J$1:INDEX(J:J,ROW()-1),$I$1:INDEX(I:I,ROW()-1),"&lt;&gt;Totals:")</f>
        <v>60</v>
      </c>
      <c r="U142" s="22">
        <f>SUMIFS($M$1:INDEX(M:M,ROW()),$I$1:INDEX(I:I,ROW()),"&lt;&gt;*Totals:*")</f>
        <v>1689</v>
      </c>
    </row>
    <row r="143" spans="1:21" ht="12.75" customHeight="1" x14ac:dyDescent="0.25">
      <c r="A143" s="47" t="s">
        <v>10</v>
      </c>
      <c r="B143" s="23" t="s">
        <v>118</v>
      </c>
      <c r="C143" s="28">
        <v>45632</v>
      </c>
      <c r="D143" s="30" t="s">
        <v>129</v>
      </c>
      <c r="E143" s="28" t="s">
        <v>12</v>
      </c>
      <c r="F143" s="28" t="s">
        <v>120</v>
      </c>
      <c r="G143" s="28">
        <v>45661</v>
      </c>
      <c r="H143" s="23" t="s">
        <v>5</v>
      </c>
      <c r="I143" s="33" t="s">
        <v>14</v>
      </c>
      <c r="J143" s="23">
        <v>1</v>
      </c>
      <c r="K143" s="23">
        <v>1</v>
      </c>
      <c r="L143" s="35">
        <v>0</v>
      </c>
      <c r="M143" s="23">
        <v>3</v>
      </c>
      <c r="N143" s="23">
        <v>3</v>
      </c>
      <c r="O143" s="49">
        <v>0</v>
      </c>
      <c r="P143" s="45" t="s">
        <v>6</v>
      </c>
      <c r="Q143" s="23" t="s">
        <v>132</v>
      </c>
      <c r="R143" s="23" t="s">
        <v>133</v>
      </c>
      <c r="S143" s="23" t="s">
        <v>9</v>
      </c>
      <c r="T143" s="23">
        <f>SUMIFS($J$1:INDEX(J:J,ROW()-1),$I$1:INDEX(I:I,ROW()-1),"&lt;&gt;Totals:")</f>
        <v>61</v>
      </c>
      <c r="U143" s="22">
        <f>SUMIFS($M$1:INDEX(M:M,ROW()),$I$1:INDEX(I:I,ROW()),"&lt;&gt;*Totals:*")</f>
        <v>1692</v>
      </c>
    </row>
    <row r="144" spans="1:21" ht="12.75" customHeight="1" x14ac:dyDescent="0.25">
      <c r="A144" s="47" t="s">
        <v>36</v>
      </c>
      <c r="B144" s="23" t="s">
        <v>143</v>
      </c>
      <c r="C144" s="28">
        <v>45634</v>
      </c>
      <c r="D144" s="30" t="s">
        <v>129</v>
      </c>
      <c r="E144" s="28" t="s">
        <v>144</v>
      </c>
      <c r="F144" s="28" t="s">
        <v>120</v>
      </c>
      <c r="G144" s="28">
        <v>45663</v>
      </c>
      <c r="H144" s="23" t="s">
        <v>5</v>
      </c>
      <c r="I144" s="33" t="s">
        <v>14</v>
      </c>
      <c r="J144" s="23">
        <v>1</v>
      </c>
      <c r="K144" s="23">
        <v>1</v>
      </c>
      <c r="L144" s="35">
        <v>0</v>
      </c>
      <c r="M144" s="23">
        <v>4</v>
      </c>
      <c r="N144" s="23">
        <v>4</v>
      </c>
      <c r="O144" s="49">
        <v>0</v>
      </c>
      <c r="P144" s="45" t="s">
        <v>6</v>
      </c>
      <c r="Q144" s="23" t="s">
        <v>132</v>
      </c>
      <c r="R144" s="23" t="s">
        <v>133</v>
      </c>
      <c r="S144" s="23" t="s">
        <v>9</v>
      </c>
      <c r="T144" s="23">
        <f>SUMIFS($J$1:INDEX(J:J,ROW()-1),$I$1:INDEX(I:I,ROW()-1),"&lt;&gt;Totals:")</f>
        <v>62</v>
      </c>
      <c r="U144" s="22">
        <f>SUMIFS($M$1:INDEX(M:M,ROW()),$I$1:INDEX(I:I,ROW()),"&lt;&gt;*Totals:*")</f>
        <v>1696</v>
      </c>
    </row>
    <row r="145" spans="1:21" ht="12.75" customHeight="1" x14ac:dyDescent="0.25">
      <c r="A145" s="47" t="s">
        <v>40</v>
      </c>
      <c r="B145" s="23" t="s">
        <v>145</v>
      </c>
      <c r="C145" s="28">
        <v>45634</v>
      </c>
      <c r="D145" s="30" t="s">
        <v>129</v>
      </c>
      <c r="E145" s="28" t="s">
        <v>144</v>
      </c>
      <c r="F145" s="28" t="s">
        <v>142</v>
      </c>
      <c r="G145" s="28">
        <v>45663</v>
      </c>
      <c r="H145" s="23" t="s">
        <v>5</v>
      </c>
      <c r="I145" s="33" t="s">
        <v>14</v>
      </c>
      <c r="J145" s="23">
        <v>1</v>
      </c>
      <c r="K145" s="23">
        <v>1</v>
      </c>
      <c r="L145" s="35">
        <v>0</v>
      </c>
      <c r="M145" s="23">
        <v>12</v>
      </c>
      <c r="N145" s="23">
        <v>12</v>
      </c>
      <c r="O145" s="49">
        <v>0</v>
      </c>
      <c r="P145" s="45" t="s">
        <v>6</v>
      </c>
      <c r="Q145" s="23" t="s">
        <v>132</v>
      </c>
      <c r="R145" s="23" t="s">
        <v>133</v>
      </c>
      <c r="S145" s="23" t="s">
        <v>9</v>
      </c>
      <c r="T145" s="23">
        <f>SUMIFS($J$1:INDEX(J:J,ROW()-1),$I$1:INDEX(I:I,ROW()-1),"&lt;&gt;Totals:")</f>
        <v>63</v>
      </c>
      <c r="U145" s="22">
        <f>SUMIFS($M$1:INDEX(M:M,ROW()),$I$1:INDEX(I:I,ROW()),"&lt;&gt;*Totals:*")</f>
        <v>1708</v>
      </c>
    </row>
    <row r="146" spans="1:21" ht="12.75" customHeight="1" x14ac:dyDescent="0.25">
      <c r="A146" s="47" t="s">
        <v>15</v>
      </c>
      <c r="B146" s="23" t="s">
        <v>146</v>
      </c>
      <c r="C146" s="28">
        <v>45634</v>
      </c>
      <c r="D146" s="30" t="s">
        <v>129</v>
      </c>
      <c r="E146" s="28" t="s">
        <v>147</v>
      </c>
      <c r="F146" s="28" t="s">
        <v>131</v>
      </c>
      <c r="G146" s="28">
        <v>45663</v>
      </c>
      <c r="H146" s="23" t="s">
        <v>5</v>
      </c>
      <c r="I146" s="33" t="s">
        <v>14</v>
      </c>
      <c r="J146" s="23">
        <v>1</v>
      </c>
      <c r="K146" s="23">
        <v>1</v>
      </c>
      <c r="L146" s="35">
        <v>0</v>
      </c>
      <c r="M146" s="23">
        <v>28</v>
      </c>
      <c r="N146" s="23">
        <v>28</v>
      </c>
      <c r="O146" s="49">
        <v>0</v>
      </c>
      <c r="P146" s="45" t="s">
        <v>6</v>
      </c>
      <c r="Q146" s="23" t="s">
        <v>132</v>
      </c>
      <c r="R146" s="23" t="s">
        <v>133</v>
      </c>
      <c r="S146" s="23" t="s">
        <v>9</v>
      </c>
      <c r="T146" s="23">
        <f>SUMIFS($J$1:INDEX(J:J,ROW()-1),$I$1:INDEX(I:I,ROW()-1),"&lt;&gt;Totals:")</f>
        <v>64</v>
      </c>
      <c r="U146" s="22">
        <f>SUMIFS($M$1:INDEX(M:M,ROW()),$I$1:INDEX(I:I,ROW()),"&lt;&gt;*Totals:*")</f>
        <v>1736</v>
      </c>
    </row>
    <row r="147" spans="1:21" ht="12.75" customHeight="1" x14ac:dyDescent="0.25">
      <c r="A147" s="47" t="s">
        <v>10</v>
      </c>
      <c r="B147" s="23" t="s">
        <v>146</v>
      </c>
      <c r="C147" s="28">
        <v>45634</v>
      </c>
      <c r="D147" s="30" t="s">
        <v>129</v>
      </c>
      <c r="E147" s="28" t="s">
        <v>12</v>
      </c>
      <c r="F147" s="28" t="s">
        <v>148</v>
      </c>
      <c r="G147" s="28">
        <v>45663</v>
      </c>
      <c r="H147" s="23" t="s">
        <v>5</v>
      </c>
      <c r="I147" s="33" t="s">
        <v>14</v>
      </c>
      <c r="J147" s="23">
        <v>1</v>
      </c>
      <c r="K147" s="23">
        <v>1</v>
      </c>
      <c r="L147" s="35">
        <v>0</v>
      </c>
      <c r="M147" s="23">
        <v>96</v>
      </c>
      <c r="N147" s="23">
        <v>96</v>
      </c>
      <c r="O147" s="49">
        <v>0</v>
      </c>
      <c r="P147" s="45" t="s">
        <v>6</v>
      </c>
      <c r="Q147" s="23" t="s">
        <v>132</v>
      </c>
      <c r="R147" s="23" t="s">
        <v>133</v>
      </c>
      <c r="S147" s="23" t="s">
        <v>9</v>
      </c>
      <c r="T147" s="23">
        <f>SUMIFS($J$1:INDEX(J:J,ROW()-1),$I$1:INDEX(I:I,ROW()-1),"&lt;&gt;Totals:")</f>
        <v>65</v>
      </c>
      <c r="U147" s="22">
        <f>SUMIFS($M$1:INDEX(M:M,ROW()),$I$1:INDEX(I:I,ROW()),"&lt;&gt;*Totals:*")</f>
        <v>1832</v>
      </c>
    </row>
    <row r="148" spans="1:21" ht="12.75" customHeight="1" x14ac:dyDescent="0.25">
      <c r="A148" s="47" t="s">
        <v>36</v>
      </c>
      <c r="B148" s="23" t="s">
        <v>143</v>
      </c>
      <c r="C148" s="28">
        <v>45635</v>
      </c>
      <c r="D148" s="30" t="s">
        <v>129</v>
      </c>
      <c r="E148" s="28" t="s">
        <v>144</v>
      </c>
      <c r="F148" s="28" t="s">
        <v>120</v>
      </c>
      <c r="G148" s="28">
        <v>45664</v>
      </c>
      <c r="H148" s="23" t="s">
        <v>5</v>
      </c>
      <c r="I148" s="33" t="s">
        <v>14</v>
      </c>
      <c r="J148" s="23">
        <v>1</v>
      </c>
      <c r="K148" s="23">
        <v>1</v>
      </c>
      <c r="L148" s="35">
        <v>0</v>
      </c>
      <c r="M148" s="23">
        <v>1</v>
      </c>
      <c r="N148" s="23">
        <v>1</v>
      </c>
      <c r="O148" s="49">
        <v>0</v>
      </c>
      <c r="P148" s="45" t="s">
        <v>6</v>
      </c>
      <c r="Q148" s="23" t="s">
        <v>132</v>
      </c>
      <c r="R148" s="23" t="s">
        <v>133</v>
      </c>
      <c r="S148" s="23" t="s">
        <v>9</v>
      </c>
      <c r="T148" s="23">
        <f>SUMIFS($J$1:INDEX(J:J,ROW()-1),$I$1:INDEX(I:I,ROW()-1),"&lt;&gt;Totals:")</f>
        <v>66</v>
      </c>
      <c r="U148" s="22">
        <f>SUMIFS($M$1:INDEX(M:M,ROW()),$I$1:INDEX(I:I,ROW()),"&lt;&gt;*Totals:*")</f>
        <v>1833</v>
      </c>
    </row>
    <row r="149" spans="1:21" ht="12.75" customHeight="1" x14ac:dyDescent="0.25">
      <c r="A149" s="47" t="s">
        <v>10</v>
      </c>
      <c r="B149" s="23" t="s">
        <v>146</v>
      </c>
      <c r="C149" s="28">
        <v>45635</v>
      </c>
      <c r="D149" s="30" t="s">
        <v>129</v>
      </c>
      <c r="E149" s="28" t="s">
        <v>12</v>
      </c>
      <c r="F149" s="28" t="s">
        <v>148</v>
      </c>
      <c r="G149" s="28">
        <v>45664</v>
      </c>
      <c r="H149" s="23" t="s">
        <v>5</v>
      </c>
      <c r="I149" s="33" t="s">
        <v>14</v>
      </c>
      <c r="J149" s="23">
        <v>1</v>
      </c>
      <c r="K149" s="23">
        <v>1</v>
      </c>
      <c r="L149" s="35">
        <v>0</v>
      </c>
      <c r="M149" s="23">
        <v>6</v>
      </c>
      <c r="N149" s="23">
        <v>6</v>
      </c>
      <c r="O149" s="49">
        <v>0</v>
      </c>
      <c r="P149" s="45" t="s">
        <v>6</v>
      </c>
      <c r="Q149" s="23" t="s">
        <v>132</v>
      </c>
      <c r="R149" s="23" t="s">
        <v>133</v>
      </c>
      <c r="S149" s="23" t="s">
        <v>9</v>
      </c>
      <c r="T149" s="23">
        <f>SUMIFS($J$1:INDEX(J:J,ROW()-1),$I$1:INDEX(I:I,ROW()-1),"&lt;&gt;Totals:")</f>
        <v>67</v>
      </c>
      <c r="U149" s="22">
        <f>SUMIFS($M$1:INDEX(M:M,ROW()),$I$1:INDEX(I:I,ROW()),"&lt;&gt;*Totals:*")</f>
        <v>1839</v>
      </c>
    </row>
    <row r="150" spans="1:21" ht="12.75" customHeight="1" x14ac:dyDescent="0.25">
      <c r="A150" s="47" t="s">
        <v>15</v>
      </c>
      <c r="B150" s="23" t="s">
        <v>146</v>
      </c>
      <c r="C150" s="28">
        <v>45635</v>
      </c>
      <c r="D150" s="30" t="s">
        <v>129</v>
      </c>
      <c r="E150" s="28" t="s">
        <v>147</v>
      </c>
      <c r="F150" s="28" t="s">
        <v>131</v>
      </c>
      <c r="G150" s="28">
        <v>45664</v>
      </c>
      <c r="H150" s="23" t="s">
        <v>5</v>
      </c>
      <c r="I150" s="33" t="s">
        <v>14</v>
      </c>
      <c r="J150" s="23">
        <v>1</v>
      </c>
      <c r="K150" s="23">
        <v>1</v>
      </c>
      <c r="L150" s="35">
        <v>0</v>
      </c>
      <c r="M150" s="23">
        <v>2</v>
      </c>
      <c r="N150" s="23">
        <v>2</v>
      </c>
      <c r="O150" s="49">
        <v>0</v>
      </c>
      <c r="P150" s="45" t="s">
        <v>6</v>
      </c>
      <c r="Q150" s="23" t="s">
        <v>132</v>
      </c>
      <c r="R150" s="23" t="s">
        <v>133</v>
      </c>
      <c r="S150" s="23" t="s">
        <v>9</v>
      </c>
      <c r="T150" s="23">
        <f>SUMIFS($J$1:INDEX(J:J,ROW()-1),$I$1:INDEX(I:I,ROW()-1),"&lt;&gt;Totals:")</f>
        <v>68</v>
      </c>
      <c r="U150" s="22">
        <f>SUMIFS($M$1:INDEX(M:M,ROW()),$I$1:INDEX(I:I,ROW()),"&lt;&gt;*Totals:*")</f>
        <v>1841</v>
      </c>
    </row>
    <row r="151" spans="1:21" ht="12.75" customHeight="1" x14ac:dyDescent="0.25">
      <c r="A151" s="47" t="s">
        <v>26</v>
      </c>
      <c r="B151" s="23" t="s">
        <v>149</v>
      </c>
      <c r="C151" s="28">
        <v>45635</v>
      </c>
      <c r="D151" s="30" t="s">
        <v>129</v>
      </c>
      <c r="E151" s="28" t="s">
        <v>130</v>
      </c>
      <c r="F151" s="28" t="s">
        <v>150</v>
      </c>
      <c r="G151" s="28">
        <v>45664</v>
      </c>
      <c r="H151" s="23" t="s">
        <v>5</v>
      </c>
      <c r="I151" s="33" t="s">
        <v>14</v>
      </c>
      <c r="J151" s="23">
        <v>1</v>
      </c>
      <c r="K151" s="23">
        <v>1</v>
      </c>
      <c r="L151" s="35">
        <v>0</v>
      </c>
      <c r="M151" s="23">
        <v>1</v>
      </c>
      <c r="N151" s="23">
        <v>1</v>
      </c>
      <c r="O151" s="49">
        <v>0</v>
      </c>
      <c r="P151" s="45" t="s">
        <v>6</v>
      </c>
      <c r="Q151" s="23" t="s">
        <v>132</v>
      </c>
      <c r="R151" s="23" t="s">
        <v>133</v>
      </c>
      <c r="S151" s="23" t="s">
        <v>9</v>
      </c>
      <c r="T151" s="23">
        <f>SUMIFS($J$1:INDEX(J:J,ROW()-1),$I$1:INDEX(I:I,ROW()-1),"&lt;&gt;Totals:")</f>
        <v>69</v>
      </c>
      <c r="U151" s="22">
        <f>SUMIFS($M$1:INDEX(M:M,ROW()),$I$1:INDEX(I:I,ROW()),"&lt;&gt;*Totals:*")</f>
        <v>1842</v>
      </c>
    </row>
    <row r="152" spans="1:21" ht="12.75" customHeight="1" x14ac:dyDescent="0.25">
      <c r="A152" s="47" t="s">
        <v>0</v>
      </c>
      <c r="B152" s="23" t="s">
        <v>151</v>
      </c>
      <c r="C152" s="28">
        <v>45637</v>
      </c>
      <c r="D152" s="30" t="s">
        <v>129</v>
      </c>
      <c r="E152" s="28" t="s">
        <v>152</v>
      </c>
      <c r="F152" s="28" t="s">
        <v>131</v>
      </c>
      <c r="G152" s="28">
        <v>45666</v>
      </c>
      <c r="H152" s="23" t="s">
        <v>5</v>
      </c>
      <c r="I152" s="33"/>
      <c r="J152" s="23">
        <v>0</v>
      </c>
      <c r="K152" s="23">
        <v>1</v>
      </c>
      <c r="L152" s="35">
        <v>1</v>
      </c>
      <c r="M152" s="23">
        <v>120</v>
      </c>
      <c r="N152" s="23">
        <v>0</v>
      </c>
      <c r="O152" s="49">
        <v>1</v>
      </c>
      <c r="P152" s="45" t="s">
        <v>6</v>
      </c>
      <c r="Q152" s="23" t="s">
        <v>132</v>
      </c>
      <c r="R152" s="23" t="s">
        <v>133</v>
      </c>
      <c r="S152" s="23" t="s">
        <v>9</v>
      </c>
      <c r="T152" s="23">
        <f>SUMIFS($J$1:INDEX(J:J,ROW()-1),$I$1:INDEX(I:I,ROW()-1),"&lt;&gt;Totals:")</f>
        <v>70</v>
      </c>
      <c r="U152" s="22">
        <f>SUMIFS($M$1:INDEX(M:M,ROW()),$I$1:INDEX(I:I,ROW()),"&lt;&gt;*Totals:*")</f>
        <v>1962</v>
      </c>
    </row>
    <row r="153" spans="1:21" ht="12.75" customHeight="1" x14ac:dyDescent="0.25">
      <c r="A153" s="47" t="s">
        <v>29</v>
      </c>
      <c r="B153" s="23" t="s">
        <v>141</v>
      </c>
      <c r="C153" s="28">
        <v>45639</v>
      </c>
      <c r="D153" s="30" t="s">
        <v>129</v>
      </c>
      <c r="E153" s="28" t="s">
        <v>130</v>
      </c>
      <c r="F153" s="28" t="s">
        <v>142</v>
      </c>
      <c r="G153" s="28">
        <v>45668</v>
      </c>
      <c r="H153" s="23" t="s">
        <v>5</v>
      </c>
      <c r="I153" s="33" t="s">
        <v>14</v>
      </c>
      <c r="J153" s="23">
        <v>1</v>
      </c>
      <c r="K153" s="23">
        <v>1</v>
      </c>
      <c r="L153" s="35">
        <v>0</v>
      </c>
      <c r="M153" s="23">
        <v>1</v>
      </c>
      <c r="N153" s="23">
        <v>1</v>
      </c>
      <c r="O153" s="49">
        <v>0</v>
      </c>
      <c r="P153" s="45" t="s">
        <v>6</v>
      </c>
      <c r="Q153" s="23" t="s">
        <v>132</v>
      </c>
      <c r="R153" s="23" t="s">
        <v>133</v>
      </c>
      <c r="S153" s="23" t="s">
        <v>9</v>
      </c>
      <c r="T153" s="23">
        <f>SUMIFS($J$1:INDEX(J:J,ROW()-1),$I$1:INDEX(I:I,ROW()-1),"&lt;&gt;Totals:")</f>
        <v>70</v>
      </c>
      <c r="U153" s="22">
        <f>SUMIFS($M$1:INDEX(M:M,ROW()),$I$1:INDEX(I:I,ROW()),"&lt;&gt;*Totals:*")</f>
        <v>1963</v>
      </c>
    </row>
    <row r="154" spans="1:21" ht="12.75" customHeight="1" x14ac:dyDescent="0.25">
      <c r="A154" s="47" t="s">
        <v>0</v>
      </c>
      <c r="B154" s="23" t="s">
        <v>151</v>
      </c>
      <c r="C154" s="28">
        <v>45646</v>
      </c>
      <c r="D154" s="30" t="s">
        <v>129</v>
      </c>
      <c r="E154" s="28" t="s">
        <v>12</v>
      </c>
      <c r="F154" s="28" t="s">
        <v>131</v>
      </c>
      <c r="G154" s="28">
        <v>45675</v>
      </c>
      <c r="H154" s="23" t="s">
        <v>5</v>
      </c>
      <c r="I154" s="33" t="s">
        <v>14</v>
      </c>
      <c r="J154" s="23">
        <v>1</v>
      </c>
      <c r="K154" s="23">
        <v>1</v>
      </c>
      <c r="L154" s="35">
        <v>0</v>
      </c>
      <c r="M154" s="23">
        <v>3</v>
      </c>
      <c r="N154" s="23">
        <v>3</v>
      </c>
      <c r="O154" s="49">
        <v>0</v>
      </c>
      <c r="P154" s="45" t="s">
        <v>6</v>
      </c>
      <c r="Q154" s="23" t="s">
        <v>132</v>
      </c>
      <c r="R154" s="23" t="s">
        <v>133</v>
      </c>
      <c r="S154" s="23" t="s">
        <v>9</v>
      </c>
      <c r="T154" s="23">
        <f>SUMIFS($J$1:INDEX(J:J,ROW()-1),$I$1:INDEX(I:I,ROW()-1),"&lt;&gt;Totals:")</f>
        <v>71</v>
      </c>
      <c r="U154" s="22">
        <f>SUMIFS($M$1:INDEX(M:M,ROW()),$I$1:INDEX(I:I,ROW()),"&lt;&gt;*Totals:*")</f>
        <v>1966</v>
      </c>
    </row>
    <row r="155" spans="1:21" ht="12.75" customHeight="1" x14ac:dyDescent="0.25">
      <c r="A155" s="47" t="s">
        <v>0</v>
      </c>
      <c r="B155" s="23" t="s">
        <v>151</v>
      </c>
      <c r="C155" s="28">
        <v>45649</v>
      </c>
      <c r="D155" s="30" t="s">
        <v>129</v>
      </c>
      <c r="E155" s="28" t="s">
        <v>12</v>
      </c>
      <c r="F155" s="28" t="s">
        <v>131</v>
      </c>
      <c r="G155" s="28">
        <v>45678</v>
      </c>
      <c r="H155" s="23" t="s">
        <v>5</v>
      </c>
      <c r="I155" s="33" t="s">
        <v>14</v>
      </c>
      <c r="J155" s="23">
        <v>1</v>
      </c>
      <c r="K155" s="23">
        <v>1</v>
      </c>
      <c r="L155" s="35">
        <v>0</v>
      </c>
      <c r="M155" s="23">
        <v>3</v>
      </c>
      <c r="N155" s="23">
        <v>3</v>
      </c>
      <c r="O155" s="49">
        <v>0</v>
      </c>
      <c r="P155" s="45" t="s">
        <v>6</v>
      </c>
      <c r="Q155" s="23" t="s">
        <v>132</v>
      </c>
      <c r="R155" s="23" t="s">
        <v>133</v>
      </c>
      <c r="S155" s="23" t="s">
        <v>9</v>
      </c>
      <c r="T155" s="23">
        <f>SUMIFS($J$1:INDEX(J:J,ROW()-1),$I$1:INDEX(I:I,ROW()-1),"&lt;&gt;Totals:")</f>
        <v>72</v>
      </c>
      <c r="U155" s="22">
        <f>SUMIFS($M$1:INDEX(M:M,ROW()),$I$1:INDEX(I:I,ROW()),"&lt;&gt;*Totals:*")</f>
        <v>1969</v>
      </c>
    </row>
    <row r="156" spans="1:21" ht="12.75" customHeight="1" x14ac:dyDescent="0.25">
      <c r="A156" s="47" t="s">
        <v>0</v>
      </c>
      <c r="B156" s="23" t="s">
        <v>151</v>
      </c>
      <c r="C156" s="28">
        <v>45654</v>
      </c>
      <c r="D156" s="30" t="s">
        <v>129</v>
      </c>
      <c r="E156" s="28" t="s">
        <v>12</v>
      </c>
      <c r="F156" s="28" t="s">
        <v>131</v>
      </c>
      <c r="G156" s="28">
        <v>45683</v>
      </c>
      <c r="H156" s="23" t="s">
        <v>5</v>
      </c>
      <c r="I156" s="33" t="s">
        <v>14</v>
      </c>
      <c r="J156" s="23">
        <v>1</v>
      </c>
      <c r="K156" s="23">
        <v>1</v>
      </c>
      <c r="L156" s="35">
        <v>0</v>
      </c>
      <c r="M156" s="23">
        <v>4</v>
      </c>
      <c r="N156" s="23">
        <v>4</v>
      </c>
      <c r="O156" s="49">
        <v>0</v>
      </c>
      <c r="P156" s="45" t="s">
        <v>6</v>
      </c>
      <c r="Q156" s="23" t="s">
        <v>132</v>
      </c>
      <c r="R156" s="23" t="s">
        <v>133</v>
      </c>
      <c r="S156" s="23" t="s">
        <v>9</v>
      </c>
      <c r="T156" s="23">
        <f>SUMIFS($J$1:INDEX(J:J,ROW()-1),$I$1:INDEX(I:I,ROW()-1),"&lt;&gt;Totals:")</f>
        <v>73</v>
      </c>
      <c r="U156" s="22">
        <f>SUMIFS($M$1:INDEX(M:M,ROW()),$I$1:INDEX(I:I,ROW()),"&lt;&gt;*Totals:*")</f>
        <v>1973</v>
      </c>
    </row>
    <row r="157" spans="1:21" ht="12.75" customHeight="1" x14ac:dyDescent="0.25">
      <c r="A157" s="47" t="s">
        <v>15</v>
      </c>
      <c r="B157" s="23" t="s">
        <v>153</v>
      </c>
      <c r="C157" s="28">
        <v>45657</v>
      </c>
      <c r="D157" s="30" t="s">
        <v>129</v>
      </c>
      <c r="E157" s="28" t="s">
        <v>147</v>
      </c>
      <c r="F157" s="28" t="s">
        <v>154</v>
      </c>
      <c r="G157" s="28">
        <v>45686</v>
      </c>
      <c r="H157" s="23" t="s">
        <v>5</v>
      </c>
      <c r="I157" s="33"/>
      <c r="J157" s="23">
        <v>0</v>
      </c>
      <c r="K157" s="23">
        <v>1</v>
      </c>
      <c r="L157" s="35">
        <v>1</v>
      </c>
      <c r="M157" s="23">
        <v>2</v>
      </c>
      <c r="N157" s="23">
        <v>0</v>
      </c>
      <c r="O157" s="49">
        <v>1</v>
      </c>
      <c r="P157" s="45" t="s">
        <v>6</v>
      </c>
      <c r="Q157" s="23" t="s">
        <v>132</v>
      </c>
      <c r="R157" s="23" t="s">
        <v>133</v>
      </c>
      <c r="S157" s="23" t="s">
        <v>9</v>
      </c>
      <c r="T157" s="23">
        <f>SUMIFS($J$1:INDEX(J:J,ROW()-1),$I$1:INDEX(I:I,ROW()-1),"&lt;&gt;Totals:")</f>
        <v>74</v>
      </c>
      <c r="U157" s="22">
        <f>SUMIFS($M$1:INDEX(M:M,ROW()),$I$1:INDEX(I:I,ROW()),"&lt;&gt;*Totals:*")</f>
        <v>1975</v>
      </c>
    </row>
    <row r="158" spans="1:21" ht="12.75" customHeight="1" x14ac:dyDescent="0.25">
      <c r="A158" s="47" t="s">
        <v>10</v>
      </c>
      <c r="B158" s="23" t="s">
        <v>153</v>
      </c>
      <c r="C158" s="28">
        <v>45657</v>
      </c>
      <c r="D158" s="30" t="s">
        <v>129</v>
      </c>
      <c r="E158" s="28" t="s">
        <v>12</v>
      </c>
      <c r="F158" s="28" t="s">
        <v>154</v>
      </c>
      <c r="G158" s="28">
        <v>45686</v>
      </c>
      <c r="H158" s="23" t="s">
        <v>5</v>
      </c>
      <c r="I158" s="33" t="s">
        <v>14</v>
      </c>
      <c r="J158" s="23">
        <v>1</v>
      </c>
      <c r="K158" s="23">
        <v>1</v>
      </c>
      <c r="L158" s="35">
        <v>0</v>
      </c>
      <c r="M158" s="23">
        <v>4</v>
      </c>
      <c r="N158" s="23">
        <v>4</v>
      </c>
      <c r="O158" s="49">
        <v>0</v>
      </c>
      <c r="P158" s="45" t="s">
        <v>6</v>
      </c>
      <c r="Q158" s="23" t="s">
        <v>132</v>
      </c>
      <c r="R158" s="23" t="s">
        <v>133</v>
      </c>
      <c r="S158" s="23" t="s">
        <v>9</v>
      </c>
      <c r="T158" s="23">
        <f>SUMIFS($J$1:INDEX(J:J,ROW()-1),$I$1:INDEX(I:I,ROW()-1),"&lt;&gt;Totals:")</f>
        <v>74</v>
      </c>
      <c r="U158" s="22">
        <f>SUMIFS($M$1:INDEX(M:M,ROW()),$I$1:INDEX(I:I,ROW()),"&lt;&gt;*Totals:*")</f>
        <v>1979</v>
      </c>
    </row>
    <row r="159" spans="1:21" ht="12.75" customHeight="1" x14ac:dyDescent="0.25">
      <c r="A159" s="47" t="s">
        <v>10</v>
      </c>
      <c r="B159" s="23" t="s">
        <v>146</v>
      </c>
      <c r="C159" s="28">
        <v>45657</v>
      </c>
      <c r="D159" s="30" t="s">
        <v>129</v>
      </c>
      <c r="E159" s="28" t="s">
        <v>12</v>
      </c>
      <c r="F159" s="28" t="s">
        <v>148</v>
      </c>
      <c r="G159" s="28">
        <v>45686</v>
      </c>
      <c r="H159" s="23" t="s">
        <v>5</v>
      </c>
      <c r="I159" s="33" t="s">
        <v>14</v>
      </c>
      <c r="J159" s="23">
        <v>1</v>
      </c>
      <c r="K159" s="23">
        <v>1</v>
      </c>
      <c r="L159" s="35">
        <v>0</v>
      </c>
      <c r="M159" s="23">
        <v>1</v>
      </c>
      <c r="N159" s="23">
        <v>1</v>
      </c>
      <c r="O159" s="49">
        <v>0</v>
      </c>
      <c r="P159" s="45" t="s">
        <v>6</v>
      </c>
      <c r="Q159" s="23" t="s">
        <v>132</v>
      </c>
      <c r="R159" s="23" t="s">
        <v>133</v>
      </c>
      <c r="S159" s="23" t="s">
        <v>9</v>
      </c>
      <c r="T159" s="23">
        <f>SUMIFS($J$1:INDEX(J:J,ROW()-1),$I$1:INDEX(I:I,ROW()-1),"&lt;&gt;Totals:")</f>
        <v>75</v>
      </c>
      <c r="U159" s="22">
        <f>SUMIFS($M$1:INDEX(M:M,ROW()),$I$1:INDEX(I:I,ROW()),"&lt;&gt;*Totals:*")</f>
        <v>1980</v>
      </c>
    </row>
    <row r="160" spans="1:21" ht="12.75" customHeight="1" thickBot="1" x14ac:dyDescent="0.3">
      <c r="A160" s="51" t="s">
        <v>15</v>
      </c>
      <c r="B160" s="20" t="s">
        <v>146</v>
      </c>
      <c r="C160" s="25">
        <v>45657</v>
      </c>
      <c r="D160" s="27" t="s">
        <v>129</v>
      </c>
      <c r="E160" s="25" t="s">
        <v>147</v>
      </c>
      <c r="F160" s="25" t="s">
        <v>131</v>
      </c>
      <c r="G160" s="25">
        <v>45686</v>
      </c>
      <c r="H160" s="20" t="s">
        <v>5</v>
      </c>
      <c r="I160" s="32"/>
      <c r="J160" s="20">
        <v>0</v>
      </c>
      <c r="K160" s="20">
        <v>1</v>
      </c>
      <c r="L160" s="34">
        <v>1</v>
      </c>
      <c r="M160" s="20">
        <v>1</v>
      </c>
      <c r="N160" s="20">
        <v>0</v>
      </c>
      <c r="O160" s="54">
        <v>1</v>
      </c>
      <c r="P160" s="45" t="s">
        <v>6</v>
      </c>
      <c r="Q160" s="23" t="s">
        <v>132</v>
      </c>
      <c r="R160" s="23" t="s">
        <v>133</v>
      </c>
      <c r="S160" s="23" t="s">
        <v>9</v>
      </c>
      <c r="T160" s="23">
        <f>SUMIFS($J$1:INDEX(J:J,ROW()-1),$I$1:INDEX(I:I,ROW()-1),"&lt;&gt;Totals:")</f>
        <v>76</v>
      </c>
      <c r="U160" s="22">
        <f>SUMIFS($M$1:INDEX(M:M,ROW()),$I$1:INDEX(I:I,ROW()),"&lt;&gt;*Totals:*")</f>
        <v>1981</v>
      </c>
    </row>
    <row r="161" spans="1:21" ht="17.25" customHeight="1" x14ac:dyDescent="0.25">
      <c r="A161" s="60"/>
      <c r="B161" s="50"/>
      <c r="C161" s="55"/>
      <c r="D161" s="56"/>
      <c r="E161" s="56"/>
      <c r="F161" s="57"/>
      <c r="G161" s="57"/>
      <c r="H161" s="57"/>
      <c r="I161" s="58" t="s">
        <v>1087</v>
      </c>
      <c r="J161" s="57">
        <f>SUM(J134:J160)</f>
        <v>23</v>
      </c>
      <c r="K161" s="57">
        <f>SUM(K134:K160)</f>
        <v>27</v>
      </c>
      <c r="L161" s="59">
        <f>(SUM(K134:K160) - SUM(J134:J160)) / SUM(K134:K160)</f>
        <v>0.14814814814814814</v>
      </c>
      <c r="M161" s="57">
        <f>SUM(M134:M160)</f>
        <v>352</v>
      </c>
      <c r="N161" s="56">
        <f>SUM(N134:N160)</f>
        <v>228</v>
      </c>
      <c r="O161" s="61">
        <f>(SUM(M134:M160) - SUM(N134:N160)) / SUM(M134:M160)</f>
        <v>0.35227272727272729</v>
      </c>
      <c r="P161" s="52"/>
      <c r="Q161" s="53"/>
      <c r="R161" s="52"/>
      <c r="S161" s="52"/>
      <c r="T161" s="52"/>
      <c r="U161" s="52"/>
    </row>
    <row r="162" spans="1:21" x14ac:dyDescent="0.25">
      <c r="A162" s="70"/>
      <c r="B162" s="64"/>
      <c r="C162" s="64"/>
      <c r="D162" s="64"/>
      <c r="E162" s="64"/>
      <c r="F162" s="64"/>
      <c r="G162" s="64"/>
      <c r="H162" s="64"/>
      <c r="I162" s="65" t="s">
        <v>1088</v>
      </c>
      <c r="J162" s="64"/>
      <c r="K162" s="64"/>
      <c r="L162" s="65" t="s">
        <v>1089</v>
      </c>
      <c r="M162" s="64"/>
      <c r="N162" s="64"/>
      <c r="O162" s="72"/>
      <c r="P162" s="62"/>
      <c r="Q162" s="62"/>
      <c r="R162" s="62"/>
      <c r="S162" s="62"/>
      <c r="T162" s="62"/>
      <c r="U162" s="62"/>
    </row>
    <row r="163" spans="1:21" ht="15.75" thickBot="1" x14ac:dyDescent="0.3">
      <c r="A163" s="71"/>
      <c r="B163" s="66"/>
      <c r="C163" s="67"/>
      <c r="D163" s="66"/>
      <c r="E163" s="66"/>
      <c r="F163" s="66"/>
      <c r="G163" s="67"/>
      <c r="H163" s="66"/>
      <c r="I163" s="68">
        <v>76</v>
      </c>
      <c r="J163" s="66"/>
      <c r="K163" s="66"/>
      <c r="L163" s="69">
        <v>1981</v>
      </c>
      <c r="M163" s="66"/>
      <c r="N163" s="66"/>
      <c r="O163" s="73"/>
      <c r="P163" s="63"/>
      <c r="Q163" s="63"/>
      <c r="R163" s="63"/>
      <c r="S163" s="63"/>
      <c r="T163" s="63"/>
      <c r="U163" s="63"/>
    </row>
    <row r="164" spans="1:21" ht="15.75" thickBot="1" x14ac:dyDescent="0.3">
      <c r="C164" s="1"/>
      <c r="G164" s="1"/>
    </row>
    <row r="165" spans="1:21" x14ac:dyDescent="0.25">
      <c r="A165" s="9"/>
      <c r="B165" s="10"/>
      <c r="C165" s="11"/>
      <c r="D165" s="11"/>
      <c r="E165" s="11"/>
      <c r="F165" s="11"/>
      <c r="G165" s="11"/>
      <c r="H165" s="12"/>
      <c r="I165" s="11"/>
      <c r="J165" s="13"/>
      <c r="K165" s="13"/>
      <c r="L165" s="13"/>
      <c r="M165" s="13"/>
      <c r="N165" s="11"/>
      <c r="O165" s="14"/>
      <c r="P165" s="4"/>
      <c r="Q165" s="5"/>
      <c r="R165" s="4"/>
      <c r="S165" s="4"/>
      <c r="T165" s="4"/>
      <c r="U165" s="4"/>
    </row>
    <row r="166" spans="1:21" x14ac:dyDescent="0.25">
      <c r="A166" s="6" t="s">
        <v>1090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15"/>
      <c r="P166" s="3"/>
      <c r="Q166" s="3"/>
      <c r="R166" s="3"/>
      <c r="S166" s="3"/>
      <c r="T166" s="3"/>
      <c r="U166" s="3"/>
    </row>
    <row r="167" spans="1:21" x14ac:dyDescent="0.25">
      <c r="A167" s="7" t="s">
        <v>160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15"/>
      <c r="P167" s="3"/>
      <c r="Q167" s="3"/>
      <c r="R167" s="3"/>
      <c r="S167" s="3"/>
      <c r="T167" s="3"/>
      <c r="U167" s="3"/>
    </row>
    <row r="168" spans="1:21" ht="15.75" thickBot="1" x14ac:dyDescent="0.3">
      <c r="A168" s="8"/>
      <c r="B168" s="8"/>
      <c r="C168" s="74"/>
      <c r="D168" s="8"/>
      <c r="E168" s="8"/>
      <c r="F168" s="8"/>
      <c r="G168" s="74"/>
      <c r="H168" s="8"/>
      <c r="I168" s="8"/>
      <c r="J168" s="8"/>
      <c r="K168" s="8"/>
      <c r="L168" s="8"/>
      <c r="M168" s="8"/>
      <c r="N168" s="8"/>
      <c r="O168" s="16"/>
      <c r="P168" s="3"/>
      <c r="Q168" s="3"/>
      <c r="R168" s="3"/>
      <c r="S168" s="3"/>
      <c r="T168" s="3"/>
      <c r="U168" s="3"/>
    </row>
    <row r="169" spans="1:21" ht="17.25" customHeight="1" thickBot="1" x14ac:dyDescent="0.3">
      <c r="A169" s="19" t="s">
        <v>1068</v>
      </c>
      <c r="B169" s="24" t="s">
        <v>1069</v>
      </c>
      <c r="C169" s="26" t="s">
        <v>1070</v>
      </c>
      <c r="D169" s="29" t="s">
        <v>1071</v>
      </c>
      <c r="E169" s="26" t="s">
        <v>1072</v>
      </c>
      <c r="F169" s="31" t="s">
        <v>1073</v>
      </c>
      <c r="G169" s="31" t="s">
        <v>1074</v>
      </c>
      <c r="H169" s="31" t="s">
        <v>1075</v>
      </c>
      <c r="I169" s="29" t="s">
        <v>14</v>
      </c>
      <c r="J169" s="29" t="s">
        <v>1076</v>
      </c>
      <c r="K169" s="29" t="s">
        <v>1077</v>
      </c>
      <c r="L169" s="29" t="s">
        <v>1078</v>
      </c>
      <c r="M169" s="29" t="s">
        <v>1079</v>
      </c>
      <c r="N169" s="29" t="s">
        <v>1080</v>
      </c>
      <c r="O169" s="36" t="s">
        <v>1081</v>
      </c>
      <c r="P169" s="37" t="s">
        <v>1082</v>
      </c>
      <c r="Q169" s="38" t="s">
        <v>1083</v>
      </c>
      <c r="R169" s="38" t="s">
        <v>1084</v>
      </c>
      <c r="S169" s="38" t="s">
        <v>1085</v>
      </c>
      <c r="T169" s="38" t="s">
        <v>1086</v>
      </c>
      <c r="U169" s="39" t="s">
        <v>1086</v>
      </c>
    </row>
    <row r="170" spans="1:21" ht="12.75" customHeight="1" x14ac:dyDescent="0.25">
      <c r="A170" s="46" t="s">
        <v>17</v>
      </c>
      <c r="B170" s="40" t="s">
        <v>155</v>
      </c>
      <c r="C170" s="41">
        <v>45660</v>
      </c>
      <c r="D170" s="42" t="s">
        <v>156</v>
      </c>
      <c r="E170" s="41" t="s">
        <v>157</v>
      </c>
      <c r="F170" s="41" t="s">
        <v>158</v>
      </c>
      <c r="G170" s="41">
        <v>45689</v>
      </c>
      <c r="H170" s="40" t="s">
        <v>5</v>
      </c>
      <c r="I170" s="43" t="s">
        <v>14</v>
      </c>
      <c r="J170" s="40">
        <v>1</v>
      </c>
      <c r="K170" s="40">
        <v>1</v>
      </c>
      <c r="L170" s="44">
        <v>0</v>
      </c>
      <c r="M170" s="40">
        <v>1</v>
      </c>
      <c r="N170" s="40">
        <v>1</v>
      </c>
      <c r="O170" s="48">
        <v>0</v>
      </c>
      <c r="P170" s="45" t="s">
        <v>159</v>
      </c>
      <c r="Q170" s="23" t="s">
        <v>160</v>
      </c>
      <c r="R170" s="23" t="s">
        <v>161</v>
      </c>
      <c r="S170" s="23" t="s">
        <v>9</v>
      </c>
      <c r="T170" s="23">
        <f>SUMIFS($J$1:INDEX(J:J,ROW()-1),$I$1:INDEX(I:I,ROW()-1),"&lt;&gt;Totals:")</f>
        <v>76</v>
      </c>
      <c r="U170" s="22">
        <f>SUMIFS($M$1:INDEX(M:M,ROW()),$I$1:INDEX(I:I,ROW()),"&lt;&gt;*Totals:*")</f>
        <v>1982</v>
      </c>
    </row>
    <row r="171" spans="1:21" ht="12.75" customHeight="1" x14ac:dyDescent="0.25">
      <c r="A171" s="47" t="s">
        <v>17</v>
      </c>
      <c r="B171" s="23" t="s">
        <v>162</v>
      </c>
      <c r="C171" s="28">
        <v>45661</v>
      </c>
      <c r="D171" s="30" t="s">
        <v>156</v>
      </c>
      <c r="E171" s="28" t="s">
        <v>157</v>
      </c>
      <c r="F171" s="28" t="s">
        <v>163</v>
      </c>
      <c r="G171" s="28">
        <v>45690</v>
      </c>
      <c r="H171" s="23" t="s">
        <v>5</v>
      </c>
      <c r="I171" s="33" t="s">
        <v>14</v>
      </c>
      <c r="J171" s="23">
        <v>1</v>
      </c>
      <c r="K171" s="23">
        <v>1</v>
      </c>
      <c r="L171" s="35">
        <v>0</v>
      </c>
      <c r="M171" s="23">
        <v>24</v>
      </c>
      <c r="N171" s="23">
        <v>24</v>
      </c>
      <c r="O171" s="49">
        <v>0</v>
      </c>
      <c r="P171" s="45" t="s">
        <v>159</v>
      </c>
      <c r="Q171" s="23" t="s">
        <v>160</v>
      </c>
      <c r="R171" s="23" t="s">
        <v>161</v>
      </c>
      <c r="S171" s="23" t="s">
        <v>9</v>
      </c>
      <c r="T171" s="23">
        <f>SUMIFS($J$1:INDEX(J:J,ROW()-1),$I$1:INDEX(I:I,ROW()-1),"&lt;&gt;Totals:")</f>
        <v>77</v>
      </c>
      <c r="U171" s="22">
        <f>SUMIFS($M$1:INDEX(M:M,ROW()),$I$1:INDEX(I:I,ROW()),"&lt;&gt;*Totals:*")</f>
        <v>2006</v>
      </c>
    </row>
    <row r="172" spans="1:21" ht="12.75" customHeight="1" x14ac:dyDescent="0.25">
      <c r="A172" s="47" t="s">
        <v>29</v>
      </c>
      <c r="B172" s="23" t="s">
        <v>164</v>
      </c>
      <c r="C172" s="28">
        <v>45663</v>
      </c>
      <c r="D172" s="30" t="s">
        <v>156</v>
      </c>
      <c r="E172" s="28" t="s">
        <v>165</v>
      </c>
      <c r="F172" s="28" t="s">
        <v>166</v>
      </c>
      <c r="G172" s="28">
        <v>45692</v>
      </c>
      <c r="H172" s="23" t="s">
        <v>5</v>
      </c>
      <c r="I172" s="33" t="s">
        <v>14</v>
      </c>
      <c r="J172" s="23">
        <v>1</v>
      </c>
      <c r="K172" s="23">
        <v>1</v>
      </c>
      <c r="L172" s="35">
        <v>0</v>
      </c>
      <c r="M172" s="23">
        <v>1</v>
      </c>
      <c r="N172" s="23">
        <v>1</v>
      </c>
      <c r="O172" s="49">
        <v>0</v>
      </c>
      <c r="P172" s="45" t="s">
        <v>159</v>
      </c>
      <c r="Q172" s="23" t="s">
        <v>160</v>
      </c>
      <c r="R172" s="23" t="s">
        <v>161</v>
      </c>
      <c r="S172" s="23" t="s">
        <v>9</v>
      </c>
      <c r="T172" s="23">
        <f>SUMIFS($J$1:INDEX(J:J,ROW()-1),$I$1:INDEX(I:I,ROW()-1),"&lt;&gt;Totals:")</f>
        <v>78</v>
      </c>
      <c r="U172" s="22">
        <f>SUMIFS($M$1:INDEX(M:M,ROW()),$I$1:INDEX(I:I,ROW()),"&lt;&gt;*Totals:*")</f>
        <v>2007</v>
      </c>
    </row>
    <row r="173" spans="1:21" ht="12.75" customHeight="1" x14ac:dyDescent="0.25">
      <c r="A173" s="47" t="s">
        <v>15</v>
      </c>
      <c r="B173" s="23" t="s">
        <v>167</v>
      </c>
      <c r="C173" s="28">
        <v>45672</v>
      </c>
      <c r="D173" s="30" t="s">
        <v>156</v>
      </c>
      <c r="E173" s="28" t="s">
        <v>165</v>
      </c>
      <c r="F173" s="28" t="s">
        <v>168</v>
      </c>
      <c r="G173" s="28">
        <v>45701</v>
      </c>
      <c r="H173" s="23" t="s">
        <v>5</v>
      </c>
      <c r="I173" s="33" t="s">
        <v>14</v>
      </c>
      <c r="J173" s="23">
        <v>1</v>
      </c>
      <c r="K173" s="23">
        <v>1</v>
      </c>
      <c r="L173" s="35">
        <v>0</v>
      </c>
      <c r="M173" s="23">
        <v>31</v>
      </c>
      <c r="N173" s="23">
        <v>31</v>
      </c>
      <c r="O173" s="49">
        <v>0</v>
      </c>
      <c r="P173" s="45" t="s">
        <v>159</v>
      </c>
      <c r="Q173" s="23" t="s">
        <v>160</v>
      </c>
      <c r="R173" s="23" t="s">
        <v>161</v>
      </c>
      <c r="S173" s="23" t="s">
        <v>9</v>
      </c>
      <c r="T173" s="23">
        <f>SUMIFS($J$1:INDEX(J:J,ROW()-1),$I$1:INDEX(I:I,ROW()-1),"&lt;&gt;Totals:")</f>
        <v>79</v>
      </c>
      <c r="U173" s="22">
        <f>SUMIFS($M$1:INDEX(M:M,ROW()),$I$1:INDEX(I:I,ROW()),"&lt;&gt;*Totals:*")</f>
        <v>2038</v>
      </c>
    </row>
    <row r="174" spans="1:21" ht="12.75" customHeight="1" x14ac:dyDescent="0.25">
      <c r="A174" s="47" t="s">
        <v>10</v>
      </c>
      <c r="B174" s="23" t="s">
        <v>167</v>
      </c>
      <c r="C174" s="28">
        <v>45672</v>
      </c>
      <c r="D174" s="30" t="s">
        <v>156</v>
      </c>
      <c r="E174" s="28" t="s">
        <v>169</v>
      </c>
      <c r="F174" s="28" t="s">
        <v>168</v>
      </c>
      <c r="G174" s="28">
        <v>45701</v>
      </c>
      <c r="H174" s="23" t="s">
        <v>5</v>
      </c>
      <c r="I174" s="33"/>
      <c r="J174" s="23">
        <v>0</v>
      </c>
      <c r="K174" s="23">
        <v>1</v>
      </c>
      <c r="L174" s="35">
        <v>1</v>
      </c>
      <c r="M174" s="23">
        <v>110</v>
      </c>
      <c r="N174" s="23">
        <v>0</v>
      </c>
      <c r="O174" s="49">
        <v>1</v>
      </c>
      <c r="P174" s="45" t="s">
        <v>159</v>
      </c>
      <c r="Q174" s="23" t="s">
        <v>160</v>
      </c>
      <c r="R174" s="23" t="s">
        <v>161</v>
      </c>
      <c r="S174" s="23" t="s">
        <v>9</v>
      </c>
      <c r="T174" s="23">
        <f>SUMIFS($J$1:INDEX(J:J,ROW()-1),$I$1:INDEX(I:I,ROW()-1),"&lt;&gt;Totals:")</f>
        <v>80</v>
      </c>
      <c r="U174" s="22">
        <f>SUMIFS($M$1:INDEX(M:M,ROW()),$I$1:INDEX(I:I,ROW()),"&lt;&gt;*Totals:*")</f>
        <v>2148</v>
      </c>
    </row>
    <row r="175" spans="1:21" ht="12.75" customHeight="1" x14ac:dyDescent="0.25">
      <c r="A175" s="47" t="s">
        <v>36</v>
      </c>
      <c r="B175" s="23" t="s">
        <v>170</v>
      </c>
      <c r="C175" s="28">
        <v>45672</v>
      </c>
      <c r="D175" s="30" t="s">
        <v>156</v>
      </c>
      <c r="E175" s="28" t="s">
        <v>171</v>
      </c>
      <c r="F175" s="28" t="s">
        <v>172</v>
      </c>
      <c r="G175" s="28">
        <v>45701</v>
      </c>
      <c r="H175" s="23" t="s">
        <v>5</v>
      </c>
      <c r="I175" s="33" t="s">
        <v>14</v>
      </c>
      <c r="J175" s="23">
        <v>1</v>
      </c>
      <c r="K175" s="23">
        <v>1</v>
      </c>
      <c r="L175" s="35">
        <v>0</v>
      </c>
      <c r="M175" s="23">
        <v>5</v>
      </c>
      <c r="N175" s="23">
        <v>5</v>
      </c>
      <c r="O175" s="49">
        <v>0</v>
      </c>
      <c r="P175" s="45" t="s">
        <v>159</v>
      </c>
      <c r="Q175" s="23" t="s">
        <v>160</v>
      </c>
      <c r="R175" s="23" t="s">
        <v>161</v>
      </c>
      <c r="S175" s="23" t="s">
        <v>9</v>
      </c>
      <c r="T175" s="23">
        <f>SUMIFS($J$1:INDEX(J:J,ROW()-1),$I$1:INDEX(I:I,ROW()-1),"&lt;&gt;Totals:")</f>
        <v>80</v>
      </c>
      <c r="U175" s="22">
        <f>SUMIFS($M$1:INDEX(M:M,ROW()),$I$1:INDEX(I:I,ROW()),"&lt;&gt;*Totals:*")</f>
        <v>2153</v>
      </c>
    </row>
    <row r="176" spans="1:21" ht="12.75" customHeight="1" x14ac:dyDescent="0.25">
      <c r="A176" s="47" t="s">
        <v>0</v>
      </c>
      <c r="B176" s="23" t="s">
        <v>173</v>
      </c>
      <c r="C176" s="28">
        <v>45674</v>
      </c>
      <c r="D176" s="30" t="s">
        <v>156</v>
      </c>
      <c r="E176" s="28" t="s">
        <v>174</v>
      </c>
      <c r="F176" s="28" t="s">
        <v>163</v>
      </c>
      <c r="G176" s="28">
        <v>45703</v>
      </c>
      <c r="H176" s="23" t="s">
        <v>5</v>
      </c>
      <c r="I176" s="33"/>
      <c r="J176" s="23">
        <v>0</v>
      </c>
      <c r="K176" s="23">
        <v>1</v>
      </c>
      <c r="L176" s="35">
        <v>1</v>
      </c>
      <c r="M176" s="23">
        <v>123</v>
      </c>
      <c r="N176" s="23">
        <v>0</v>
      </c>
      <c r="O176" s="49">
        <v>1</v>
      </c>
      <c r="P176" s="45" t="s">
        <v>159</v>
      </c>
      <c r="Q176" s="23" t="s">
        <v>160</v>
      </c>
      <c r="R176" s="23" t="s">
        <v>161</v>
      </c>
      <c r="S176" s="23" t="s">
        <v>9</v>
      </c>
      <c r="T176" s="23">
        <f>SUMIFS($J$1:INDEX(J:J,ROW()-1),$I$1:INDEX(I:I,ROW()-1),"&lt;&gt;Totals:")</f>
        <v>81</v>
      </c>
      <c r="U176" s="22">
        <f>SUMIFS($M$1:INDEX(M:M,ROW()),$I$1:INDEX(I:I,ROW()),"&lt;&gt;*Totals:*")</f>
        <v>2276</v>
      </c>
    </row>
    <row r="177" spans="1:21" ht="12.75" customHeight="1" x14ac:dyDescent="0.25">
      <c r="A177" s="47" t="s">
        <v>0</v>
      </c>
      <c r="B177" s="23" t="s">
        <v>173</v>
      </c>
      <c r="C177" s="28">
        <v>45681</v>
      </c>
      <c r="D177" s="30" t="s">
        <v>156</v>
      </c>
      <c r="E177" s="28" t="s">
        <v>165</v>
      </c>
      <c r="F177" s="28" t="s">
        <v>163</v>
      </c>
      <c r="G177" s="28">
        <v>45710</v>
      </c>
      <c r="H177" s="23" t="s">
        <v>5</v>
      </c>
      <c r="I177" s="33" t="s">
        <v>14</v>
      </c>
      <c r="J177" s="23">
        <v>1</v>
      </c>
      <c r="K177" s="23">
        <v>1</v>
      </c>
      <c r="L177" s="35">
        <v>0</v>
      </c>
      <c r="M177" s="23">
        <v>8</v>
      </c>
      <c r="N177" s="23">
        <v>8</v>
      </c>
      <c r="O177" s="49">
        <v>0</v>
      </c>
      <c r="P177" s="45" t="s">
        <v>159</v>
      </c>
      <c r="Q177" s="23" t="s">
        <v>160</v>
      </c>
      <c r="R177" s="23" t="s">
        <v>161</v>
      </c>
      <c r="S177" s="23" t="s">
        <v>9</v>
      </c>
      <c r="T177" s="23">
        <f>SUMIFS($J$1:INDEX(J:J,ROW()-1),$I$1:INDEX(I:I,ROW()-1),"&lt;&gt;Totals:")</f>
        <v>81</v>
      </c>
      <c r="U177" s="22">
        <f>SUMIFS($M$1:INDEX(M:M,ROW()),$I$1:INDEX(I:I,ROW()),"&lt;&gt;*Totals:*")</f>
        <v>2284</v>
      </c>
    </row>
    <row r="178" spans="1:21" ht="12.75" customHeight="1" x14ac:dyDescent="0.25">
      <c r="A178" s="47" t="s">
        <v>10</v>
      </c>
      <c r="B178" s="23" t="s">
        <v>167</v>
      </c>
      <c r="C178" s="28">
        <v>45683</v>
      </c>
      <c r="D178" s="30" t="s">
        <v>156</v>
      </c>
      <c r="E178" s="28" t="s">
        <v>175</v>
      </c>
      <c r="F178" s="28" t="s">
        <v>168</v>
      </c>
      <c r="G178" s="28">
        <v>45712</v>
      </c>
      <c r="H178" s="23" t="s">
        <v>5</v>
      </c>
      <c r="I178" s="33" t="s">
        <v>14</v>
      </c>
      <c r="J178" s="23">
        <v>1</v>
      </c>
      <c r="K178" s="23">
        <v>1</v>
      </c>
      <c r="L178" s="35">
        <v>0</v>
      </c>
      <c r="M178" s="23">
        <v>2</v>
      </c>
      <c r="N178" s="23">
        <v>2</v>
      </c>
      <c r="O178" s="49">
        <v>0</v>
      </c>
      <c r="P178" s="45" t="s">
        <v>159</v>
      </c>
      <c r="Q178" s="23" t="s">
        <v>160</v>
      </c>
      <c r="R178" s="23" t="s">
        <v>161</v>
      </c>
      <c r="S178" s="23" t="s">
        <v>9</v>
      </c>
      <c r="T178" s="23">
        <f>SUMIFS($J$1:INDEX(J:J,ROW()-1),$I$1:INDEX(I:I,ROW()-1),"&lt;&gt;Totals:")</f>
        <v>82</v>
      </c>
      <c r="U178" s="22">
        <f>SUMIFS($M$1:INDEX(M:M,ROW()),$I$1:INDEX(I:I,ROW()),"&lt;&gt;*Totals:*")</f>
        <v>2286</v>
      </c>
    </row>
    <row r="179" spans="1:21" ht="12.75" customHeight="1" x14ac:dyDescent="0.25">
      <c r="A179" s="47" t="s">
        <v>10</v>
      </c>
      <c r="B179" s="23" t="s">
        <v>167</v>
      </c>
      <c r="C179" s="28">
        <v>45686</v>
      </c>
      <c r="D179" s="30" t="s">
        <v>156</v>
      </c>
      <c r="E179" s="28" t="s">
        <v>175</v>
      </c>
      <c r="F179" s="28" t="s">
        <v>168</v>
      </c>
      <c r="G179" s="28">
        <v>45715</v>
      </c>
      <c r="H179" s="23" t="s">
        <v>5</v>
      </c>
      <c r="I179" s="33" t="s">
        <v>14</v>
      </c>
      <c r="J179" s="23">
        <v>1</v>
      </c>
      <c r="K179" s="23">
        <v>1</v>
      </c>
      <c r="L179" s="35">
        <v>0</v>
      </c>
      <c r="M179" s="23">
        <v>4</v>
      </c>
      <c r="N179" s="23">
        <v>4</v>
      </c>
      <c r="O179" s="49">
        <v>0</v>
      </c>
      <c r="P179" s="45" t="s">
        <v>159</v>
      </c>
      <c r="Q179" s="23" t="s">
        <v>160</v>
      </c>
      <c r="R179" s="23" t="s">
        <v>161</v>
      </c>
      <c r="S179" s="23" t="s">
        <v>9</v>
      </c>
      <c r="T179" s="23">
        <f>SUMIFS($J$1:INDEX(J:J,ROW()-1),$I$1:INDEX(I:I,ROW()-1),"&lt;&gt;Totals:")</f>
        <v>83</v>
      </c>
      <c r="U179" s="22">
        <f>SUMIFS($M$1:INDEX(M:M,ROW()),$I$1:INDEX(I:I,ROW()),"&lt;&gt;*Totals:*")</f>
        <v>2290</v>
      </c>
    </row>
    <row r="180" spans="1:21" ht="12.75" customHeight="1" x14ac:dyDescent="0.25">
      <c r="A180" s="47" t="s">
        <v>15</v>
      </c>
      <c r="B180" s="23" t="s">
        <v>167</v>
      </c>
      <c r="C180" s="28">
        <v>45686</v>
      </c>
      <c r="D180" s="30" t="s">
        <v>156</v>
      </c>
      <c r="E180" s="28" t="s">
        <v>165</v>
      </c>
      <c r="F180" s="28" t="s">
        <v>168</v>
      </c>
      <c r="G180" s="28">
        <v>45715</v>
      </c>
      <c r="H180" s="23" t="s">
        <v>5</v>
      </c>
      <c r="I180" s="33" t="s">
        <v>14</v>
      </c>
      <c r="J180" s="23">
        <v>1</v>
      </c>
      <c r="K180" s="23">
        <v>1</v>
      </c>
      <c r="L180" s="35">
        <v>0</v>
      </c>
      <c r="M180" s="23">
        <v>1</v>
      </c>
      <c r="N180" s="23">
        <v>1</v>
      </c>
      <c r="O180" s="49">
        <v>0</v>
      </c>
      <c r="P180" s="45" t="s">
        <v>159</v>
      </c>
      <c r="Q180" s="23" t="s">
        <v>160</v>
      </c>
      <c r="R180" s="23" t="s">
        <v>161</v>
      </c>
      <c r="S180" s="23" t="s">
        <v>9</v>
      </c>
      <c r="T180" s="23">
        <f>SUMIFS($J$1:INDEX(J:J,ROW()-1),$I$1:INDEX(I:I,ROW()-1),"&lt;&gt;Totals:")</f>
        <v>84</v>
      </c>
      <c r="U180" s="22">
        <f>SUMIFS($M$1:INDEX(M:M,ROW()),$I$1:INDEX(I:I,ROW()),"&lt;&gt;*Totals:*")</f>
        <v>2291</v>
      </c>
    </row>
    <row r="181" spans="1:21" ht="12.75" customHeight="1" x14ac:dyDescent="0.25">
      <c r="A181" s="47" t="s">
        <v>10</v>
      </c>
      <c r="B181" s="23" t="s">
        <v>167</v>
      </c>
      <c r="C181" s="28">
        <v>45688</v>
      </c>
      <c r="D181" s="30" t="s">
        <v>156</v>
      </c>
      <c r="E181" s="28" t="s">
        <v>175</v>
      </c>
      <c r="F181" s="28" t="s">
        <v>168</v>
      </c>
      <c r="G181" s="28">
        <v>45717</v>
      </c>
      <c r="H181" s="23" t="s">
        <v>5</v>
      </c>
      <c r="I181" s="33" t="s">
        <v>14</v>
      </c>
      <c r="J181" s="23">
        <v>1</v>
      </c>
      <c r="K181" s="23">
        <v>1</v>
      </c>
      <c r="L181" s="35">
        <v>0</v>
      </c>
      <c r="M181" s="23">
        <v>2</v>
      </c>
      <c r="N181" s="23">
        <v>2</v>
      </c>
      <c r="O181" s="49">
        <v>0</v>
      </c>
      <c r="P181" s="45" t="s">
        <v>159</v>
      </c>
      <c r="Q181" s="23" t="s">
        <v>160</v>
      </c>
      <c r="R181" s="23" t="s">
        <v>161</v>
      </c>
      <c r="S181" s="23" t="s">
        <v>9</v>
      </c>
      <c r="T181" s="23">
        <f>SUMIFS($J$1:INDEX(J:J,ROW()-1),$I$1:INDEX(I:I,ROW()-1),"&lt;&gt;Totals:")</f>
        <v>85</v>
      </c>
      <c r="U181" s="22">
        <f>SUMIFS($M$1:INDEX(M:M,ROW()),$I$1:INDEX(I:I,ROW()),"&lt;&gt;*Totals:*")</f>
        <v>2293</v>
      </c>
    </row>
    <row r="182" spans="1:21" ht="12.75" customHeight="1" x14ac:dyDescent="0.25">
      <c r="A182" s="47" t="s">
        <v>15</v>
      </c>
      <c r="B182" s="23" t="s">
        <v>167</v>
      </c>
      <c r="C182" s="28">
        <v>45688</v>
      </c>
      <c r="D182" s="30" t="s">
        <v>156</v>
      </c>
      <c r="E182" s="28" t="s">
        <v>165</v>
      </c>
      <c r="F182" s="28" t="s">
        <v>168</v>
      </c>
      <c r="G182" s="28">
        <v>45717</v>
      </c>
      <c r="H182" s="23" t="s">
        <v>5</v>
      </c>
      <c r="I182" s="33" t="s">
        <v>14</v>
      </c>
      <c r="J182" s="23">
        <v>1</v>
      </c>
      <c r="K182" s="23">
        <v>1</v>
      </c>
      <c r="L182" s="35">
        <v>0</v>
      </c>
      <c r="M182" s="23">
        <v>1</v>
      </c>
      <c r="N182" s="23">
        <v>1</v>
      </c>
      <c r="O182" s="49">
        <v>0</v>
      </c>
      <c r="P182" s="45" t="s">
        <v>159</v>
      </c>
      <c r="Q182" s="23" t="s">
        <v>160</v>
      </c>
      <c r="R182" s="23" t="s">
        <v>161</v>
      </c>
      <c r="S182" s="23" t="s">
        <v>9</v>
      </c>
      <c r="T182" s="23">
        <f>SUMIFS($J$1:INDEX(J:J,ROW()-1),$I$1:INDEX(I:I,ROW()-1),"&lt;&gt;Totals:")</f>
        <v>86</v>
      </c>
      <c r="U182" s="22">
        <f>SUMIFS($M$1:INDEX(M:M,ROW()),$I$1:INDEX(I:I,ROW()),"&lt;&gt;*Totals:*")</f>
        <v>2294</v>
      </c>
    </row>
    <row r="183" spans="1:21" ht="12.75" customHeight="1" thickBot="1" x14ac:dyDescent="0.3">
      <c r="A183" s="51" t="s">
        <v>0</v>
      </c>
      <c r="B183" s="20" t="s">
        <v>176</v>
      </c>
      <c r="C183" s="25">
        <v>45688</v>
      </c>
      <c r="D183" s="27" t="s">
        <v>156</v>
      </c>
      <c r="E183" s="25" t="s">
        <v>165</v>
      </c>
      <c r="F183" s="25" t="s">
        <v>177</v>
      </c>
      <c r="G183" s="25">
        <v>45717</v>
      </c>
      <c r="H183" s="20" t="s">
        <v>5</v>
      </c>
      <c r="I183" s="32" t="s">
        <v>14</v>
      </c>
      <c r="J183" s="20">
        <v>1</v>
      </c>
      <c r="K183" s="20">
        <v>1</v>
      </c>
      <c r="L183" s="34">
        <v>0</v>
      </c>
      <c r="M183" s="20">
        <v>5</v>
      </c>
      <c r="N183" s="20">
        <v>5</v>
      </c>
      <c r="O183" s="54">
        <v>0</v>
      </c>
      <c r="P183" s="45" t="s">
        <v>159</v>
      </c>
      <c r="Q183" s="23" t="s">
        <v>160</v>
      </c>
      <c r="R183" s="23" t="s">
        <v>161</v>
      </c>
      <c r="S183" s="23" t="s">
        <v>9</v>
      </c>
      <c r="T183" s="23">
        <f>SUMIFS($J$1:INDEX(J:J,ROW()-1),$I$1:INDEX(I:I,ROW()-1),"&lt;&gt;Totals:")</f>
        <v>87</v>
      </c>
      <c r="U183" s="22">
        <f>SUMIFS($M$1:INDEX(M:M,ROW()),$I$1:INDEX(I:I,ROW()),"&lt;&gt;*Totals:*")</f>
        <v>2299</v>
      </c>
    </row>
    <row r="184" spans="1:21" ht="17.25" customHeight="1" x14ac:dyDescent="0.25">
      <c r="A184" s="60"/>
      <c r="B184" s="50"/>
      <c r="C184" s="55"/>
      <c r="D184" s="56"/>
      <c r="E184" s="56"/>
      <c r="F184" s="57"/>
      <c r="G184" s="57"/>
      <c r="H184" s="57"/>
      <c r="I184" s="58" t="s">
        <v>1087</v>
      </c>
      <c r="J184" s="57">
        <f>SUM(J170:J183)</f>
        <v>12</v>
      </c>
      <c r="K184" s="57">
        <f>SUM(K170:K183)</f>
        <v>14</v>
      </c>
      <c r="L184" s="59">
        <f>(SUM(K170:K183) - SUM(J170:J183)) / SUM(K170:K183)</f>
        <v>0.14285714285714285</v>
      </c>
      <c r="M184" s="57">
        <f>SUM(M170:M183)</f>
        <v>318</v>
      </c>
      <c r="N184" s="56">
        <f>SUM(N170:N183)</f>
        <v>85</v>
      </c>
      <c r="O184" s="61">
        <f>(SUM(M170:M183) - SUM(N170:N183)) / SUM(M170:M183)</f>
        <v>0.73270440251572322</v>
      </c>
      <c r="P184" s="52"/>
      <c r="Q184" s="53"/>
      <c r="R184" s="52"/>
      <c r="S184" s="52"/>
      <c r="T184" s="52"/>
      <c r="U184" s="52"/>
    </row>
    <row r="185" spans="1:21" x14ac:dyDescent="0.25">
      <c r="A185" s="70"/>
      <c r="B185" s="64"/>
      <c r="C185" s="64"/>
      <c r="D185" s="64"/>
      <c r="E185" s="64"/>
      <c r="F185" s="64"/>
      <c r="G185" s="64"/>
      <c r="H185" s="64"/>
      <c r="I185" s="65" t="s">
        <v>1088</v>
      </c>
      <c r="J185" s="64"/>
      <c r="K185" s="64"/>
      <c r="L185" s="65" t="s">
        <v>1089</v>
      </c>
      <c r="M185" s="64"/>
      <c r="N185" s="64"/>
      <c r="O185" s="72"/>
      <c r="P185" s="62"/>
      <c r="Q185" s="62"/>
      <c r="R185" s="62"/>
      <c r="S185" s="62"/>
      <c r="T185" s="62"/>
      <c r="U185" s="62"/>
    </row>
    <row r="186" spans="1:21" ht="15.75" thickBot="1" x14ac:dyDescent="0.3">
      <c r="A186" s="71"/>
      <c r="B186" s="66"/>
      <c r="C186" s="67"/>
      <c r="D186" s="66"/>
      <c r="E186" s="66"/>
      <c r="F186" s="66"/>
      <c r="G186" s="67"/>
      <c r="H186" s="66"/>
      <c r="I186" s="68">
        <v>87</v>
      </c>
      <c r="J186" s="66"/>
      <c r="K186" s="66"/>
      <c r="L186" s="69">
        <v>2299</v>
      </c>
      <c r="M186" s="66"/>
      <c r="N186" s="66"/>
      <c r="O186" s="73"/>
      <c r="P186" s="63"/>
      <c r="Q186" s="63"/>
      <c r="R186" s="63"/>
      <c r="S186" s="63"/>
      <c r="T186" s="63"/>
      <c r="U186" s="63"/>
    </row>
    <row r="187" spans="1:21" ht="15.75" thickBot="1" x14ac:dyDescent="0.3">
      <c r="C187" s="1"/>
      <c r="G187" s="1"/>
    </row>
    <row r="188" spans="1:21" x14ac:dyDescent="0.25">
      <c r="A188" s="9"/>
      <c r="B188" s="10"/>
      <c r="C188" s="11"/>
      <c r="D188" s="11"/>
      <c r="E188" s="11"/>
      <c r="F188" s="11"/>
      <c r="G188" s="11"/>
      <c r="H188" s="12"/>
      <c r="I188" s="11"/>
      <c r="J188" s="13"/>
      <c r="K188" s="13"/>
      <c r="L188" s="13"/>
      <c r="M188" s="13"/>
      <c r="N188" s="11"/>
      <c r="O188" s="14"/>
      <c r="P188" s="4"/>
      <c r="Q188" s="5"/>
      <c r="R188" s="4"/>
      <c r="S188" s="4"/>
      <c r="T188" s="4"/>
      <c r="U188" s="4"/>
    </row>
    <row r="189" spans="1:21" x14ac:dyDescent="0.25">
      <c r="A189" s="6" t="s">
        <v>1090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15"/>
      <c r="P189" s="3"/>
      <c r="Q189" s="3"/>
      <c r="R189" s="3"/>
      <c r="S189" s="3"/>
      <c r="T189" s="3"/>
      <c r="U189" s="3"/>
    </row>
    <row r="190" spans="1:21" x14ac:dyDescent="0.25">
      <c r="A190" s="7" t="s">
        <v>182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15"/>
      <c r="P190" s="3"/>
      <c r="Q190" s="3"/>
      <c r="R190" s="3"/>
      <c r="S190" s="3"/>
      <c r="T190" s="3"/>
      <c r="U190" s="3"/>
    </row>
    <row r="191" spans="1:21" ht="15.75" thickBot="1" x14ac:dyDescent="0.3">
      <c r="A191" s="8"/>
      <c r="B191" s="8"/>
      <c r="C191" s="74"/>
      <c r="D191" s="8"/>
      <c r="E191" s="8"/>
      <c r="F191" s="8"/>
      <c r="G191" s="74"/>
      <c r="H191" s="8"/>
      <c r="I191" s="8"/>
      <c r="J191" s="8"/>
      <c r="K191" s="8"/>
      <c r="L191" s="8"/>
      <c r="M191" s="8"/>
      <c r="N191" s="8"/>
      <c r="O191" s="16"/>
      <c r="P191" s="3"/>
      <c r="Q191" s="3"/>
      <c r="R191" s="3"/>
      <c r="S191" s="3"/>
      <c r="T191" s="3"/>
      <c r="U191" s="3"/>
    </row>
    <row r="192" spans="1:21" ht="17.25" customHeight="1" thickBot="1" x14ac:dyDescent="0.3">
      <c r="A192" s="19" t="s">
        <v>1068</v>
      </c>
      <c r="B192" s="24" t="s">
        <v>1069</v>
      </c>
      <c r="C192" s="26" t="s">
        <v>1070</v>
      </c>
      <c r="D192" s="29" t="s">
        <v>1071</v>
      </c>
      <c r="E192" s="26" t="s">
        <v>1072</v>
      </c>
      <c r="F192" s="31" t="s">
        <v>1073</v>
      </c>
      <c r="G192" s="31" t="s">
        <v>1074</v>
      </c>
      <c r="H192" s="31" t="s">
        <v>1075</v>
      </c>
      <c r="I192" s="29" t="s">
        <v>14</v>
      </c>
      <c r="J192" s="29" t="s">
        <v>1076</v>
      </c>
      <c r="K192" s="29" t="s">
        <v>1077</v>
      </c>
      <c r="L192" s="29" t="s">
        <v>1078</v>
      </c>
      <c r="M192" s="29" t="s">
        <v>1079</v>
      </c>
      <c r="N192" s="29" t="s">
        <v>1080</v>
      </c>
      <c r="O192" s="36" t="s">
        <v>1081</v>
      </c>
      <c r="P192" s="37" t="s">
        <v>1082</v>
      </c>
      <c r="Q192" s="38" t="s">
        <v>1083</v>
      </c>
      <c r="R192" s="38" t="s">
        <v>1084</v>
      </c>
      <c r="S192" s="38" t="s">
        <v>1085</v>
      </c>
      <c r="T192" s="38" t="s">
        <v>1086</v>
      </c>
      <c r="U192" s="39" t="s">
        <v>1086</v>
      </c>
    </row>
    <row r="193" spans="1:21" ht="12.75" customHeight="1" x14ac:dyDescent="0.25">
      <c r="A193" s="46" t="s">
        <v>17</v>
      </c>
      <c r="B193" s="40" t="s">
        <v>178</v>
      </c>
      <c r="C193" s="41">
        <v>45689</v>
      </c>
      <c r="D193" s="42" t="s">
        <v>179</v>
      </c>
      <c r="E193" s="41" t="s">
        <v>180</v>
      </c>
      <c r="F193" s="41" t="s">
        <v>181</v>
      </c>
      <c r="G193" s="41">
        <v>45718</v>
      </c>
      <c r="H193" s="40" t="s">
        <v>5</v>
      </c>
      <c r="I193" s="43" t="s">
        <v>14</v>
      </c>
      <c r="J193" s="40">
        <v>1</v>
      </c>
      <c r="K193" s="40">
        <v>1</v>
      </c>
      <c r="L193" s="44">
        <v>0</v>
      </c>
      <c r="M193" s="40">
        <v>18</v>
      </c>
      <c r="N193" s="40">
        <v>18</v>
      </c>
      <c r="O193" s="48">
        <v>0</v>
      </c>
      <c r="P193" s="45" t="s">
        <v>159</v>
      </c>
      <c r="Q193" s="23" t="s">
        <v>182</v>
      </c>
      <c r="R193" s="23" t="s">
        <v>183</v>
      </c>
      <c r="S193" s="23" t="s">
        <v>9</v>
      </c>
      <c r="T193" s="23">
        <f>SUMIFS($J$1:INDEX(J:J,ROW()-1),$I$1:INDEX(I:I,ROW()-1),"&lt;&gt;Totals:")</f>
        <v>88</v>
      </c>
      <c r="U193" s="22">
        <f>SUMIFS($M$1:INDEX(M:M,ROW()),$I$1:INDEX(I:I,ROW()),"&lt;&gt;*Totals:*")</f>
        <v>2317</v>
      </c>
    </row>
    <row r="194" spans="1:21" ht="12.75" customHeight="1" x14ac:dyDescent="0.25">
      <c r="A194" s="47" t="s">
        <v>10</v>
      </c>
      <c r="B194" s="23" t="s">
        <v>184</v>
      </c>
      <c r="C194" s="28">
        <v>45696</v>
      </c>
      <c r="D194" s="30" t="s">
        <v>179</v>
      </c>
      <c r="E194" s="28" t="s">
        <v>185</v>
      </c>
      <c r="F194" s="28" t="s">
        <v>171</v>
      </c>
      <c r="G194" s="28">
        <v>45725</v>
      </c>
      <c r="H194" s="23" t="s">
        <v>5</v>
      </c>
      <c r="I194" s="33" t="s">
        <v>14</v>
      </c>
      <c r="J194" s="23">
        <v>1</v>
      </c>
      <c r="K194" s="23">
        <v>1</v>
      </c>
      <c r="L194" s="35">
        <v>0</v>
      </c>
      <c r="M194" s="23">
        <v>82</v>
      </c>
      <c r="N194" s="23">
        <v>82</v>
      </c>
      <c r="O194" s="49">
        <v>0</v>
      </c>
      <c r="P194" s="45" t="s">
        <v>159</v>
      </c>
      <c r="Q194" s="23" t="s">
        <v>182</v>
      </c>
      <c r="R194" s="23" t="s">
        <v>183</v>
      </c>
      <c r="S194" s="23" t="s">
        <v>9</v>
      </c>
      <c r="T194" s="23">
        <f>SUMIFS($J$1:INDEX(J:J,ROW()-1),$I$1:INDEX(I:I,ROW()-1),"&lt;&gt;Totals:")</f>
        <v>89</v>
      </c>
      <c r="U194" s="22">
        <f>SUMIFS($M$1:INDEX(M:M,ROW()),$I$1:INDEX(I:I,ROW()),"&lt;&gt;*Totals:*")</f>
        <v>2399</v>
      </c>
    </row>
    <row r="195" spans="1:21" ht="12.75" customHeight="1" x14ac:dyDescent="0.25">
      <c r="A195" s="47" t="s">
        <v>36</v>
      </c>
      <c r="B195" s="23" t="s">
        <v>186</v>
      </c>
      <c r="C195" s="28">
        <v>45696</v>
      </c>
      <c r="D195" s="30" t="s">
        <v>179</v>
      </c>
      <c r="E195" s="28" t="s">
        <v>157</v>
      </c>
      <c r="F195" s="28" t="s">
        <v>187</v>
      </c>
      <c r="G195" s="28">
        <v>45725</v>
      </c>
      <c r="H195" s="23" t="s">
        <v>5</v>
      </c>
      <c r="I195" s="33" t="s">
        <v>14</v>
      </c>
      <c r="J195" s="23">
        <v>1</v>
      </c>
      <c r="K195" s="23">
        <v>1</v>
      </c>
      <c r="L195" s="35">
        <v>0</v>
      </c>
      <c r="M195" s="23">
        <v>5</v>
      </c>
      <c r="N195" s="23">
        <v>5</v>
      </c>
      <c r="O195" s="49">
        <v>0</v>
      </c>
      <c r="P195" s="45" t="s">
        <v>159</v>
      </c>
      <c r="Q195" s="23" t="s">
        <v>182</v>
      </c>
      <c r="R195" s="23" t="s">
        <v>183</v>
      </c>
      <c r="S195" s="23" t="s">
        <v>9</v>
      </c>
      <c r="T195" s="23">
        <f>SUMIFS($J$1:INDEX(J:J,ROW()-1),$I$1:INDEX(I:I,ROW()-1),"&lt;&gt;Totals:")</f>
        <v>90</v>
      </c>
      <c r="U195" s="22">
        <f>SUMIFS($M$1:INDEX(M:M,ROW()),$I$1:INDEX(I:I,ROW()),"&lt;&gt;*Totals:*")</f>
        <v>2404</v>
      </c>
    </row>
    <row r="196" spans="1:21" ht="12.75" customHeight="1" x14ac:dyDescent="0.25">
      <c r="A196" s="47" t="s">
        <v>40</v>
      </c>
      <c r="B196" s="23" t="s">
        <v>188</v>
      </c>
      <c r="C196" s="28">
        <v>45696</v>
      </c>
      <c r="D196" s="30" t="s">
        <v>179</v>
      </c>
      <c r="E196" s="28" t="s">
        <v>185</v>
      </c>
      <c r="F196" s="28" t="s">
        <v>189</v>
      </c>
      <c r="G196" s="28">
        <v>45725</v>
      </c>
      <c r="H196" s="23" t="s">
        <v>5</v>
      </c>
      <c r="I196" s="33" t="s">
        <v>14</v>
      </c>
      <c r="J196" s="23">
        <v>1</v>
      </c>
      <c r="K196" s="23">
        <v>1</v>
      </c>
      <c r="L196" s="35">
        <v>0</v>
      </c>
      <c r="M196" s="23">
        <v>9</v>
      </c>
      <c r="N196" s="23">
        <v>9</v>
      </c>
      <c r="O196" s="49">
        <v>0</v>
      </c>
      <c r="P196" s="45" t="s">
        <v>159</v>
      </c>
      <c r="Q196" s="23" t="s">
        <v>182</v>
      </c>
      <c r="R196" s="23" t="s">
        <v>183</v>
      </c>
      <c r="S196" s="23" t="s">
        <v>9</v>
      </c>
      <c r="T196" s="23">
        <f>SUMIFS($J$1:INDEX(J:J,ROW()-1),$I$1:INDEX(I:I,ROW()-1),"&lt;&gt;Totals:")</f>
        <v>91</v>
      </c>
      <c r="U196" s="22">
        <f>SUMIFS($M$1:INDEX(M:M,ROW()),$I$1:INDEX(I:I,ROW()),"&lt;&gt;*Totals:*")</f>
        <v>2413</v>
      </c>
    </row>
    <row r="197" spans="1:21" ht="12.75" customHeight="1" x14ac:dyDescent="0.25">
      <c r="A197" s="47" t="s">
        <v>40</v>
      </c>
      <c r="B197" s="23" t="s">
        <v>190</v>
      </c>
      <c r="C197" s="28">
        <v>45696</v>
      </c>
      <c r="D197" s="30" t="s">
        <v>179</v>
      </c>
      <c r="E197" s="28" t="s">
        <v>185</v>
      </c>
      <c r="F197" s="28" t="s">
        <v>191</v>
      </c>
      <c r="G197" s="28">
        <v>45725</v>
      </c>
      <c r="H197" s="23" t="s">
        <v>5</v>
      </c>
      <c r="I197" s="33" t="s">
        <v>14</v>
      </c>
      <c r="J197" s="23">
        <v>1</v>
      </c>
      <c r="K197" s="23">
        <v>1</v>
      </c>
      <c r="L197" s="35">
        <v>0</v>
      </c>
      <c r="M197" s="23">
        <v>5</v>
      </c>
      <c r="N197" s="23">
        <v>5</v>
      </c>
      <c r="O197" s="49">
        <v>0</v>
      </c>
      <c r="P197" s="45" t="s">
        <v>159</v>
      </c>
      <c r="Q197" s="23" t="s">
        <v>182</v>
      </c>
      <c r="R197" s="23" t="s">
        <v>183</v>
      </c>
      <c r="S197" s="23" t="s">
        <v>9</v>
      </c>
      <c r="T197" s="23">
        <f>SUMIFS($J$1:INDEX(J:J,ROW()-1),$I$1:INDEX(I:I,ROW()-1),"&lt;&gt;Totals:")</f>
        <v>92</v>
      </c>
      <c r="U197" s="22">
        <f>SUMIFS($M$1:INDEX(M:M,ROW()),$I$1:INDEX(I:I,ROW()),"&lt;&gt;*Totals:*")</f>
        <v>2418</v>
      </c>
    </row>
    <row r="198" spans="1:21" ht="12.75" customHeight="1" x14ac:dyDescent="0.25">
      <c r="A198" s="47" t="s">
        <v>15</v>
      </c>
      <c r="B198" s="23" t="s">
        <v>184</v>
      </c>
      <c r="C198" s="28">
        <v>45696</v>
      </c>
      <c r="D198" s="30" t="s">
        <v>179</v>
      </c>
      <c r="E198" s="28" t="s">
        <v>192</v>
      </c>
      <c r="F198" s="28" t="s">
        <v>171</v>
      </c>
      <c r="G198" s="28">
        <v>45725</v>
      </c>
      <c r="H198" s="23" t="s">
        <v>5</v>
      </c>
      <c r="I198" s="33" t="s">
        <v>14</v>
      </c>
      <c r="J198" s="23">
        <v>1</v>
      </c>
      <c r="K198" s="23">
        <v>1</v>
      </c>
      <c r="L198" s="35">
        <v>0</v>
      </c>
      <c r="M198" s="23">
        <v>27</v>
      </c>
      <c r="N198" s="23">
        <v>27</v>
      </c>
      <c r="O198" s="49">
        <v>0</v>
      </c>
      <c r="P198" s="45" t="s">
        <v>159</v>
      </c>
      <c r="Q198" s="23" t="s">
        <v>182</v>
      </c>
      <c r="R198" s="23" t="s">
        <v>183</v>
      </c>
      <c r="S198" s="23" t="s">
        <v>9</v>
      </c>
      <c r="T198" s="23">
        <f>SUMIFS($J$1:INDEX(J:J,ROW()-1),$I$1:INDEX(I:I,ROW()-1),"&lt;&gt;Totals:")</f>
        <v>93</v>
      </c>
      <c r="U198" s="22">
        <f>SUMIFS($M$1:INDEX(M:M,ROW()),$I$1:INDEX(I:I,ROW()),"&lt;&gt;*Totals:*")</f>
        <v>2445</v>
      </c>
    </row>
    <row r="199" spans="1:21" ht="12.75" customHeight="1" x14ac:dyDescent="0.25">
      <c r="A199" s="47" t="s">
        <v>0</v>
      </c>
      <c r="B199" s="23" t="s">
        <v>193</v>
      </c>
      <c r="C199" s="28">
        <v>45700</v>
      </c>
      <c r="D199" s="30" t="s">
        <v>179</v>
      </c>
      <c r="E199" s="28" t="s">
        <v>194</v>
      </c>
      <c r="F199" s="28" t="s">
        <v>171</v>
      </c>
      <c r="G199" s="28">
        <v>45729</v>
      </c>
      <c r="H199" s="23" t="s">
        <v>5</v>
      </c>
      <c r="I199" s="33"/>
      <c r="J199" s="23">
        <v>0</v>
      </c>
      <c r="K199" s="23">
        <v>1</v>
      </c>
      <c r="L199" s="35">
        <v>1</v>
      </c>
      <c r="M199" s="23">
        <v>114</v>
      </c>
      <c r="N199" s="23">
        <v>0</v>
      </c>
      <c r="O199" s="49">
        <v>1</v>
      </c>
      <c r="P199" s="45" t="s">
        <v>159</v>
      </c>
      <c r="Q199" s="23" t="s">
        <v>182</v>
      </c>
      <c r="R199" s="23" t="s">
        <v>183</v>
      </c>
      <c r="S199" s="23" t="s">
        <v>9</v>
      </c>
      <c r="T199" s="23">
        <f>SUMIFS($J$1:INDEX(J:J,ROW()-1),$I$1:INDEX(I:I,ROW()-1),"&lt;&gt;Totals:")</f>
        <v>94</v>
      </c>
      <c r="U199" s="22">
        <f>SUMIFS($M$1:INDEX(M:M,ROW()),$I$1:INDEX(I:I,ROW()),"&lt;&gt;*Totals:*")</f>
        <v>2559</v>
      </c>
    </row>
    <row r="200" spans="1:21" ht="12.75" customHeight="1" x14ac:dyDescent="0.25">
      <c r="A200" s="47" t="s">
        <v>15</v>
      </c>
      <c r="B200" s="23" t="s">
        <v>184</v>
      </c>
      <c r="C200" s="28">
        <v>45701</v>
      </c>
      <c r="D200" s="30" t="s">
        <v>179</v>
      </c>
      <c r="E200" s="28" t="s">
        <v>192</v>
      </c>
      <c r="F200" s="28" t="s">
        <v>171</v>
      </c>
      <c r="G200" s="28">
        <v>45730</v>
      </c>
      <c r="H200" s="23" t="s">
        <v>5</v>
      </c>
      <c r="I200" s="33" t="s">
        <v>14</v>
      </c>
      <c r="J200" s="23">
        <v>1</v>
      </c>
      <c r="K200" s="23">
        <v>1</v>
      </c>
      <c r="L200" s="35">
        <v>0</v>
      </c>
      <c r="M200" s="23">
        <v>7</v>
      </c>
      <c r="N200" s="23">
        <v>7</v>
      </c>
      <c r="O200" s="49">
        <v>0</v>
      </c>
      <c r="P200" s="45" t="s">
        <v>159</v>
      </c>
      <c r="Q200" s="23" t="s">
        <v>182</v>
      </c>
      <c r="R200" s="23" t="s">
        <v>183</v>
      </c>
      <c r="S200" s="23" t="s">
        <v>9</v>
      </c>
      <c r="T200" s="23">
        <f>SUMIFS($J$1:INDEX(J:J,ROW()-1),$I$1:INDEX(I:I,ROW()-1),"&lt;&gt;Totals:")</f>
        <v>94</v>
      </c>
      <c r="U200" s="22">
        <f>SUMIFS($M$1:INDEX(M:M,ROW()),$I$1:INDEX(I:I,ROW()),"&lt;&gt;*Totals:*")</f>
        <v>2566</v>
      </c>
    </row>
    <row r="201" spans="1:21" ht="12.75" customHeight="1" x14ac:dyDescent="0.25">
      <c r="A201" s="47" t="s">
        <v>10</v>
      </c>
      <c r="B201" s="23" t="s">
        <v>184</v>
      </c>
      <c r="C201" s="28">
        <v>45701</v>
      </c>
      <c r="D201" s="30" t="s">
        <v>179</v>
      </c>
      <c r="E201" s="28" t="s">
        <v>185</v>
      </c>
      <c r="F201" s="28" t="s">
        <v>171</v>
      </c>
      <c r="G201" s="28">
        <v>45730</v>
      </c>
      <c r="H201" s="23" t="s">
        <v>5</v>
      </c>
      <c r="I201" s="33" t="s">
        <v>14</v>
      </c>
      <c r="J201" s="23">
        <v>1</v>
      </c>
      <c r="K201" s="23">
        <v>1</v>
      </c>
      <c r="L201" s="35">
        <v>0</v>
      </c>
      <c r="M201" s="23">
        <v>18</v>
      </c>
      <c r="N201" s="23">
        <v>18</v>
      </c>
      <c r="O201" s="49">
        <v>0</v>
      </c>
      <c r="P201" s="45" t="s">
        <v>159</v>
      </c>
      <c r="Q201" s="23" t="s">
        <v>182</v>
      </c>
      <c r="R201" s="23" t="s">
        <v>183</v>
      </c>
      <c r="S201" s="23" t="s">
        <v>9</v>
      </c>
      <c r="T201" s="23">
        <f>SUMIFS($J$1:INDEX(J:J,ROW()-1),$I$1:INDEX(I:I,ROW()-1),"&lt;&gt;Totals:")</f>
        <v>95</v>
      </c>
      <c r="U201" s="22">
        <f>SUMIFS($M$1:INDEX(M:M,ROW()),$I$1:INDEX(I:I,ROW()),"&lt;&gt;*Totals:*")</f>
        <v>2584</v>
      </c>
    </row>
    <row r="202" spans="1:21" ht="12.75" customHeight="1" x14ac:dyDescent="0.25">
      <c r="A202" s="47" t="s">
        <v>0</v>
      </c>
      <c r="B202" s="23" t="s">
        <v>193</v>
      </c>
      <c r="C202" s="28">
        <v>45702</v>
      </c>
      <c r="D202" s="30" t="s">
        <v>179</v>
      </c>
      <c r="E202" s="28" t="s">
        <v>175</v>
      </c>
      <c r="F202" s="28" t="s">
        <v>171</v>
      </c>
      <c r="G202" s="28">
        <v>45731</v>
      </c>
      <c r="H202" s="23" t="s">
        <v>5</v>
      </c>
      <c r="I202" s="33" t="s">
        <v>14</v>
      </c>
      <c r="J202" s="23">
        <v>1</v>
      </c>
      <c r="K202" s="23">
        <v>1</v>
      </c>
      <c r="L202" s="35">
        <v>0</v>
      </c>
      <c r="M202" s="23">
        <v>18</v>
      </c>
      <c r="N202" s="23">
        <v>18</v>
      </c>
      <c r="O202" s="49">
        <v>0</v>
      </c>
      <c r="P202" s="45" t="s">
        <v>159</v>
      </c>
      <c r="Q202" s="23" t="s">
        <v>182</v>
      </c>
      <c r="R202" s="23" t="s">
        <v>183</v>
      </c>
      <c r="S202" s="23" t="s">
        <v>9</v>
      </c>
      <c r="T202" s="23">
        <f>SUMIFS($J$1:INDEX(J:J,ROW()-1),$I$1:INDEX(I:I,ROW()-1),"&lt;&gt;Totals:")</f>
        <v>96</v>
      </c>
      <c r="U202" s="22">
        <f>SUMIFS($M$1:INDEX(M:M,ROW()),$I$1:INDEX(I:I,ROW()),"&lt;&gt;*Totals:*")</f>
        <v>2602</v>
      </c>
    </row>
    <row r="203" spans="1:21" ht="12.75" customHeight="1" x14ac:dyDescent="0.25">
      <c r="A203" s="47" t="s">
        <v>10</v>
      </c>
      <c r="B203" s="23" t="s">
        <v>184</v>
      </c>
      <c r="C203" s="28">
        <v>45704</v>
      </c>
      <c r="D203" s="30" t="s">
        <v>179</v>
      </c>
      <c r="E203" s="28" t="s">
        <v>185</v>
      </c>
      <c r="F203" s="28" t="s">
        <v>171</v>
      </c>
      <c r="G203" s="28">
        <v>45733</v>
      </c>
      <c r="H203" s="23" t="s">
        <v>5</v>
      </c>
      <c r="I203" s="33" t="s">
        <v>14</v>
      </c>
      <c r="J203" s="23">
        <v>1</v>
      </c>
      <c r="K203" s="23">
        <v>1</v>
      </c>
      <c r="L203" s="35">
        <v>0</v>
      </c>
      <c r="M203" s="23">
        <v>2</v>
      </c>
      <c r="N203" s="23">
        <v>2</v>
      </c>
      <c r="O203" s="49">
        <v>0</v>
      </c>
      <c r="P203" s="45" t="s">
        <v>159</v>
      </c>
      <c r="Q203" s="23" t="s">
        <v>182</v>
      </c>
      <c r="R203" s="23" t="s">
        <v>183</v>
      </c>
      <c r="S203" s="23" t="s">
        <v>9</v>
      </c>
      <c r="T203" s="23">
        <f>SUMIFS($J$1:INDEX(J:J,ROW()-1),$I$1:INDEX(I:I,ROW()-1),"&lt;&gt;Totals:")</f>
        <v>97</v>
      </c>
      <c r="U203" s="22">
        <f>SUMIFS($M$1:INDEX(M:M,ROW()),$I$1:INDEX(I:I,ROW()),"&lt;&gt;*Totals:*")</f>
        <v>2604</v>
      </c>
    </row>
    <row r="204" spans="1:21" ht="12.75" customHeight="1" x14ac:dyDescent="0.25">
      <c r="A204" s="47" t="s">
        <v>10</v>
      </c>
      <c r="B204" s="23" t="s">
        <v>195</v>
      </c>
      <c r="C204" s="28">
        <v>45704</v>
      </c>
      <c r="D204" s="30" t="s">
        <v>179</v>
      </c>
      <c r="E204" s="28" t="s">
        <v>185</v>
      </c>
      <c r="F204" s="28" t="s">
        <v>196</v>
      </c>
      <c r="G204" s="28">
        <v>45733</v>
      </c>
      <c r="H204" s="23" t="s">
        <v>5</v>
      </c>
      <c r="I204" s="33" t="s">
        <v>14</v>
      </c>
      <c r="J204" s="23">
        <v>1</v>
      </c>
      <c r="K204" s="23">
        <v>1</v>
      </c>
      <c r="L204" s="35">
        <v>0</v>
      </c>
      <c r="M204" s="23">
        <v>2</v>
      </c>
      <c r="N204" s="23">
        <v>2</v>
      </c>
      <c r="O204" s="49">
        <v>0</v>
      </c>
      <c r="P204" s="45" t="s">
        <v>159</v>
      </c>
      <c r="Q204" s="23" t="s">
        <v>182</v>
      </c>
      <c r="R204" s="23" t="s">
        <v>183</v>
      </c>
      <c r="S204" s="23" t="s">
        <v>9</v>
      </c>
      <c r="T204" s="23">
        <f>SUMIFS($J$1:INDEX(J:J,ROW()-1),$I$1:INDEX(I:I,ROW()-1),"&lt;&gt;Totals:")</f>
        <v>98</v>
      </c>
      <c r="U204" s="22">
        <f>SUMIFS($M$1:INDEX(M:M,ROW()),$I$1:INDEX(I:I,ROW()),"&lt;&gt;*Totals:*")</f>
        <v>2606</v>
      </c>
    </row>
    <row r="205" spans="1:21" ht="12.75" customHeight="1" x14ac:dyDescent="0.25">
      <c r="A205" s="47" t="s">
        <v>0</v>
      </c>
      <c r="B205" s="23" t="s">
        <v>193</v>
      </c>
      <c r="C205" s="28">
        <v>45705</v>
      </c>
      <c r="D205" s="30" t="s">
        <v>179</v>
      </c>
      <c r="E205" s="28" t="s">
        <v>175</v>
      </c>
      <c r="F205" s="28" t="s">
        <v>171</v>
      </c>
      <c r="G205" s="28">
        <v>45734</v>
      </c>
      <c r="H205" s="23" t="s">
        <v>5</v>
      </c>
      <c r="I205" s="33" t="s">
        <v>14</v>
      </c>
      <c r="J205" s="23">
        <v>1</v>
      </c>
      <c r="K205" s="23">
        <v>1</v>
      </c>
      <c r="L205" s="35">
        <v>0</v>
      </c>
      <c r="M205" s="23">
        <v>6</v>
      </c>
      <c r="N205" s="23">
        <v>6</v>
      </c>
      <c r="O205" s="49">
        <v>0</v>
      </c>
      <c r="P205" s="45" t="s">
        <v>159</v>
      </c>
      <c r="Q205" s="23" t="s">
        <v>182</v>
      </c>
      <c r="R205" s="23" t="s">
        <v>183</v>
      </c>
      <c r="S205" s="23" t="s">
        <v>9</v>
      </c>
      <c r="T205" s="23">
        <f>SUMIFS($J$1:INDEX(J:J,ROW()-1),$I$1:INDEX(I:I,ROW()-1),"&lt;&gt;Totals:")</f>
        <v>99</v>
      </c>
      <c r="U205" s="22">
        <f>SUMIFS($M$1:INDEX(M:M,ROW()),$I$1:INDEX(I:I,ROW()),"&lt;&gt;*Totals:*")</f>
        <v>2612</v>
      </c>
    </row>
    <row r="206" spans="1:21" ht="12.75" customHeight="1" x14ac:dyDescent="0.25">
      <c r="A206" s="47" t="s">
        <v>0</v>
      </c>
      <c r="B206" s="23" t="s">
        <v>193</v>
      </c>
      <c r="C206" s="28">
        <v>45706</v>
      </c>
      <c r="D206" s="30" t="s">
        <v>179</v>
      </c>
      <c r="E206" s="28" t="s">
        <v>175</v>
      </c>
      <c r="F206" s="28" t="s">
        <v>171</v>
      </c>
      <c r="G206" s="28">
        <v>45735</v>
      </c>
      <c r="H206" s="23" t="s">
        <v>5</v>
      </c>
      <c r="I206" s="33" t="s">
        <v>14</v>
      </c>
      <c r="J206" s="23">
        <v>1</v>
      </c>
      <c r="K206" s="23">
        <v>1</v>
      </c>
      <c r="L206" s="35">
        <v>0</v>
      </c>
      <c r="M206" s="23">
        <v>3</v>
      </c>
      <c r="N206" s="23">
        <v>3</v>
      </c>
      <c r="O206" s="49">
        <v>0</v>
      </c>
      <c r="P206" s="45" t="s">
        <v>159</v>
      </c>
      <c r="Q206" s="23" t="s">
        <v>182</v>
      </c>
      <c r="R206" s="23" t="s">
        <v>183</v>
      </c>
      <c r="S206" s="23" t="s">
        <v>9</v>
      </c>
      <c r="T206" s="23">
        <f>SUMIFS($J$1:INDEX(J:J,ROW()-1),$I$1:INDEX(I:I,ROW()-1),"&lt;&gt;Totals:")</f>
        <v>100</v>
      </c>
      <c r="U206" s="22">
        <f>SUMIFS($M$1:INDEX(M:M,ROW()),$I$1:INDEX(I:I,ROW()),"&lt;&gt;*Totals:*")</f>
        <v>2615</v>
      </c>
    </row>
    <row r="207" spans="1:21" ht="12.75" customHeight="1" x14ac:dyDescent="0.25">
      <c r="A207" s="47" t="s">
        <v>0</v>
      </c>
      <c r="B207" s="23" t="s">
        <v>193</v>
      </c>
      <c r="C207" s="28">
        <v>45707</v>
      </c>
      <c r="D207" s="30" t="s">
        <v>179</v>
      </c>
      <c r="E207" s="28" t="s">
        <v>175</v>
      </c>
      <c r="F207" s="28" t="s">
        <v>171</v>
      </c>
      <c r="G207" s="28">
        <v>45736</v>
      </c>
      <c r="H207" s="23" t="s">
        <v>5</v>
      </c>
      <c r="I207" s="33" t="s">
        <v>14</v>
      </c>
      <c r="J207" s="23">
        <v>1</v>
      </c>
      <c r="K207" s="23">
        <v>1</v>
      </c>
      <c r="L207" s="35">
        <v>0</v>
      </c>
      <c r="M207" s="23">
        <v>4</v>
      </c>
      <c r="N207" s="23">
        <v>4</v>
      </c>
      <c r="O207" s="49">
        <v>0</v>
      </c>
      <c r="P207" s="45" t="s">
        <v>159</v>
      </c>
      <c r="Q207" s="23" t="s">
        <v>182</v>
      </c>
      <c r="R207" s="23" t="s">
        <v>183</v>
      </c>
      <c r="S207" s="23" t="s">
        <v>9</v>
      </c>
      <c r="T207" s="23">
        <f>SUMIFS($J$1:INDEX(J:J,ROW()-1),$I$1:INDEX(I:I,ROW()-1),"&lt;&gt;Totals:")</f>
        <v>101</v>
      </c>
      <c r="U207" s="22">
        <f>SUMIFS($M$1:INDEX(M:M,ROW()),$I$1:INDEX(I:I,ROW()),"&lt;&gt;*Totals:*")</f>
        <v>2619</v>
      </c>
    </row>
    <row r="208" spans="1:21" ht="12.75" customHeight="1" x14ac:dyDescent="0.25">
      <c r="A208" s="47" t="s">
        <v>15</v>
      </c>
      <c r="B208" s="23" t="s">
        <v>184</v>
      </c>
      <c r="C208" s="28">
        <v>45711</v>
      </c>
      <c r="D208" s="30" t="s">
        <v>179</v>
      </c>
      <c r="E208" s="28" t="s">
        <v>192</v>
      </c>
      <c r="F208" s="28" t="s">
        <v>171</v>
      </c>
      <c r="G208" s="28">
        <v>45740</v>
      </c>
      <c r="H208" s="23" t="s">
        <v>5</v>
      </c>
      <c r="I208" s="33" t="s">
        <v>14</v>
      </c>
      <c r="J208" s="23">
        <v>1</v>
      </c>
      <c r="K208" s="23">
        <v>1</v>
      </c>
      <c r="L208" s="35">
        <v>0</v>
      </c>
      <c r="M208" s="23">
        <v>2</v>
      </c>
      <c r="N208" s="23">
        <v>2</v>
      </c>
      <c r="O208" s="49">
        <v>0</v>
      </c>
      <c r="P208" s="45" t="s">
        <v>159</v>
      </c>
      <c r="Q208" s="23" t="s">
        <v>182</v>
      </c>
      <c r="R208" s="23" t="s">
        <v>183</v>
      </c>
      <c r="S208" s="23" t="s">
        <v>9</v>
      </c>
      <c r="T208" s="23">
        <f>SUMIFS($J$1:INDEX(J:J,ROW()-1),$I$1:INDEX(I:I,ROW()-1),"&lt;&gt;Totals:")</f>
        <v>102</v>
      </c>
      <c r="U208" s="22">
        <f>SUMIFS($M$1:INDEX(M:M,ROW()),$I$1:INDEX(I:I,ROW()),"&lt;&gt;*Totals:*")</f>
        <v>2621</v>
      </c>
    </row>
    <row r="209" spans="1:21" ht="12.75" customHeight="1" thickBot="1" x14ac:dyDescent="0.3">
      <c r="A209" s="51" t="s">
        <v>10</v>
      </c>
      <c r="B209" s="20" t="s">
        <v>184</v>
      </c>
      <c r="C209" s="25">
        <v>45711</v>
      </c>
      <c r="D209" s="27" t="s">
        <v>179</v>
      </c>
      <c r="E209" s="25" t="s">
        <v>185</v>
      </c>
      <c r="F209" s="25" t="s">
        <v>171</v>
      </c>
      <c r="G209" s="25">
        <v>45740</v>
      </c>
      <c r="H209" s="20" t="s">
        <v>5</v>
      </c>
      <c r="I209" s="32" t="s">
        <v>14</v>
      </c>
      <c r="J209" s="20">
        <v>1</v>
      </c>
      <c r="K209" s="20">
        <v>1</v>
      </c>
      <c r="L209" s="34">
        <v>0</v>
      </c>
      <c r="M209" s="20">
        <v>4</v>
      </c>
      <c r="N209" s="20">
        <v>4</v>
      </c>
      <c r="O209" s="54">
        <v>0</v>
      </c>
      <c r="P209" s="45" t="s">
        <v>159</v>
      </c>
      <c r="Q209" s="23" t="s">
        <v>182</v>
      </c>
      <c r="R209" s="23" t="s">
        <v>183</v>
      </c>
      <c r="S209" s="23" t="s">
        <v>9</v>
      </c>
      <c r="T209" s="23">
        <f>SUMIFS($J$1:INDEX(J:J,ROW()-1),$I$1:INDEX(I:I,ROW()-1),"&lt;&gt;Totals:")</f>
        <v>103</v>
      </c>
      <c r="U209" s="22">
        <f>SUMIFS($M$1:INDEX(M:M,ROW()),$I$1:INDEX(I:I,ROW()),"&lt;&gt;*Totals:*")</f>
        <v>2625</v>
      </c>
    </row>
    <row r="210" spans="1:21" ht="17.25" customHeight="1" x14ac:dyDescent="0.25">
      <c r="A210" s="60"/>
      <c r="B210" s="50"/>
      <c r="C210" s="55"/>
      <c r="D210" s="56"/>
      <c r="E210" s="56"/>
      <c r="F210" s="57"/>
      <c r="G210" s="57"/>
      <c r="H210" s="57"/>
      <c r="I210" s="58" t="s">
        <v>1087</v>
      </c>
      <c r="J210" s="57">
        <f>SUM(J193:J209)</f>
        <v>16</v>
      </c>
      <c r="K210" s="57">
        <f>SUM(K193:K209)</f>
        <v>17</v>
      </c>
      <c r="L210" s="59">
        <f>(SUM(K193:K209) - SUM(J193:J209)) / SUM(K193:K209)</f>
        <v>5.8823529411764705E-2</v>
      </c>
      <c r="M210" s="57">
        <f>SUM(M193:M209)</f>
        <v>326</v>
      </c>
      <c r="N210" s="56">
        <f>SUM(N193:N209)</f>
        <v>212</v>
      </c>
      <c r="O210" s="61">
        <f>(SUM(M193:M209) - SUM(N193:N209)) / SUM(M193:M209)</f>
        <v>0.34969325153374231</v>
      </c>
      <c r="P210" s="52"/>
      <c r="Q210" s="53"/>
      <c r="R210" s="52"/>
      <c r="S210" s="52"/>
      <c r="T210" s="52"/>
      <c r="U210" s="52"/>
    </row>
    <row r="211" spans="1:21" x14ac:dyDescent="0.25">
      <c r="A211" s="70"/>
      <c r="B211" s="64"/>
      <c r="C211" s="64"/>
      <c r="D211" s="64"/>
      <c r="E211" s="64"/>
      <c r="F211" s="64"/>
      <c r="G211" s="64"/>
      <c r="H211" s="64"/>
      <c r="I211" s="65" t="s">
        <v>1088</v>
      </c>
      <c r="J211" s="64"/>
      <c r="K211" s="64"/>
      <c r="L211" s="65" t="s">
        <v>1089</v>
      </c>
      <c r="M211" s="64"/>
      <c r="N211" s="64"/>
      <c r="O211" s="72"/>
      <c r="P211" s="62"/>
      <c r="Q211" s="62"/>
      <c r="R211" s="62"/>
      <c r="S211" s="62"/>
      <c r="T211" s="62"/>
      <c r="U211" s="62"/>
    </row>
    <row r="212" spans="1:21" ht="15.75" thickBot="1" x14ac:dyDescent="0.3">
      <c r="A212" s="71"/>
      <c r="B212" s="66"/>
      <c r="C212" s="67"/>
      <c r="D212" s="66"/>
      <c r="E212" s="66"/>
      <c r="F212" s="66"/>
      <c r="G212" s="67"/>
      <c r="H212" s="66"/>
      <c r="I212" s="68">
        <v>103</v>
      </c>
      <c r="J212" s="66"/>
      <c r="K212" s="66"/>
      <c r="L212" s="69">
        <v>2625</v>
      </c>
      <c r="M212" s="66"/>
      <c r="N212" s="66"/>
      <c r="O212" s="73"/>
      <c r="P212" s="63"/>
      <c r="Q212" s="63"/>
      <c r="R212" s="63"/>
      <c r="S212" s="63"/>
      <c r="T212" s="63"/>
      <c r="U212" s="63"/>
    </row>
    <row r="213" spans="1:21" ht="15.75" thickBot="1" x14ac:dyDescent="0.3">
      <c r="C213" s="1"/>
      <c r="G213" s="1"/>
    </row>
    <row r="214" spans="1:21" x14ac:dyDescent="0.25">
      <c r="A214" s="9"/>
      <c r="B214" s="10"/>
      <c r="C214" s="11"/>
      <c r="D214" s="11"/>
      <c r="E214" s="11"/>
      <c r="F214" s="11"/>
      <c r="G214" s="11"/>
      <c r="H214" s="12"/>
      <c r="I214" s="11"/>
      <c r="J214" s="13"/>
      <c r="K214" s="13"/>
      <c r="L214" s="13"/>
      <c r="M214" s="13"/>
      <c r="N214" s="11"/>
      <c r="O214" s="14"/>
      <c r="P214" s="4"/>
      <c r="Q214" s="5"/>
      <c r="R214" s="4"/>
      <c r="S214" s="4"/>
      <c r="T214" s="4"/>
      <c r="U214" s="4"/>
    </row>
    <row r="215" spans="1:21" x14ac:dyDescent="0.25">
      <c r="A215" s="6" t="s">
        <v>1090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15"/>
      <c r="P215" s="3"/>
      <c r="Q215" s="3"/>
      <c r="R215" s="3"/>
      <c r="S215" s="3"/>
      <c r="T215" s="3"/>
      <c r="U215" s="3"/>
    </row>
    <row r="216" spans="1:21" x14ac:dyDescent="0.25">
      <c r="A216" s="7" t="s">
        <v>201</v>
      </c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15"/>
      <c r="P216" s="3"/>
      <c r="Q216" s="3"/>
      <c r="R216" s="3"/>
      <c r="S216" s="3"/>
      <c r="T216" s="3"/>
      <c r="U216" s="3"/>
    </row>
    <row r="217" spans="1:21" ht="15.75" thickBot="1" x14ac:dyDescent="0.3">
      <c r="A217" s="8"/>
      <c r="B217" s="8"/>
      <c r="C217" s="74"/>
      <c r="D217" s="8"/>
      <c r="E217" s="8"/>
      <c r="F217" s="8"/>
      <c r="G217" s="74"/>
      <c r="H217" s="8"/>
      <c r="I217" s="8"/>
      <c r="J217" s="8"/>
      <c r="K217" s="8"/>
      <c r="L217" s="8"/>
      <c r="M217" s="8"/>
      <c r="N217" s="8"/>
      <c r="O217" s="16"/>
      <c r="P217" s="3"/>
      <c r="Q217" s="3"/>
      <c r="R217" s="3"/>
      <c r="S217" s="3"/>
      <c r="T217" s="3"/>
      <c r="U217" s="3"/>
    </row>
    <row r="218" spans="1:21" ht="17.25" customHeight="1" thickBot="1" x14ac:dyDescent="0.3">
      <c r="A218" s="19" t="s">
        <v>1068</v>
      </c>
      <c r="B218" s="24" t="s">
        <v>1069</v>
      </c>
      <c r="C218" s="26" t="s">
        <v>1070</v>
      </c>
      <c r="D218" s="29" t="s">
        <v>1071</v>
      </c>
      <c r="E218" s="26" t="s">
        <v>1072</v>
      </c>
      <c r="F218" s="31" t="s">
        <v>1073</v>
      </c>
      <c r="G218" s="31" t="s">
        <v>1074</v>
      </c>
      <c r="H218" s="31" t="s">
        <v>1075</v>
      </c>
      <c r="I218" s="29" t="s">
        <v>14</v>
      </c>
      <c r="J218" s="29" t="s">
        <v>1076</v>
      </c>
      <c r="K218" s="29" t="s">
        <v>1077</v>
      </c>
      <c r="L218" s="29" t="s">
        <v>1078</v>
      </c>
      <c r="M218" s="29" t="s">
        <v>1079</v>
      </c>
      <c r="N218" s="29" t="s">
        <v>1080</v>
      </c>
      <c r="O218" s="36" t="s">
        <v>1081</v>
      </c>
      <c r="P218" s="37" t="s">
        <v>1082</v>
      </c>
      <c r="Q218" s="38" t="s">
        <v>1083</v>
      </c>
      <c r="R218" s="38" t="s">
        <v>1084</v>
      </c>
      <c r="S218" s="38" t="s">
        <v>1085</v>
      </c>
      <c r="T218" s="38" t="s">
        <v>1086</v>
      </c>
      <c r="U218" s="39" t="s">
        <v>1086</v>
      </c>
    </row>
    <row r="219" spans="1:21" ht="12.75" customHeight="1" x14ac:dyDescent="0.25">
      <c r="A219" s="46" t="s">
        <v>17</v>
      </c>
      <c r="B219" s="40" t="s">
        <v>197</v>
      </c>
      <c r="C219" s="41">
        <v>45723</v>
      </c>
      <c r="D219" s="42" t="s">
        <v>198</v>
      </c>
      <c r="E219" s="41" t="s">
        <v>199</v>
      </c>
      <c r="F219" s="41" t="s">
        <v>200</v>
      </c>
      <c r="G219" s="41">
        <v>45752</v>
      </c>
      <c r="H219" s="40" t="s">
        <v>5</v>
      </c>
      <c r="I219" s="43" t="s">
        <v>14</v>
      </c>
      <c r="J219" s="40">
        <v>1</v>
      </c>
      <c r="K219" s="40">
        <v>1</v>
      </c>
      <c r="L219" s="44">
        <v>0</v>
      </c>
      <c r="M219" s="40">
        <v>27</v>
      </c>
      <c r="N219" s="40">
        <v>27</v>
      </c>
      <c r="O219" s="48">
        <v>0</v>
      </c>
      <c r="P219" s="45" t="s">
        <v>159</v>
      </c>
      <c r="Q219" s="23" t="s">
        <v>201</v>
      </c>
      <c r="R219" s="23" t="s">
        <v>202</v>
      </c>
      <c r="S219" s="23" t="s">
        <v>9</v>
      </c>
      <c r="T219" s="23">
        <f>SUMIFS($J$1:INDEX(J:J,ROW()-1),$I$1:INDEX(I:I,ROW()-1),"&lt;&gt;Totals:")</f>
        <v>104</v>
      </c>
      <c r="U219" s="22">
        <f>SUMIFS($M$1:INDEX(M:M,ROW()),$I$1:INDEX(I:I,ROW()),"&lt;&gt;*Totals:*")</f>
        <v>2652</v>
      </c>
    </row>
    <row r="220" spans="1:21" ht="12.75" customHeight="1" x14ac:dyDescent="0.25">
      <c r="A220" s="47" t="s">
        <v>17</v>
      </c>
      <c r="B220" s="23" t="s">
        <v>203</v>
      </c>
      <c r="C220" s="28">
        <v>45726</v>
      </c>
      <c r="D220" s="30" t="s">
        <v>198</v>
      </c>
      <c r="E220" s="28" t="s">
        <v>199</v>
      </c>
      <c r="F220" s="28" t="s">
        <v>204</v>
      </c>
      <c r="G220" s="28">
        <v>45755</v>
      </c>
      <c r="H220" s="23" t="s">
        <v>5</v>
      </c>
      <c r="I220" s="33" t="s">
        <v>14</v>
      </c>
      <c r="J220" s="23">
        <v>1</v>
      </c>
      <c r="K220" s="23">
        <v>1</v>
      </c>
      <c r="L220" s="35">
        <v>0</v>
      </c>
      <c r="M220" s="23">
        <v>4</v>
      </c>
      <c r="N220" s="23">
        <v>4</v>
      </c>
      <c r="O220" s="49">
        <v>0</v>
      </c>
      <c r="P220" s="45" t="s">
        <v>159</v>
      </c>
      <c r="Q220" s="23" t="s">
        <v>201</v>
      </c>
      <c r="R220" s="23" t="s">
        <v>202</v>
      </c>
      <c r="S220" s="23" t="s">
        <v>9</v>
      </c>
      <c r="T220" s="23">
        <f>SUMIFS($J$1:INDEX(J:J,ROW()-1),$I$1:INDEX(I:I,ROW()-1),"&lt;&gt;Totals:")</f>
        <v>105</v>
      </c>
      <c r="U220" s="22">
        <f>SUMIFS($M$1:INDEX(M:M,ROW()),$I$1:INDEX(I:I,ROW()),"&lt;&gt;*Totals:*")</f>
        <v>2656</v>
      </c>
    </row>
    <row r="221" spans="1:21" ht="12.75" customHeight="1" x14ac:dyDescent="0.25">
      <c r="A221" s="47" t="s">
        <v>15</v>
      </c>
      <c r="B221" s="23" t="s">
        <v>205</v>
      </c>
      <c r="C221" s="28">
        <v>45731</v>
      </c>
      <c r="D221" s="30" t="s">
        <v>198</v>
      </c>
      <c r="E221" s="28" t="s">
        <v>199</v>
      </c>
      <c r="F221" s="28" t="s">
        <v>206</v>
      </c>
      <c r="G221" s="28">
        <v>45760</v>
      </c>
      <c r="H221" s="23" t="s">
        <v>5</v>
      </c>
      <c r="I221" s="33" t="s">
        <v>14</v>
      </c>
      <c r="J221" s="23">
        <v>1</v>
      </c>
      <c r="K221" s="23">
        <v>1</v>
      </c>
      <c r="L221" s="35">
        <v>0</v>
      </c>
      <c r="M221" s="23">
        <v>26</v>
      </c>
      <c r="N221" s="23">
        <v>26</v>
      </c>
      <c r="O221" s="49">
        <v>0</v>
      </c>
      <c r="P221" s="45" t="s">
        <v>159</v>
      </c>
      <c r="Q221" s="23" t="s">
        <v>201</v>
      </c>
      <c r="R221" s="23" t="s">
        <v>202</v>
      </c>
      <c r="S221" s="23" t="s">
        <v>9</v>
      </c>
      <c r="T221" s="23">
        <f>SUMIFS($J$1:INDEX(J:J,ROW()-1),$I$1:INDEX(I:I,ROW()-1),"&lt;&gt;Totals:")</f>
        <v>106</v>
      </c>
      <c r="U221" s="22">
        <f>SUMIFS($M$1:INDEX(M:M,ROW()),$I$1:INDEX(I:I,ROW()),"&lt;&gt;*Totals:*")</f>
        <v>2682</v>
      </c>
    </row>
    <row r="222" spans="1:21" ht="12.75" customHeight="1" x14ac:dyDescent="0.25">
      <c r="A222" s="47" t="s">
        <v>10</v>
      </c>
      <c r="B222" s="23" t="s">
        <v>205</v>
      </c>
      <c r="C222" s="28">
        <v>45731</v>
      </c>
      <c r="D222" s="30" t="s">
        <v>198</v>
      </c>
      <c r="E222" s="28" t="s">
        <v>199</v>
      </c>
      <c r="F222" s="28" t="s">
        <v>206</v>
      </c>
      <c r="G222" s="28">
        <v>45760</v>
      </c>
      <c r="H222" s="23" t="s">
        <v>5</v>
      </c>
      <c r="I222" s="33" t="s">
        <v>14</v>
      </c>
      <c r="J222" s="23">
        <v>1</v>
      </c>
      <c r="K222" s="23">
        <v>1</v>
      </c>
      <c r="L222" s="35">
        <v>0</v>
      </c>
      <c r="M222" s="23">
        <v>91</v>
      </c>
      <c r="N222" s="23">
        <v>91</v>
      </c>
      <c r="O222" s="49">
        <v>0</v>
      </c>
      <c r="P222" s="45" t="s">
        <v>159</v>
      </c>
      <c r="Q222" s="23" t="s">
        <v>201</v>
      </c>
      <c r="R222" s="23" t="s">
        <v>202</v>
      </c>
      <c r="S222" s="23" t="s">
        <v>9</v>
      </c>
      <c r="T222" s="23">
        <f>SUMIFS($J$1:INDEX(J:J,ROW()-1),$I$1:INDEX(I:I,ROW()-1),"&lt;&gt;Totals:")</f>
        <v>107</v>
      </c>
      <c r="U222" s="22">
        <f>SUMIFS($M$1:INDEX(M:M,ROW()),$I$1:INDEX(I:I,ROW()),"&lt;&gt;*Totals:*")</f>
        <v>2773</v>
      </c>
    </row>
    <row r="223" spans="1:21" ht="12.75" customHeight="1" x14ac:dyDescent="0.25">
      <c r="A223" s="47" t="s">
        <v>15</v>
      </c>
      <c r="B223" s="23" t="s">
        <v>205</v>
      </c>
      <c r="C223" s="28">
        <v>45732</v>
      </c>
      <c r="D223" s="30" t="s">
        <v>198</v>
      </c>
      <c r="E223" s="28" t="s">
        <v>199</v>
      </c>
      <c r="F223" s="28" t="s">
        <v>206</v>
      </c>
      <c r="G223" s="28">
        <v>45761</v>
      </c>
      <c r="H223" s="23" t="s">
        <v>5</v>
      </c>
      <c r="I223" s="33" t="s">
        <v>14</v>
      </c>
      <c r="J223" s="23">
        <v>1</v>
      </c>
      <c r="K223" s="23">
        <v>1</v>
      </c>
      <c r="L223" s="35">
        <v>0</v>
      </c>
      <c r="M223" s="23">
        <v>2</v>
      </c>
      <c r="N223" s="23">
        <v>2</v>
      </c>
      <c r="O223" s="49">
        <v>0</v>
      </c>
      <c r="P223" s="45" t="s">
        <v>159</v>
      </c>
      <c r="Q223" s="23" t="s">
        <v>201</v>
      </c>
      <c r="R223" s="23" t="s">
        <v>202</v>
      </c>
      <c r="S223" s="23" t="s">
        <v>9</v>
      </c>
      <c r="T223" s="23">
        <f>SUMIFS($J$1:INDEX(J:J,ROW()-1),$I$1:INDEX(I:I,ROW()-1),"&lt;&gt;Totals:")</f>
        <v>108</v>
      </c>
      <c r="U223" s="22">
        <f>SUMIFS($M$1:INDEX(M:M,ROW()),$I$1:INDEX(I:I,ROW()),"&lt;&gt;*Totals:*")</f>
        <v>2775</v>
      </c>
    </row>
    <row r="224" spans="1:21" ht="12.75" customHeight="1" x14ac:dyDescent="0.25">
      <c r="A224" s="47" t="s">
        <v>36</v>
      </c>
      <c r="B224" s="23" t="s">
        <v>207</v>
      </c>
      <c r="C224" s="28">
        <v>45732</v>
      </c>
      <c r="D224" s="30" t="s">
        <v>198</v>
      </c>
      <c r="E224" s="28" t="s">
        <v>199</v>
      </c>
      <c r="F224" s="28" t="s">
        <v>208</v>
      </c>
      <c r="G224" s="28">
        <v>45761</v>
      </c>
      <c r="H224" s="23" t="s">
        <v>5</v>
      </c>
      <c r="I224" s="33" t="s">
        <v>14</v>
      </c>
      <c r="J224" s="23">
        <v>1</v>
      </c>
      <c r="K224" s="23">
        <v>1</v>
      </c>
      <c r="L224" s="35">
        <v>0</v>
      </c>
      <c r="M224" s="23">
        <v>5</v>
      </c>
      <c r="N224" s="23">
        <v>5</v>
      </c>
      <c r="O224" s="49">
        <v>0</v>
      </c>
      <c r="P224" s="45" t="s">
        <v>159</v>
      </c>
      <c r="Q224" s="23" t="s">
        <v>201</v>
      </c>
      <c r="R224" s="23" t="s">
        <v>202</v>
      </c>
      <c r="S224" s="23" t="s">
        <v>9</v>
      </c>
      <c r="T224" s="23">
        <f>SUMIFS($J$1:INDEX(J:J,ROW()-1),$I$1:INDEX(I:I,ROW()-1),"&lt;&gt;Totals:")</f>
        <v>109</v>
      </c>
      <c r="U224" s="22">
        <f>SUMIFS($M$1:INDEX(M:M,ROW()),$I$1:INDEX(I:I,ROW()),"&lt;&gt;*Totals:*")</f>
        <v>2780</v>
      </c>
    </row>
    <row r="225" spans="1:21" ht="12.75" customHeight="1" x14ac:dyDescent="0.25">
      <c r="A225" s="47" t="s">
        <v>10</v>
      </c>
      <c r="B225" s="23" t="s">
        <v>205</v>
      </c>
      <c r="C225" s="28">
        <v>45732</v>
      </c>
      <c r="D225" s="30" t="s">
        <v>198</v>
      </c>
      <c r="E225" s="28" t="s">
        <v>199</v>
      </c>
      <c r="F225" s="28" t="s">
        <v>206</v>
      </c>
      <c r="G225" s="28">
        <v>45761</v>
      </c>
      <c r="H225" s="23" t="s">
        <v>5</v>
      </c>
      <c r="I225" s="33" t="s">
        <v>14</v>
      </c>
      <c r="J225" s="23">
        <v>1</v>
      </c>
      <c r="K225" s="23">
        <v>1</v>
      </c>
      <c r="L225" s="35">
        <v>0</v>
      </c>
      <c r="M225" s="23">
        <v>8</v>
      </c>
      <c r="N225" s="23">
        <v>8</v>
      </c>
      <c r="O225" s="49">
        <v>0</v>
      </c>
      <c r="P225" s="45" t="s">
        <v>159</v>
      </c>
      <c r="Q225" s="23" t="s">
        <v>201</v>
      </c>
      <c r="R225" s="23" t="s">
        <v>202</v>
      </c>
      <c r="S225" s="23" t="s">
        <v>9</v>
      </c>
      <c r="T225" s="23">
        <f>SUMIFS($J$1:INDEX(J:J,ROW()-1),$I$1:INDEX(I:I,ROW()-1),"&lt;&gt;Totals:")</f>
        <v>110</v>
      </c>
      <c r="U225" s="22">
        <f>SUMIFS($M$1:INDEX(M:M,ROW()),$I$1:INDEX(I:I,ROW()),"&lt;&gt;*Totals:*")</f>
        <v>2788</v>
      </c>
    </row>
    <row r="226" spans="1:21" ht="12.75" customHeight="1" x14ac:dyDescent="0.25">
      <c r="A226" s="47" t="s">
        <v>0</v>
      </c>
      <c r="B226" s="23" t="s">
        <v>209</v>
      </c>
      <c r="C226" s="28">
        <v>45733</v>
      </c>
      <c r="D226" s="30" t="s">
        <v>198</v>
      </c>
      <c r="E226" s="28" t="s">
        <v>210</v>
      </c>
      <c r="F226" s="28" t="s">
        <v>211</v>
      </c>
      <c r="G226" s="28">
        <v>45762</v>
      </c>
      <c r="H226" s="23" t="s">
        <v>5</v>
      </c>
      <c r="I226" s="33"/>
      <c r="J226" s="23">
        <v>0</v>
      </c>
      <c r="K226" s="23">
        <v>1</v>
      </c>
      <c r="L226" s="35">
        <v>1</v>
      </c>
      <c r="M226" s="23">
        <v>148</v>
      </c>
      <c r="N226" s="23">
        <v>0</v>
      </c>
      <c r="O226" s="49">
        <v>1</v>
      </c>
      <c r="P226" s="45" t="s">
        <v>159</v>
      </c>
      <c r="Q226" s="23" t="s">
        <v>201</v>
      </c>
      <c r="R226" s="23" t="s">
        <v>202</v>
      </c>
      <c r="S226" s="23" t="s">
        <v>9</v>
      </c>
      <c r="T226" s="23">
        <f>SUMIFS($J$1:INDEX(J:J,ROW()-1),$I$1:INDEX(I:I,ROW()-1),"&lt;&gt;Totals:")</f>
        <v>111</v>
      </c>
      <c r="U226" s="22">
        <f>SUMIFS($M$1:INDEX(M:M,ROW()),$I$1:INDEX(I:I,ROW()),"&lt;&gt;*Totals:*")</f>
        <v>2936</v>
      </c>
    </row>
    <row r="227" spans="1:21" ht="12.75" customHeight="1" x14ac:dyDescent="0.25">
      <c r="A227" s="47" t="s">
        <v>15</v>
      </c>
      <c r="B227" s="23" t="s">
        <v>205</v>
      </c>
      <c r="C227" s="28">
        <v>45747</v>
      </c>
      <c r="D227" s="30" t="s">
        <v>198</v>
      </c>
      <c r="E227" s="28" t="s">
        <v>199</v>
      </c>
      <c r="F227" s="28" t="s">
        <v>206</v>
      </c>
      <c r="G227" s="28">
        <v>45776</v>
      </c>
      <c r="H227" s="23" t="s">
        <v>5</v>
      </c>
      <c r="I227" s="33" t="s">
        <v>14</v>
      </c>
      <c r="J227" s="23">
        <v>1</v>
      </c>
      <c r="K227" s="23">
        <v>1</v>
      </c>
      <c r="L227" s="35">
        <v>0</v>
      </c>
      <c r="M227" s="23">
        <v>1</v>
      </c>
      <c r="N227" s="23">
        <v>1</v>
      </c>
      <c r="O227" s="49">
        <v>0</v>
      </c>
      <c r="P227" s="45" t="s">
        <v>159</v>
      </c>
      <c r="Q227" s="23" t="s">
        <v>201</v>
      </c>
      <c r="R227" s="23" t="s">
        <v>202</v>
      </c>
      <c r="S227" s="23" t="s">
        <v>9</v>
      </c>
      <c r="T227" s="23">
        <f>SUMIFS($J$1:INDEX(J:J,ROW()-1),$I$1:INDEX(I:I,ROW()-1),"&lt;&gt;Totals:")</f>
        <v>111</v>
      </c>
      <c r="U227" s="22">
        <f>SUMIFS($M$1:INDEX(M:M,ROW()),$I$1:INDEX(I:I,ROW()),"&lt;&gt;*Totals:*")</f>
        <v>2937</v>
      </c>
    </row>
    <row r="228" spans="1:21" ht="12.75" customHeight="1" x14ac:dyDescent="0.25">
      <c r="A228" s="47" t="s">
        <v>10</v>
      </c>
      <c r="B228" s="23" t="s">
        <v>205</v>
      </c>
      <c r="C228" s="28">
        <v>45747</v>
      </c>
      <c r="D228" s="30" t="s">
        <v>198</v>
      </c>
      <c r="E228" s="28" t="s">
        <v>199</v>
      </c>
      <c r="F228" s="28" t="s">
        <v>206</v>
      </c>
      <c r="G228" s="28">
        <v>45776</v>
      </c>
      <c r="H228" s="23" t="s">
        <v>5</v>
      </c>
      <c r="I228" s="33" t="s">
        <v>14</v>
      </c>
      <c r="J228" s="23">
        <v>1</v>
      </c>
      <c r="K228" s="23">
        <v>1</v>
      </c>
      <c r="L228" s="35">
        <v>0</v>
      </c>
      <c r="M228" s="23">
        <v>2</v>
      </c>
      <c r="N228" s="23">
        <v>2</v>
      </c>
      <c r="O228" s="49">
        <v>0</v>
      </c>
      <c r="P228" s="45" t="s">
        <v>159</v>
      </c>
      <c r="Q228" s="23" t="s">
        <v>201</v>
      </c>
      <c r="R228" s="23" t="s">
        <v>202</v>
      </c>
      <c r="S228" s="23" t="s">
        <v>9</v>
      </c>
      <c r="T228" s="23">
        <f>SUMIFS($J$1:INDEX(J:J,ROW()-1),$I$1:INDEX(I:I,ROW()-1),"&lt;&gt;Totals:")</f>
        <v>112</v>
      </c>
      <c r="U228" s="22">
        <f>SUMIFS($M$1:INDEX(M:M,ROW()),$I$1:INDEX(I:I,ROW()),"&lt;&gt;*Totals:*")</f>
        <v>2939</v>
      </c>
    </row>
    <row r="229" spans="1:21" ht="12.75" customHeight="1" thickBot="1" x14ac:dyDescent="0.3">
      <c r="A229" s="51" t="s">
        <v>40</v>
      </c>
      <c r="B229" s="20" t="s">
        <v>212</v>
      </c>
      <c r="C229" s="25">
        <v>45747</v>
      </c>
      <c r="D229" s="27" t="s">
        <v>198</v>
      </c>
      <c r="E229" s="25" t="s">
        <v>199</v>
      </c>
      <c r="F229" s="25" t="s">
        <v>213</v>
      </c>
      <c r="G229" s="25">
        <v>45776</v>
      </c>
      <c r="H229" s="20" t="s">
        <v>5</v>
      </c>
      <c r="I229" s="32" t="s">
        <v>14</v>
      </c>
      <c r="J229" s="20">
        <v>1</v>
      </c>
      <c r="K229" s="20">
        <v>1</v>
      </c>
      <c r="L229" s="34">
        <v>0</v>
      </c>
      <c r="M229" s="20">
        <v>22</v>
      </c>
      <c r="N229" s="20">
        <v>22</v>
      </c>
      <c r="O229" s="54">
        <v>0</v>
      </c>
      <c r="P229" s="45" t="s">
        <v>159</v>
      </c>
      <c r="Q229" s="23" t="s">
        <v>201</v>
      </c>
      <c r="R229" s="23" t="s">
        <v>202</v>
      </c>
      <c r="S229" s="23" t="s">
        <v>9</v>
      </c>
      <c r="T229" s="23">
        <f>SUMIFS($J$1:INDEX(J:J,ROW()-1),$I$1:INDEX(I:I,ROW()-1),"&lt;&gt;Totals:")</f>
        <v>113</v>
      </c>
      <c r="U229" s="22">
        <f>SUMIFS($M$1:INDEX(M:M,ROW()),$I$1:INDEX(I:I,ROW()),"&lt;&gt;*Totals:*")</f>
        <v>2961</v>
      </c>
    </row>
    <row r="230" spans="1:21" ht="17.25" customHeight="1" x14ac:dyDescent="0.25">
      <c r="A230" s="60"/>
      <c r="B230" s="50"/>
      <c r="C230" s="55"/>
      <c r="D230" s="56"/>
      <c r="E230" s="56"/>
      <c r="F230" s="57"/>
      <c r="G230" s="57"/>
      <c r="H230" s="57"/>
      <c r="I230" s="58" t="s">
        <v>1087</v>
      </c>
      <c r="J230" s="57">
        <f>SUM(J219:J229)</f>
        <v>10</v>
      </c>
      <c r="K230" s="57">
        <f>SUM(K219:K229)</f>
        <v>11</v>
      </c>
      <c r="L230" s="59">
        <f>(SUM(K219:K229) - SUM(J219:J229)) / SUM(K219:K229)</f>
        <v>9.0909090909090912E-2</v>
      </c>
      <c r="M230" s="57">
        <f>SUM(M219:M229)</f>
        <v>336</v>
      </c>
      <c r="N230" s="56">
        <f>SUM(N219:N229)</f>
        <v>188</v>
      </c>
      <c r="O230" s="61">
        <f>(SUM(M219:M229) - SUM(N219:N229)) / SUM(M219:M229)</f>
        <v>0.44047619047619047</v>
      </c>
      <c r="P230" s="52"/>
      <c r="Q230" s="53"/>
      <c r="R230" s="52"/>
      <c r="S230" s="52"/>
      <c r="T230" s="52"/>
      <c r="U230" s="52"/>
    </row>
    <row r="231" spans="1:21" x14ac:dyDescent="0.25">
      <c r="A231" s="70"/>
      <c r="B231" s="64"/>
      <c r="C231" s="64"/>
      <c r="D231" s="64"/>
      <c r="E231" s="64"/>
      <c r="F231" s="64"/>
      <c r="G231" s="64"/>
      <c r="H231" s="64"/>
      <c r="I231" s="65" t="s">
        <v>1088</v>
      </c>
      <c r="J231" s="64"/>
      <c r="K231" s="64"/>
      <c r="L231" s="65" t="s">
        <v>1089</v>
      </c>
      <c r="M231" s="64"/>
      <c r="N231" s="64"/>
      <c r="O231" s="72"/>
      <c r="P231" s="62"/>
      <c r="Q231" s="62"/>
      <c r="R231" s="62"/>
      <c r="S231" s="62"/>
      <c r="T231" s="62"/>
      <c r="U231" s="62"/>
    </row>
    <row r="232" spans="1:21" ht="15.75" thickBot="1" x14ac:dyDescent="0.3">
      <c r="A232" s="71"/>
      <c r="B232" s="66"/>
      <c r="C232" s="67"/>
      <c r="D232" s="66"/>
      <c r="E232" s="66"/>
      <c r="F232" s="66"/>
      <c r="G232" s="67"/>
      <c r="H232" s="66"/>
      <c r="I232" s="68">
        <v>113</v>
      </c>
      <c r="J232" s="66"/>
      <c r="K232" s="66"/>
      <c r="L232" s="69">
        <v>2961</v>
      </c>
      <c r="M232" s="66"/>
      <c r="N232" s="66"/>
      <c r="O232" s="73"/>
      <c r="P232" s="63"/>
      <c r="Q232" s="63"/>
      <c r="R232" s="63"/>
      <c r="S232" s="63"/>
      <c r="T232" s="63"/>
      <c r="U232" s="63"/>
    </row>
    <row r="233" spans="1:21" ht="15.75" thickBot="1" x14ac:dyDescent="0.3">
      <c r="C233" s="1"/>
      <c r="G233" s="1"/>
    </row>
    <row r="234" spans="1:21" x14ac:dyDescent="0.25">
      <c r="A234" s="9"/>
      <c r="B234" s="10"/>
      <c r="C234" s="11"/>
      <c r="D234" s="11"/>
      <c r="E234" s="11"/>
      <c r="F234" s="11"/>
      <c r="G234" s="11"/>
      <c r="H234" s="12"/>
      <c r="I234" s="11"/>
      <c r="J234" s="13"/>
      <c r="K234" s="13"/>
      <c r="L234" s="13"/>
      <c r="M234" s="13"/>
      <c r="N234" s="11"/>
      <c r="O234" s="14"/>
      <c r="P234" s="4"/>
      <c r="Q234" s="5"/>
      <c r="R234" s="4"/>
      <c r="S234" s="4"/>
      <c r="T234" s="4"/>
      <c r="U234" s="4"/>
    </row>
    <row r="235" spans="1:21" x14ac:dyDescent="0.25">
      <c r="A235" s="6" t="s">
        <v>1090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5"/>
      <c r="P235" s="3"/>
      <c r="Q235" s="3"/>
      <c r="R235" s="3"/>
      <c r="S235" s="3"/>
      <c r="T235" s="3"/>
      <c r="U235" s="3"/>
    </row>
    <row r="236" spans="1:21" x14ac:dyDescent="0.25">
      <c r="A236" s="7" t="s">
        <v>218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5"/>
      <c r="P236" s="3"/>
      <c r="Q236" s="3"/>
      <c r="R236" s="3"/>
      <c r="S236" s="3"/>
      <c r="T236" s="3"/>
      <c r="U236" s="3"/>
    </row>
    <row r="237" spans="1:21" ht="15.75" thickBot="1" x14ac:dyDescent="0.3">
      <c r="A237" s="8"/>
      <c r="B237" s="8"/>
      <c r="C237" s="74"/>
      <c r="D237" s="8"/>
      <c r="E237" s="8"/>
      <c r="F237" s="8"/>
      <c r="G237" s="74"/>
      <c r="H237" s="8"/>
      <c r="I237" s="8"/>
      <c r="J237" s="8"/>
      <c r="K237" s="8"/>
      <c r="L237" s="8"/>
      <c r="M237" s="8"/>
      <c r="N237" s="8"/>
      <c r="O237" s="16"/>
      <c r="P237" s="3"/>
      <c r="Q237" s="3"/>
      <c r="R237" s="3"/>
      <c r="S237" s="3"/>
      <c r="T237" s="3"/>
      <c r="U237" s="3"/>
    </row>
    <row r="238" spans="1:21" ht="17.25" customHeight="1" thickBot="1" x14ac:dyDescent="0.3">
      <c r="A238" s="19" t="s">
        <v>1068</v>
      </c>
      <c r="B238" s="24" t="s">
        <v>1069</v>
      </c>
      <c r="C238" s="26" t="s">
        <v>1070</v>
      </c>
      <c r="D238" s="29" t="s">
        <v>1071</v>
      </c>
      <c r="E238" s="26" t="s">
        <v>1072</v>
      </c>
      <c r="F238" s="31" t="s">
        <v>1073</v>
      </c>
      <c r="G238" s="31" t="s">
        <v>1074</v>
      </c>
      <c r="H238" s="31" t="s">
        <v>1075</v>
      </c>
      <c r="I238" s="29" t="s">
        <v>14</v>
      </c>
      <c r="J238" s="29" t="s">
        <v>1076</v>
      </c>
      <c r="K238" s="29" t="s">
        <v>1077</v>
      </c>
      <c r="L238" s="29" t="s">
        <v>1078</v>
      </c>
      <c r="M238" s="29" t="s">
        <v>1079</v>
      </c>
      <c r="N238" s="29" t="s">
        <v>1080</v>
      </c>
      <c r="O238" s="36" t="s">
        <v>1081</v>
      </c>
      <c r="P238" s="37" t="s">
        <v>1082</v>
      </c>
      <c r="Q238" s="38" t="s">
        <v>1083</v>
      </c>
      <c r="R238" s="38" t="s">
        <v>1084</v>
      </c>
      <c r="S238" s="38" t="s">
        <v>1085</v>
      </c>
      <c r="T238" s="38" t="s">
        <v>1086</v>
      </c>
      <c r="U238" s="39" t="s">
        <v>1086</v>
      </c>
    </row>
    <row r="239" spans="1:21" ht="12.75" customHeight="1" x14ac:dyDescent="0.25">
      <c r="A239" s="46" t="s">
        <v>17</v>
      </c>
      <c r="B239" s="40" t="s">
        <v>214</v>
      </c>
      <c r="C239" s="41">
        <v>45750</v>
      </c>
      <c r="D239" s="42" t="s">
        <v>215</v>
      </c>
      <c r="E239" s="41" t="s">
        <v>216</v>
      </c>
      <c r="F239" s="41" t="s">
        <v>217</v>
      </c>
      <c r="G239" s="41">
        <v>45779</v>
      </c>
      <c r="H239" s="40" t="s">
        <v>5</v>
      </c>
      <c r="I239" s="43" t="s">
        <v>14</v>
      </c>
      <c r="J239" s="40">
        <v>1</v>
      </c>
      <c r="K239" s="40">
        <v>1</v>
      </c>
      <c r="L239" s="44">
        <v>0</v>
      </c>
      <c r="M239" s="40">
        <v>19</v>
      </c>
      <c r="N239" s="40">
        <v>19</v>
      </c>
      <c r="O239" s="48">
        <v>0</v>
      </c>
      <c r="P239" s="45" t="s">
        <v>159</v>
      </c>
      <c r="Q239" s="23" t="s">
        <v>218</v>
      </c>
      <c r="R239" s="23" t="s">
        <v>219</v>
      </c>
      <c r="S239" s="23" t="s">
        <v>9</v>
      </c>
      <c r="T239" s="23">
        <f>SUMIFS($J$1:INDEX(J:J,ROW()-1),$I$1:INDEX(I:I,ROW()-1),"&lt;&gt;Totals:")</f>
        <v>114</v>
      </c>
      <c r="U239" s="22">
        <f>SUMIFS($M$1:INDEX(M:M,ROW()),$I$1:INDEX(I:I,ROW()),"&lt;&gt;*Totals:*")</f>
        <v>2980</v>
      </c>
    </row>
    <row r="240" spans="1:21" ht="12.75" customHeight="1" x14ac:dyDescent="0.25">
      <c r="A240" s="47" t="s">
        <v>36</v>
      </c>
      <c r="B240" s="23" t="s">
        <v>220</v>
      </c>
      <c r="C240" s="28">
        <v>45757</v>
      </c>
      <c r="D240" s="30" t="s">
        <v>215</v>
      </c>
      <c r="E240" s="28" t="s">
        <v>221</v>
      </c>
      <c r="F240" s="28" t="s">
        <v>222</v>
      </c>
      <c r="G240" s="28">
        <v>45786</v>
      </c>
      <c r="H240" s="23" t="s">
        <v>5</v>
      </c>
      <c r="I240" s="33" t="s">
        <v>14</v>
      </c>
      <c r="J240" s="23">
        <v>1</v>
      </c>
      <c r="K240" s="23">
        <v>1</v>
      </c>
      <c r="L240" s="35">
        <v>0</v>
      </c>
      <c r="M240" s="23">
        <v>5</v>
      </c>
      <c r="N240" s="23">
        <v>5</v>
      </c>
      <c r="O240" s="49">
        <v>0</v>
      </c>
      <c r="P240" s="45" t="s">
        <v>159</v>
      </c>
      <c r="Q240" s="23" t="s">
        <v>218</v>
      </c>
      <c r="R240" s="23" t="s">
        <v>219</v>
      </c>
      <c r="S240" s="23" t="s">
        <v>9</v>
      </c>
      <c r="T240" s="23">
        <f>SUMIFS($J$1:INDEX(J:J,ROW()-1),$I$1:INDEX(I:I,ROW()-1),"&lt;&gt;Totals:")</f>
        <v>115</v>
      </c>
      <c r="U240" s="22">
        <f>SUMIFS($M$1:INDEX(M:M,ROW()),$I$1:INDEX(I:I,ROW()),"&lt;&gt;*Totals:*")</f>
        <v>2985</v>
      </c>
    </row>
    <row r="241" spans="1:21" ht="12.75" customHeight="1" x14ac:dyDescent="0.25">
      <c r="A241" s="47" t="s">
        <v>40</v>
      </c>
      <c r="B241" s="23" t="s">
        <v>223</v>
      </c>
      <c r="C241" s="28">
        <v>45757</v>
      </c>
      <c r="D241" s="30" t="s">
        <v>215</v>
      </c>
      <c r="E241" s="28" t="s">
        <v>221</v>
      </c>
      <c r="F241" s="28" t="s">
        <v>224</v>
      </c>
      <c r="G241" s="28">
        <v>45786</v>
      </c>
      <c r="H241" s="23" t="s">
        <v>5</v>
      </c>
      <c r="I241" s="33" t="s">
        <v>14</v>
      </c>
      <c r="J241" s="23">
        <v>1</v>
      </c>
      <c r="K241" s="23">
        <v>1</v>
      </c>
      <c r="L241" s="35">
        <v>0</v>
      </c>
      <c r="M241" s="23">
        <v>10</v>
      </c>
      <c r="N241" s="23">
        <v>10</v>
      </c>
      <c r="O241" s="49">
        <v>0</v>
      </c>
      <c r="P241" s="45" t="s">
        <v>159</v>
      </c>
      <c r="Q241" s="23" t="s">
        <v>218</v>
      </c>
      <c r="R241" s="23" t="s">
        <v>219</v>
      </c>
      <c r="S241" s="23" t="s">
        <v>9</v>
      </c>
      <c r="T241" s="23">
        <f>SUMIFS($J$1:INDEX(J:J,ROW()-1),$I$1:INDEX(I:I,ROW()-1),"&lt;&gt;Totals:")</f>
        <v>116</v>
      </c>
      <c r="U241" s="22">
        <f>SUMIFS($M$1:INDEX(M:M,ROW()),$I$1:INDEX(I:I,ROW()),"&lt;&gt;*Totals:*")</f>
        <v>2995</v>
      </c>
    </row>
    <row r="242" spans="1:21" ht="12.75" customHeight="1" x14ac:dyDescent="0.25">
      <c r="A242" s="47" t="s">
        <v>10</v>
      </c>
      <c r="B242" s="23" t="s">
        <v>225</v>
      </c>
      <c r="C242" s="28">
        <v>45757</v>
      </c>
      <c r="D242" s="30" t="s">
        <v>215</v>
      </c>
      <c r="E242" s="28" t="s">
        <v>226</v>
      </c>
      <c r="F242" s="28" t="s">
        <v>227</v>
      </c>
      <c r="G242" s="28">
        <v>45786</v>
      </c>
      <c r="H242" s="23" t="s">
        <v>5</v>
      </c>
      <c r="I242" s="33"/>
      <c r="J242" s="23">
        <v>0</v>
      </c>
      <c r="K242" s="23">
        <v>1</v>
      </c>
      <c r="L242" s="35">
        <v>1</v>
      </c>
      <c r="M242" s="23">
        <v>109</v>
      </c>
      <c r="N242" s="23">
        <v>0</v>
      </c>
      <c r="O242" s="49">
        <v>1</v>
      </c>
      <c r="P242" s="45" t="s">
        <v>159</v>
      </c>
      <c r="Q242" s="23" t="s">
        <v>218</v>
      </c>
      <c r="R242" s="23" t="s">
        <v>219</v>
      </c>
      <c r="S242" s="23" t="s">
        <v>9</v>
      </c>
      <c r="T242" s="23">
        <f>SUMIFS($J$1:INDEX(J:J,ROW()-1),$I$1:INDEX(I:I,ROW()-1),"&lt;&gt;Totals:")</f>
        <v>117</v>
      </c>
      <c r="U242" s="22">
        <f>SUMIFS($M$1:INDEX(M:M,ROW()),$I$1:INDEX(I:I,ROW()),"&lt;&gt;*Totals:*")</f>
        <v>3104</v>
      </c>
    </row>
    <row r="243" spans="1:21" ht="12.75" customHeight="1" x14ac:dyDescent="0.25">
      <c r="A243" s="47" t="s">
        <v>15</v>
      </c>
      <c r="B243" s="23" t="s">
        <v>225</v>
      </c>
      <c r="C243" s="28">
        <v>45757</v>
      </c>
      <c r="D243" s="30" t="s">
        <v>215</v>
      </c>
      <c r="E243" s="28" t="s">
        <v>228</v>
      </c>
      <c r="F243" s="28" t="s">
        <v>227</v>
      </c>
      <c r="G243" s="28">
        <v>45786</v>
      </c>
      <c r="H243" s="23" t="s">
        <v>5</v>
      </c>
      <c r="I243" s="33" t="s">
        <v>14</v>
      </c>
      <c r="J243" s="23">
        <v>1</v>
      </c>
      <c r="K243" s="23">
        <v>1</v>
      </c>
      <c r="L243" s="35">
        <v>0</v>
      </c>
      <c r="M243" s="23">
        <v>32</v>
      </c>
      <c r="N243" s="23">
        <v>32</v>
      </c>
      <c r="O243" s="49">
        <v>0</v>
      </c>
      <c r="P243" s="45" t="s">
        <v>159</v>
      </c>
      <c r="Q243" s="23" t="s">
        <v>218</v>
      </c>
      <c r="R243" s="23" t="s">
        <v>219</v>
      </c>
      <c r="S243" s="23" t="s">
        <v>9</v>
      </c>
      <c r="T243" s="23">
        <f>SUMIFS($J$1:INDEX(J:J,ROW()-1),$I$1:INDEX(I:I,ROW()-1),"&lt;&gt;Totals:")</f>
        <v>117</v>
      </c>
      <c r="U243" s="22">
        <f>SUMIFS($M$1:INDEX(M:M,ROW()),$I$1:INDEX(I:I,ROW()),"&lt;&gt;*Totals:*")</f>
        <v>3136</v>
      </c>
    </row>
    <row r="244" spans="1:21" ht="12.75" customHeight="1" x14ac:dyDescent="0.25">
      <c r="A244" s="47" t="s">
        <v>15</v>
      </c>
      <c r="B244" s="23" t="s">
        <v>225</v>
      </c>
      <c r="C244" s="28">
        <v>45761</v>
      </c>
      <c r="D244" s="30" t="s">
        <v>215</v>
      </c>
      <c r="E244" s="28" t="s">
        <v>228</v>
      </c>
      <c r="F244" s="28" t="s">
        <v>227</v>
      </c>
      <c r="G244" s="28">
        <v>45790</v>
      </c>
      <c r="H244" s="23" t="s">
        <v>5</v>
      </c>
      <c r="I244" s="33" t="s">
        <v>14</v>
      </c>
      <c r="J244" s="23">
        <v>1</v>
      </c>
      <c r="K244" s="23">
        <v>1</v>
      </c>
      <c r="L244" s="35">
        <v>0</v>
      </c>
      <c r="M244" s="23">
        <v>1</v>
      </c>
      <c r="N244" s="23">
        <v>1</v>
      </c>
      <c r="O244" s="49">
        <v>0</v>
      </c>
      <c r="P244" s="45" t="s">
        <v>159</v>
      </c>
      <c r="Q244" s="23" t="s">
        <v>218</v>
      </c>
      <c r="R244" s="23" t="s">
        <v>219</v>
      </c>
      <c r="S244" s="23" t="s">
        <v>9</v>
      </c>
      <c r="T244" s="23">
        <f>SUMIFS($J$1:INDEX(J:J,ROW()-1),$I$1:INDEX(I:I,ROW()-1),"&lt;&gt;Totals:")</f>
        <v>118</v>
      </c>
      <c r="U244" s="22">
        <f>SUMIFS($M$1:INDEX(M:M,ROW()),$I$1:INDEX(I:I,ROW()),"&lt;&gt;*Totals:*")</f>
        <v>3137</v>
      </c>
    </row>
    <row r="245" spans="1:21" ht="12.75" customHeight="1" x14ac:dyDescent="0.25">
      <c r="A245" s="47" t="s">
        <v>0</v>
      </c>
      <c r="B245" s="23" t="s">
        <v>229</v>
      </c>
      <c r="C245" s="28">
        <v>45761</v>
      </c>
      <c r="D245" s="30" t="s">
        <v>215</v>
      </c>
      <c r="E245" s="28" t="s">
        <v>230</v>
      </c>
      <c r="F245" s="28" t="s">
        <v>231</v>
      </c>
      <c r="G245" s="28">
        <v>45790</v>
      </c>
      <c r="H245" s="23" t="s">
        <v>5</v>
      </c>
      <c r="I245" s="33" t="s">
        <v>14</v>
      </c>
      <c r="J245" s="23">
        <v>1</v>
      </c>
      <c r="K245" s="23">
        <v>1</v>
      </c>
      <c r="L245" s="35">
        <v>0</v>
      </c>
      <c r="M245" s="23">
        <v>3</v>
      </c>
      <c r="N245" s="23">
        <v>3</v>
      </c>
      <c r="O245" s="49">
        <v>0</v>
      </c>
      <c r="P245" s="45" t="s">
        <v>159</v>
      </c>
      <c r="Q245" s="23" t="s">
        <v>218</v>
      </c>
      <c r="R245" s="23" t="s">
        <v>219</v>
      </c>
      <c r="S245" s="23" t="s">
        <v>9</v>
      </c>
      <c r="T245" s="23">
        <f>SUMIFS($J$1:INDEX(J:J,ROW()-1),$I$1:INDEX(I:I,ROW()-1),"&lt;&gt;Totals:")</f>
        <v>119</v>
      </c>
      <c r="U245" s="22">
        <f>SUMIFS($M$1:INDEX(M:M,ROW()),$I$1:INDEX(I:I,ROW()),"&lt;&gt;*Totals:*")</f>
        <v>3140</v>
      </c>
    </row>
    <row r="246" spans="1:21" ht="12.75" customHeight="1" x14ac:dyDescent="0.25">
      <c r="A246" s="47" t="s">
        <v>0</v>
      </c>
      <c r="B246" s="23" t="s">
        <v>232</v>
      </c>
      <c r="C246" s="28">
        <v>45761</v>
      </c>
      <c r="D246" s="30" t="s">
        <v>215</v>
      </c>
      <c r="E246" s="28" t="s">
        <v>233</v>
      </c>
      <c r="F246" s="28" t="s">
        <v>234</v>
      </c>
      <c r="G246" s="28">
        <v>45790</v>
      </c>
      <c r="H246" s="23" t="s">
        <v>5</v>
      </c>
      <c r="I246" s="33"/>
      <c r="J246" s="23">
        <v>0</v>
      </c>
      <c r="K246" s="23">
        <v>1</v>
      </c>
      <c r="L246" s="35">
        <v>1</v>
      </c>
      <c r="M246" s="23">
        <v>130</v>
      </c>
      <c r="N246" s="23">
        <v>0</v>
      </c>
      <c r="O246" s="49">
        <v>1</v>
      </c>
      <c r="P246" s="45" t="s">
        <v>159</v>
      </c>
      <c r="Q246" s="23" t="s">
        <v>218</v>
      </c>
      <c r="R246" s="23" t="s">
        <v>219</v>
      </c>
      <c r="S246" s="23" t="s">
        <v>9</v>
      </c>
      <c r="T246" s="23">
        <f>SUMIFS($J$1:INDEX(J:J,ROW()-1),$I$1:INDEX(I:I,ROW()-1),"&lt;&gt;Totals:")</f>
        <v>120</v>
      </c>
      <c r="U246" s="22">
        <f>SUMIFS($M$1:INDEX(M:M,ROW()),$I$1:INDEX(I:I,ROW()),"&lt;&gt;*Totals:*")</f>
        <v>3270</v>
      </c>
    </row>
    <row r="247" spans="1:21" ht="12.75" customHeight="1" x14ac:dyDescent="0.25">
      <c r="A247" s="47" t="s">
        <v>10</v>
      </c>
      <c r="B247" s="23" t="s">
        <v>225</v>
      </c>
      <c r="C247" s="28">
        <v>45761</v>
      </c>
      <c r="D247" s="30" t="s">
        <v>215</v>
      </c>
      <c r="E247" s="28" t="s">
        <v>235</v>
      </c>
      <c r="F247" s="28" t="s">
        <v>227</v>
      </c>
      <c r="G247" s="28">
        <v>45790</v>
      </c>
      <c r="H247" s="23" t="s">
        <v>5</v>
      </c>
      <c r="I247" s="33" t="s">
        <v>14</v>
      </c>
      <c r="J247" s="23">
        <v>1</v>
      </c>
      <c r="K247" s="23">
        <v>1</v>
      </c>
      <c r="L247" s="35">
        <v>0</v>
      </c>
      <c r="M247" s="23">
        <v>6</v>
      </c>
      <c r="N247" s="23">
        <v>6</v>
      </c>
      <c r="O247" s="49">
        <v>0</v>
      </c>
      <c r="P247" s="45" t="s">
        <v>159</v>
      </c>
      <c r="Q247" s="23" t="s">
        <v>218</v>
      </c>
      <c r="R247" s="23" t="s">
        <v>219</v>
      </c>
      <c r="S247" s="23" t="s">
        <v>9</v>
      </c>
      <c r="T247" s="23">
        <f>SUMIFS($J$1:INDEX(J:J,ROW()-1),$I$1:INDEX(I:I,ROW()-1),"&lt;&gt;Totals:")</f>
        <v>120</v>
      </c>
      <c r="U247" s="22">
        <f>SUMIFS($M$1:INDEX(M:M,ROW()),$I$1:INDEX(I:I,ROW()),"&lt;&gt;*Totals:*")</f>
        <v>3276</v>
      </c>
    </row>
    <row r="248" spans="1:21" ht="12.75" customHeight="1" x14ac:dyDescent="0.25">
      <c r="A248" s="47" t="s">
        <v>15</v>
      </c>
      <c r="B248" s="23" t="s">
        <v>225</v>
      </c>
      <c r="C248" s="28">
        <v>45765</v>
      </c>
      <c r="D248" s="30" t="s">
        <v>215</v>
      </c>
      <c r="E248" s="28" t="s">
        <v>228</v>
      </c>
      <c r="F248" s="28" t="s">
        <v>227</v>
      </c>
      <c r="G248" s="28">
        <v>45794</v>
      </c>
      <c r="H248" s="23" t="s">
        <v>5</v>
      </c>
      <c r="I248" s="33" t="s">
        <v>14</v>
      </c>
      <c r="J248" s="23">
        <v>1</v>
      </c>
      <c r="K248" s="23">
        <v>1</v>
      </c>
      <c r="L248" s="35">
        <v>0</v>
      </c>
      <c r="M248" s="23">
        <v>1</v>
      </c>
      <c r="N248" s="23">
        <v>1</v>
      </c>
      <c r="O248" s="49">
        <v>0</v>
      </c>
      <c r="P248" s="45" t="s">
        <v>159</v>
      </c>
      <c r="Q248" s="23" t="s">
        <v>218</v>
      </c>
      <c r="R248" s="23" t="s">
        <v>219</v>
      </c>
      <c r="S248" s="23" t="s">
        <v>9</v>
      </c>
      <c r="T248" s="23">
        <f>SUMIFS($J$1:INDEX(J:J,ROW()-1),$I$1:INDEX(I:I,ROW()-1),"&lt;&gt;Totals:")</f>
        <v>121</v>
      </c>
      <c r="U248" s="22">
        <f>SUMIFS($M$1:INDEX(M:M,ROW()),$I$1:INDEX(I:I,ROW()),"&lt;&gt;*Totals:*")</f>
        <v>3277</v>
      </c>
    </row>
    <row r="249" spans="1:21" ht="12.75" customHeight="1" x14ac:dyDescent="0.25">
      <c r="A249" s="47" t="s">
        <v>10</v>
      </c>
      <c r="B249" s="23" t="s">
        <v>225</v>
      </c>
      <c r="C249" s="28">
        <v>45766</v>
      </c>
      <c r="D249" s="30" t="s">
        <v>215</v>
      </c>
      <c r="E249" s="28" t="s">
        <v>235</v>
      </c>
      <c r="F249" s="28" t="s">
        <v>227</v>
      </c>
      <c r="G249" s="28">
        <v>45795</v>
      </c>
      <c r="H249" s="23" t="s">
        <v>5</v>
      </c>
      <c r="I249" s="33" t="s">
        <v>14</v>
      </c>
      <c r="J249" s="23">
        <v>1</v>
      </c>
      <c r="K249" s="23">
        <v>1</v>
      </c>
      <c r="L249" s="35">
        <v>0</v>
      </c>
      <c r="M249" s="23">
        <v>2</v>
      </c>
      <c r="N249" s="23">
        <v>2</v>
      </c>
      <c r="O249" s="49">
        <v>0</v>
      </c>
      <c r="P249" s="45" t="s">
        <v>159</v>
      </c>
      <c r="Q249" s="23" t="s">
        <v>218</v>
      </c>
      <c r="R249" s="23" t="s">
        <v>219</v>
      </c>
      <c r="S249" s="23" t="s">
        <v>9</v>
      </c>
      <c r="T249" s="23">
        <f>SUMIFS($J$1:INDEX(J:J,ROW()-1),$I$1:INDEX(I:I,ROW()-1),"&lt;&gt;Totals:")</f>
        <v>122</v>
      </c>
      <c r="U249" s="22">
        <f>SUMIFS($M$1:INDEX(M:M,ROW()),$I$1:INDEX(I:I,ROW()),"&lt;&gt;*Totals:*")</f>
        <v>3279</v>
      </c>
    </row>
    <row r="250" spans="1:21" ht="12.75" customHeight="1" x14ac:dyDescent="0.25">
      <c r="A250" s="47" t="s">
        <v>15</v>
      </c>
      <c r="B250" s="23" t="s">
        <v>225</v>
      </c>
      <c r="C250" s="28">
        <v>45766</v>
      </c>
      <c r="D250" s="30" t="s">
        <v>215</v>
      </c>
      <c r="E250" s="28" t="s">
        <v>228</v>
      </c>
      <c r="F250" s="28" t="s">
        <v>227</v>
      </c>
      <c r="G250" s="28">
        <v>45795</v>
      </c>
      <c r="H250" s="23" t="s">
        <v>5</v>
      </c>
      <c r="I250" s="33" t="s">
        <v>14</v>
      </c>
      <c r="J250" s="23">
        <v>1</v>
      </c>
      <c r="K250" s="23">
        <v>1</v>
      </c>
      <c r="L250" s="35">
        <v>0</v>
      </c>
      <c r="M250" s="23">
        <v>1</v>
      </c>
      <c r="N250" s="23">
        <v>1</v>
      </c>
      <c r="O250" s="49">
        <v>0</v>
      </c>
      <c r="P250" s="45" t="s">
        <v>159</v>
      </c>
      <c r="Q250" s="23" t="s">
        <v>218</v>
      </c>
      <c r="R250" s="23" t="s">
        <v>219</v>
      </c>
      <c r="S250" s="23" t="s">
        <v>9</v>
      </c>
      <c r="T250" s="23">
        <f>SUMIFS($J$1:INDEX(J:J,ROW()-1),$I$1:INDEX(I:I,ROW()-1),"&lt;&gt;Totals:")</f>
        <v>123</v>
      </c>
      <c r="U250" s="22">
        <f>SUMIFS($M$1:INDEX(M:M,ROW()),$I$1:INDEX(I:I,ROW()),"&lt;&gt;*Totals:*")</f>
        <v>3280</v>
      </c>
    </row>
    <row r="251" spans="1:21" ht="12.75" customHeight="1" x14ac:dyDescent="0.25">
      <c r="A251" s="47" t="s">
        <v>40</v>
      </c>
      <c r="B251" s="23" t="s">
        <v>223</v>
      </c>
      <c r="C251" s="28">
        <v>45772</v>
      </c>
      <c r="D251" s="30" t="s">
        <v>215</v>
      </c>
      <c r="E251" s="28" t="s">
        <v>221</v>
      </c>
      <c r="F251" s="28" t="s">
        <v>224</v>
      </c>
      <c r="G251" s="28">
        <v>45801</v>
      </c>
      <c r="H251" s="23" t="s">
        <v>5</v>
      </c>
      <c r="I251" s="33" t="s">
        <v>14</v>
      </c>
      <c r="J251" s="23">
        <v>1</v>
      </c>
      <c r="K251" s="23">
        <v>1</v>
      </c>
      <c r="L251" s="35">
        <v>0</v>
      </c>
      <c r="M251" s="23">
        <v>3</v>
      </c>
      <c r="N251" s="23">
        <v>3</v>
      </c>
      <c r="O251" s="49">
        <v>0</v>
      </c>
      <c r="P251" s="45" t="s">
        <v>159</v>
      </c>
      <c r="Q251" s="23" t="s">
        <v>218</v>
      </c>
      <c r="R251" s="23" t="s">
        <v>219</v>
      </c>
      <c r="S251" s="23" t="s">
        <v>9</v>
      </c>
      <c r="T251" s="23">
        <f>SUMIFS($J$1:INDEX(J:J,ROW()-1),$I$1:INDEX(I:I,ROW()-1),"&lt;&gt;Totals:")</f>
        <v>124</v>
      </c>
      <c r="U251" s="22">
        <f>SUMIFS($M$1:INDEX(M:M,ROW()),$I$1:INDEX(I:I,ROW()),"&lt;&gt;*Totals:*")</f>
        <v>3283</v>
      </c>
    </row>
    <row r="252" spans="1:21" ht="12.75" customHeight="1" x14ac:dyDescent="0.25">
      <c r="A252" s="47" t="s">
        <v>10</v>
      </c>
      <c r="B252" s="23" t="s">
        <v>225</v>
      </c>
      <c r="C252" s="28">
        <v>45772</v>
      </c>
      <c r="D252" s="30" t="s">
        <v>215</v>
      </c>
      <c r="E252" s="28" t="s">
        <v>235</v>
      </c>
      <c r="F252" s="28" t="s">
        <v>227</v>
      </c>
      <c r="G252" s="28">
        <v>45801</v>
      </c>
      <c r="H252" s="23" t="s">
        <v>5</v>
      </c>
      <c r="I252" s="33" t="s">
        <v>14</v>
      </c>
      <c r="J252" s="23">
        <v>1</v>
      </c>
      <c r="K252" s="23">
        <v>1</v>
      </c>
      <c r="L252" s="35">
        <v>0</v>
      </c>
      <c r="M252" s="23">
        <v>2</v>
      </c>
      <c r="N252" s="23">
        <v>2</v>
      </c>
      <c r="O252" s="49">
        <v>0</v>
      </c>
      <c r="P252" s="45" t="s">
        <v>159</v>
      </c>
      <c r="Q252" s="23" t="s">
        <v>218</v>
      </c>
      <c r="R252" s="23" t="s">
        <v>219</v>
      </c>
      <c r="S252" s="23" t="s">
        <v>9</v>
      </c>
      <c r="T252" s="23">
        <f>SUMIFS($J$1:INDEX(J:J,ROW()-1),$I$1:INDEX(I:I,ROW()-1),"&lt;&gt;Totals:")</f>
        <v>125</v>
      </c>
      <c r="U252" s="22">
        <f>SUMIFS($M$1:INDEX(M:M,ROW()),$I$1:INDEX(I:I,ROW()),"&lt;&gt;*Totals:*")</f>
        <v>3285</v>
      </c>
    </row>
    <row r="253" spans="1:21" ht="12.75" customHeight="1" x14ac:dyDescent="0.25">
      <c r="A253" s="47" t="s">
        <v>0</v>
      </c>
      <c r="B253" s="23" t="s">
        <v>232</v>
      </c>
      <c r="C253" s="28">
        <v>45772</v>
      </c>
      <c r="D253" s="30" t="s">
        <v>215</v>
      </c>
      <c r="E253" s="28" t="s">
        <v>216</v>
      </c>
      <c r="F253" s="28" t="s">
        <v>234</v>
      </c>
      <c r="G253" s="28">
        <v>45801</v>
      </c>
      <c r="H253" s="23" t="s">
        <v>5</v>
      </c>
      <c r="I253" s="33" t="s">
        <v>14</v>
      </c>
      <c r="J253" s="23">
        <v>1</v>
      </c>
      <c r="K253" s="23">
        <v>1</v>
      </c>
      <c r="L253" s="35">
        <v>0</v>
      </c>
      <c r="M253" s="23">
        <v>3</v>
      </c>
      <c r="N253" s="23">
        <v>3</v>
      </c>
      <c r="O253" s="49">
        <v>0</v>
      </c>
      <c r="P253" s="45" t="s">
        <v>159</v>
      </c>
      <c r="Q253" s="23" t="s">
        <v>218</v>
      </c>
      <c r="R253" s="23" t="s">
        <v>219</v>
      </c>
      <c r="S253" s="23" t="s">
        <v>9</v>
      </c>
      <c r="T253" s="23">
        <f>SUMIFS($J$1:INDEX(J:J,ROW()-1),$I$1:INDEX(I:I,ROW()-1),"&lt;&gt;Totals:")</f>
        <v>126</v>
      </c>
      <c r="U253" s="22">
        <f>SUMIFS($M$1:INDEX(M:M,ROW()),$I$1:INDEX(I:I,ROW()),"&lt;&gt;*Totals:*")</f>
        <v>3288</v>
      </c>
    </row>
    <row r="254" spans="1:21" ht="12.75" customHeight="1" x14ac:dyDescent="0.25">
      <c r="A254" s="47" t="s">
        <v>10</v>
      </c>
      <c r="B254" s="23" t="s">
        <v>225</v>
      </c>
      <c r="C254" s="28">
        <v>45773</v>
      </c>
      <c r="D254" s="30" t="s">
        <v>215</v>
      </c>
      <c r="E254" s="28" t="s">
        <v>235</v>
      </c>
      <c r="F254" s="28" t="s">
        <v>227</v>
      </c>
      <c r="G254" s="28">
        <v>45802</v>
      </c>
      <c r="H254" s="23" t="s">
        <v>5</v>
      </c>
      <c r="I254" s="33" t="s">
        <v>14</v>
      </c>
      <c r="J254" s="23">
        <v>1</v>
      </c>
      <c r="K254" s="23">
        <v>1</v>
      </c>
      <c r="L254" s="35">
        <v>0</v>
      </c>
      <c r="M254" s="23">
        <v>4</v>
      </c>
      <c r="N254" s="23">
        <v>4</v>
      </c>
      <c r="O254" s="49">
        <v>0</v>
      </c>
      <c r="P254" s="45" t="s">
        <v>159</v>
      </c>
      <c r="Q254" s="23" t="s">
        <v>218</v>
      </c>
      <c r="R254" s="23" t="s">
        <v>219</v>
      </c>
      <c r="S254" s="23" t="s">
        <v>9</v>
      </c>
      <c r="T254" s="23">
        <f>SUMIFS($J$1:INDEX(J:J,ROW()-1),$I$1:INDEX(I:I,ROW()-1),"&lt;&gt;Totals:")</f>
        <v>127</v>
      </c>
      <c r="U254" s="22">
        <f>SUMIFS($M$1:INDEX(M:M,ROW()),$I$1:INDEX(I:I,ROW()),"&lt;&gt;*Totals:*")</f>
        <v>3292</v>
      </c>
    </row>
    <row r="255" spans="1:21" ht="12.75" customHeight="1" thickBot="1" x14ac:dyDescent="0.3">
      <c r="A255" s="51" t="s">
        <v>0</v>
      </c>
      <c r="B255" s="20" t="s">
        <v>232</v>
      </c>
      <c r="C255" s="25">
        <v>45773</v>
      </c>
      <c r="D255" s="27" t="s">
        <v>215</v>
      </c>
      <c r="E255" s="25" t="s">
        <v>216</v>
      </c>
      <c r="F255" s="25" t="s">
        <v>234</v>
      </c>
      <c r="G255" s="25">
        <v>45802</v>
      </c>
      <c r="H255" s="20" t="s">
        <v>5</v>
      </c>
      <c r="I255" s="32" t="s">
        <v>14</v>
      </c>
      <c r="J255" s="20">
        <v>1</v>
      </c>
      <c r="K255" s="20">
        <v>1</v>
      </c>
      <c r="L255" s="34">
        <v>0</v>
      </c>
      <c r="M255" s="20">
        <v>4</v>
      </c>
      <c r="N255" s="20">
        <v>4</v>
      </c>
      <c r="O255" s="54">
        <v>0</v>
      </c>
      <c r="P255" s="45" t="s">
        <v>159</v>
      </c>
      <c r="Q255" s="23" t="s">
        <v>218</v>
      </c>
      <c r="R255" s="23" t="s">
        <v>219</v>
      </c>
      <c r="S255" s="23" t="s">
        <v>9</v>
      </c>
      <c r="T255" s="23">
        <f>SUMIFS($J$1:INDEX(J:J,ROW()-1),$I$1:INDEX(I:I,ROW()-1),"&lt;&gt;Totals:")</f>
        <v>128</v>
      </c>
      <c r="U255" s="22">
        <f>SUMIFS($M$1:INDEX(M:M,ROW()),$I$1:INDEX(I:I,ROW()),"&lt;&gt;*Totals:*")</f>
        <v>3296</v>
      </c>
    </row>
    <row r="256" spans="1:21" ht="17.25" customHeight="1" x14ac:dyDescent="0.25">
      <c r="A256" s="60"/>
      <c r="B256" s="50"/>
      <c r="C256" s="55"/>
      <c r="D256" s="56"/>
      <c r="E256" s="56"/>
      <c r="F256" s="57"/>
      <c r="G256" s="57"/>
      <c r="H256" s="57"/>
      <c r="I256" s="58" t="s">
        <v>1087</v>
      </c>
      <c r="J256" s="57">
        <f>SUM(J239:J255)</f>
        <v>15</v>
      </c>
      <c r="K256" s="57">
        <f>SUM(K239:K255)</f>
        <v>17</v>
      </c>
      <c r="L256" s="59">
        <f>(SUM(K239:K255) - SUM(J239:J255)) / SUM(K239:K255)</f>
        <v>0.11764705882352941</v>
      </c>
      <c r="M256" s="57">
        <f>SUM(M239:M255)</f>
        <v>335</v>
      </c>
      <c r="N256" s="56">
        <f>SUM(N239:N255)</f>
        <v>96</v>
      </c>
      <c r="O256" s="61">
        <f>(SUM(M239:M255) - SUM(N239:N255)) / SUM(M239:M255)</f>
        <v>0.71343283582089556</v>
      </c>
      <c r="P256" s="52"/>
      <c r="Q256" s="53"/>
      <c r="R256" s="52"/>
      <c r="S256" s="52"/>
      <c r="T256" s="52"/>
      <c r="U256" s="52"/>
    </row>
    <row r="257" spans="1:21" x14ac:dyDescent="0.25">
      <c r="A257" s="70"/>
      <c r="B257" s="64"/>
      <c r="C257" s="64"/>
      <c r="D257" s="64"/>
      <c r="E257" s="64"/>
      <c r="F257" s="64"/>
      <c r="G257" s="64"/>
      <c r="H257" s="64"/>
      <c r="I257" s="65" t="s">
        <v>1088</v>
      </c>
      <c r="J257" s="64"/>
      <c r="K257" s="64"/>
      <c r="L257" s="65" t="s">
        <v>1089</v>
      </c>
      <c r="M257" s="64"/>
      <c r="N257" s="64"/>
      <c r="O257" s="72"/>
      <c r="P257" s="62"/>
      <c r="Q257" s="62"/>
      <c r="R257" s="62"/>
      <c r="S257" s="62"/>
      <c r="T257" s="62"/>
      <c r="U257" s="62"/>
    </row>
    <row r="258" spans="1:21" ht="15.75" thickBot="1" x14ac:dyDescent="0.3">
      <c r="A258" s="71"/>
      <c r="B258" s="66"/>
      <c r="C258" s="67"/>
      <c r="D258" s="66"/>
      <c r="E258" s="66"/>
      <c r="F258" s="66"/>
      <c r="G258" s="67"/>
      <c r="H258" s="66"/>
      <c r="I258" s="68">
        <v>128</v>
      </c>
      <c r="J258" s="66"/>
      <c r="K258" s="66"/>
      <c r="L258" s="69">
        <v>3296</v>
      </c>
      <c r="M258" s="66"/>
      <c r="N258" s="66"/>
      <c r="O258" s="73"/>
      <c r="P258" s="63"/>
      <c r="Q258" s="63"/>
      <c r="R258" s="63"/>
      <c r="S258" s="63"/>
      <c r="T258" s="63"/>
      <c r="U258" s="63"/>
    </row>
    <row r="259" spans="1:21" ht="15.75" thickBot="1" x14ac:dyDescent="0.3">
      <c r="C259" s="1"/>
      <c r="G259" s="1"/>
    </row>
    <row r="260" spans="1:21" x14ac:dyDescent="0.25">
      <c r="A260" s="9"/>
      <c r="B260" s="10"/>
      <c r="C260" s="11"/>
      <c r="D260" s="11"/>
      <c r="E260" s="11"/>
      <c r="F260" s="11"/>
      <c r="G260" s="11"/>
      <c r="H260" s="12"/>
      <c r="I260" s="11"/>
      <c r="J260" s="13"/>
      <c r="K260" s="13"/>
      <c r="L260" s="13"/>
      <c r="M260" s="13"/>
      <c r="N260" s="11"/>
      <c r="O260" s="14"/>
      <c r="P260" s="4"/>
      <c r="Q260" s="5"/>
      <c r="R260" s="4"/>
      <c r="S260" s="4"/>
      <c r="T260" s="4"/>
      <c r="U260" s="4"/>
    </row>
    <row r="261" spans="1:21" x14ac:dyDescent="0.25">
      <c r="A261" s="6" t="s">
        <v>1090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15"/>
      <c r="P261" s="3"/>
      <c r="Q261" s="3"/>
      <c r="R261" s="3"/>
      <c r="S261" s="3"/>
      <c r="T261" s="3"/>
      <c r="U261" s="3"/>
    </row>
    <row r="262" spans="1:21" x14ac:dyDescent="0.25">
      <c r="A262" s="7" t="s">
        <v>239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15"/>
      <c r="P262" s="3"/>
      <c r="Q262" s="3"/>
      <c r="R262" s="3"/>
      <c r="S262" s="3"/>
      <c r="T262" s="3"/>
      <c r="U262" s="3"/>
    </row>
    <row r="263" spans="1:21" ht="15.75" thickBot="1" x14ac:dyDescent="0.3">
      <c r="A263" s="8"/>
      <c r="B263" s="8"/>
      <c r="C263" s="74"/>
      <c r="D263" s="8"/>
      <c r="E263" s="8"/>
      <c r="F263" s="8"/>
      <c r="G263" s="74"/>
      <c r="H263" s="8"/>
      <c r="I263" s="8"/>
      <c r="J263" s="8"/>
      <c r="K263" s="8"/>
      <c r="L263" s="8"/>
      <c r="M263" s="8"/>
      <c r="N263" s="8"/>
      <c r="O263" s="16"/>
      <c r="P263" s="3"/>
      <c r="Q263" s="3"/>
      <c r="R263" s="3"/>
      <c r="S263" s="3"/>
      <c r="T263" s="3"/>
      <c r="U263" s="3"/>
    </row>
    <row r="264" spans="1:21" ht="17.25" customHeight="1" thickBot="1" x14ac:dyDescent="0.3">
      <c r="A264" s="19" t="s">
        <v>1068</v>
      </c>
      <c r="B264" s="24" t="s">
        <v>1069</v>
      </c>
      <c r="C264" s="26" t="s">
        <v>1070</v>
      </c>
      <c r="D264" s="29" t="s">
        <v>1071</v>
      </c>
      <c r="E264" s="26" t="s">
        <v>1072</v>
      </c>
      <c r="F264" s="31" t="s">
        <v>1073</v>
      </c>
      <c r="G264" s="31" t="s">
        <v>1074</v>
      </c>
      <c r="H264" s="31" t="s">
        <v>1075</v>
      </c>
      <c r="I264" s="29" t="s">
        <v>14</v>
      </c>
      <c r="J264" s="29" t="s">
        <v>1076</v>
      </c>
      <c r="K264" s="29" t="s">
        <v>1077</v>
      </c>
      <c r="L264" s="29" t="s">
        <v>1078</v>
      </c>
      <c r="M264" s="29" t="s">
        <v>1079</v>
      </c>
      <c r="N264" s="29" t="s">
        <v>1080</v>
      </c>
      <c r="O264" s="36" t="s">
        <v>1081</v>
      </c>
      <c r="P264" s="37" t="s">
        <v>1082</v>
      </c>
      <c r="Q264" s="38" t="s">
        <v>1083</v>
      </c>
      <c r="R264" s="38" t="s">
        <v>1084</v>
      </c>
      <c r="S264" s="38" t="s">
        <v>1085</v>
      </c>
      <c r="T264" s="38" t="s">
        <v>1086</v>
      </c>
      <c r="U264" s="39" t="s">
        <v>1086</v>
      </c>
    </row>
    <row r="265" spans="1:21" ht="12.75" customHeight="1" x14ac:dyDescent="0.25">
      <c r="A265" s="46" t="s">
        <v>17</v>
      </c>
      <c r="B265" s="40" t="s">
        <v>236</v>
      </c>
      <c r="C265" s="41">
        <v>45782</v>
      </c>
      <c r="D265" s="42" t="s">
        <v>237</v>
      </c>
      <c r="E265" s="41" t="s">
        <v>230</v>
      </c>
      <c r="F265" s="41" t="s">
        <v>238</v>
      </c>
      <c r="G265" s="41">
        <v>45811</v>
      </c>
      <c r="H265" s="40" t="s">
        <v>5</v>
      </c>
      <c r="I265" s="43" t="s">
        <v>14</v>
      </c>
      <c r="J265" s="40">
        <v>1</v>
      </c>
      <c r="K265" s="40">
        <v>1</v>
      </c>
      <c r="L265" s="44">
        <v>0</v>
      </c>
      <c r="M265" s="40">
        <v>2</v>
      </c>
      <c r="N265" s="40">
        <v>2</v>
      </c>
      <c r="O265" s="48">
        <v>0</v>
      </c>
      <c r="P265" s="45" t="s">
        <v>159</v>
      </c>
      <c r="Q265" s="23" t="s">
        <v>239</v>
      </c>
      <c r="R265" s="23" t="s">
        <v>240</v>
      </c>
      <c r="S265" s="23" t="s">
        <v>9</v>
      </c>
      <c r="T265" s="23">
        <f>SUMIFS($J$1:INDEX(J:J,ROW()-1),$I$1:INDEX(I:I,ROW()-1),"&lt;&gt;Totals:")</f>
        <v>129</v>
      </c>
      <c r="U265" s="22">
        <f>SUMIFS($M$1:INDEX(M:M,ROW()),$I$1:INDEX(I:I,ROW()),"&lt;&gt;*Totals:*")</f>
        <v>3298</v>
      </c>
    </row>
    <row r="266" spans="1:21" ht="12.75" customHeight="1" x14ac:dyDescent="0.25">
      <c r="A266" s="47" t="s">
        <v>17</v>
      </c>
      <c r="B266" s="23" t="s">
        <v>241</v>
      </c>
      <c r="C266" s="28">
        <v>45782</v>
      </c>
      <c r="D266" s="30" t="s">
        <v>237</v>
      </c>
      <c r="E266" s="28" t="s">
        <v>230</v>
      </c>
      <c r="F266" s="28" t="s">
        <v>221</v>
      </c>
      <c r="G266" s="28">
        <v>45811</v>
      </c>
      <c r="H266" s="23" t="s">
        <v>5</v>
      </c>
      <c r="I266" s="33" t="s">
        <v>14</v>
      </c>
      <c r="J266" s="23">
        <v>1</v>
      </c>
      <c r="K266" s="23">
        <v>1</v>
      </c>
      <c r="L266" s="35">
        <v>0</v>
      </c>
      <c r="M266" s="23">
        <v>28</v>
      </c>
      <c r="N266" s="23">
        <v>28</v>
      </c>
      <c r="O266" s="49">
        <v>0</v>
      </c>
      <c r="P266" s="45" t="s">
        <v>159</v>
      </c>
      <c r="Q266" s="23" t="s">
        <v>239</v>
      </c>
      <c r="R266" s="23" t="s">
        <v>240</v>
      </c>
      <c r="S266" s="23" t="s">
        <v>9</v>
      </c>
      <c r="T266" s="23">
        <f>SUMIFS($J$1:INDEX(J:J,ROW()-1),$I$1:INDEX(I:I,ROW()-1),"&lt;&gt;Totals:")</f>
        <v>130</v>
      </c>
      <c r="U266" s="22">
        <f>SUMIFS($M$1:INDEX(M:M,ROW()),$I$1:INDEX(I:I,ROW()),"&lt;&gt;*Totals:*")</f>
        <v>3326</v>
      </c>
    </row>
    <row r="267" spans="1:21" ht="12.75" customHeight="1" x14ac:dyDescent="0.25">
      <c r="A267" s="47" t="s">
        <v>15</v>
      </c>
      <c r="B267" s="23" t="s">
        <v>242</v>
      </c>
      <c r="C267" s="28">
        <v>45791</v>
      </c>
      <c r="D267" s="30" t="s">
        <v>237</v>
      </c>
      <c r="E267" s="28" t="s">
        <v>243</v>
      </c>
      <c r="F267" s="28" t="s">
        <v>216</v>
      </c>
      <c r="G267" s="28">
        <v>45820</v>
      </c>
      <c r="H267" s="23" t="s">
        <v>5</v>
      </c>
      <c r="I267" s="33" t="s">
        <v>14</v>
      </c>
      <c r="J267" s="23">
        <v>1</v>
      </c>
      <c r="K267" s="23">
        <v>1</v>
      </c>
      <c r="L267" s="35">
        <v>0</v>
      </c>
      <c r="M267" s="23">
        <v>35</v>
      </c>
      <c r="N267" s="23">
        <v>35</v>
      </c>
      <c r="O267" s="49">
        <v>0</v>
      </c>
      <c r="P267" s="45" t="s">
        <v>159</v>
      </c>
      <c r="Q267" s="23" t="s">
        <v>239</v>
      </c>
      <c r="R267" s="23" t="s">
        <v>240</v>
      </c>
      <c r="S267" s="23" t="s">
        <v>9</v>
      </c>
      <c r="T267" s="23">
        <f>SUMIFS($J$1:INDEX(J:J,ROW()-1),$I$1:INDEX(I:I,ROW()-1),"&lt;&gt;Totals:")</f>
        <v>131</v>
      </c>
      <c r="U267" s="22">
        <f>SUMIFS($M$1:INDEX(M:M,ROW()),$I$1:INDEX(I:I,ROW()),"&lt;&gt;*Totals:*")</f>
        <v>3361</v>
      </c>
    </row>
    <row r="268" spans="1:21" ht="12.75" customHeight="1" x14ac:dyDescent="0.25">
      <c r="A268" s="47" t="s">
        <v>36</v>
      </c>
      <c r="B268" s="23" t="s">
        <v>244</v>
      </c>
      <c r="C268" s="28">
        <v>45791</v>
      </c>
      <c r="D268" s="30" t="s">
        <v>237</v>
      </c>
      <c r="E268" s="28" t="s">
        <v>245</v>
      </c>
      <c r="F268" s="28" t="s">
        <v>199</v>
      </c>
      <c r="G268" s="28">
        <v>45820</v>
      </c>
      <c r="H268" s="23" t="s">
        <v>5</v>
      </c>
      <c r="I268" s="33" t="s">
        <v>14</v>
      </c>
      <c r="J268" s="23">
        <v>1</v>
      </c>
      <c r="K268" s="23">
        <v>1</v>
      </c>
      <c r="L268" s="35">
        <v>0</v>
      </c>
      <c r="M268" s="23">
        <v>5</v>
      </c>
      <c r="N268" s="23">
        <v>5</v>
      </c>
      <c r="O268" s="49">
        <v>0</v>
      </c>
      <c r="P268" s="45" t="s">
        <v>159</v>
      </c>
      <c r="Q268" s="23" t="s">
        <v>239</v>
      </c>
      <c r="R268" s="23" t="s">
        <v>240</v>
      </c>
      <c r="S268" s="23" t="s">
        <v>9</v>
      </c>
      <c r="T268" s="23">
        <f>SUMIFS($J$1:INDEX(J:J,ROW()-1),$I$1:INDEX(I:I,ROW()-1),"&lt;&gt;Totals:")</f>
        <v>132</v>
      </c>
      <c r="U268" s="22">
        <f>SUMIFS($M$1:INDEX(M:M,ROW()),$I$1:INDEX(I:I,ROW()),"&lt;&gt;*Totals:*")</f>
        <v>3366</v>
      </c>
    </row>
    <row r="269" spans="1:21" ht="12.75" customHeight="1" x14ac:dyDescent="0.25">
      <c r="A269" s="47" t="s">
        <v>10</v>
      </c>
      <c r="B269" s="23" t="s">
        <v>242</v>
      </c>
      <c r="C269" s="28">
        <v>45791</v>
      </c>
      <c r="D269" s="30" t="s">
        <v>237</v>
      </c>
      <c r="E269" s="28" t="s">
        <v>246</v>
      </c>
      <c r="F269" s="28" t="s">
        <v>216</v>
      </c>
      <c r="G269" s="28">
        <v>45820</v>
      </c>
      <c r="H269" s="23" t="s">
        <v>5</v>
      </c>
      <c r="I269" s="33"/>
      <c r="J269" s="23">
        <v>0</v>
      </c>
      <c r="K269" s="23">
        <v>1</v>
      </c>
      <c r="L269" s="35">
        <v>1</v>
      </c>
      <c r="M269" s="23">
        <v>126</v>
      </c>
      <c r="N269" s="23">
        <v>0</v>
      </c>
      <c r="O269" s="49">
        <v>1</v>
      </c>
      <c r="P269" s="45" t="s">
        <v>159</v>
      </c>
      <c r="Q269" s="23" t="s">
        <v>239</v>
      </c>
      <c r="R269" s="23" t="s">
        <v>240</v>
      </c>
      <c r="S269" s="23" t="s">
        <v>9</v>
      </c>
      <c r="T269" s="23">
        <f>SUMIFS($J$1:INDEX(J:J,ROW()-1),$I$1:INDEX(I:I,ROW()-1),"&lt;&gt;Totals:")</f>
        <v>133</v>
      </c>
      <c r="U269" s="22">
        <f>SUMIFS($M$1:INDEX(M:M,ROW()),$I$1:INDEX(I:I,ROW()),"&lt;&gt;*Totals:*")</f>
        <v>3492</v>
      </c>
    </row>
    <row r="270" spans="1:21" ht="12.75" customHeight="1" x14ac:dyDescent="0.25">
      <c r="A270" s="47" t="s">
        <v>40</v>
      </c>
      <c r="B270" s="23" t="s">
        <v>247</v>
      </c>
      <c r="C270" s="28">
        <v>45791</v>
      </c>
      <c r="D270" s="30" t="s">
        <v>237</v>
      </c>
      <c r="E270" s="28" t="s">
        <v>243</v>
      </c>
      <c r="F270" s="28" t="s">
        <v>248</v>
      </c>
      <c r="G270" s="28">
        <v>45820</v>
      </c>
      <c r="H270" s="23" t="s">
        <v>5</v>
      </c>
      <c r="I270" s="33" t="s">
        <v>14</v>
      </c>
      <c r="J270" s="23">
        <v>1</v>
      </c>
      <c r="K270" s="23">
        <v>1</v>
      </c>
      <c r="L270" s="35">
        <v>0</v>
      </c>
      <c r="M270" s="23">
        <v>13</v>
      </c>
      <c r="N270" s="23">
        <v>13</v>
      </c>
      <c r="O270" s="49">
        <v>0</v>
      </c>
      <c r="P270" s="45" t="s">
        <v>159</v>
      </c>
      <c r="Q270" s="23" t="s">
        <v>239</v>
      </c>
      <c r="R270" s="23" t="s">
        <v>240</v>
      </c>
      <c r="S270" s="23" t="s">
        <v>9</v>
      </c>
      <c r="T270" s="23">
        <f>SUMIFS($J$1:INDEX(J:J,ROW()-1),$I$1:INDEX(I:I,ROW()-1),"&lt;&gt;Totals:")</f>
        <v>133</v>
      </c>
      <c r="U270" s="22">
        <f>SUMIFS($M$1:INDEX(M:M,ROW()),$I$1:INDEX(I:I,ROW()),"&lt;&gt;*Totals:*")</f>
        <v>3505</v>
      </c>
    </row>
    <row r="271" spans="1:21" ht="12.75" customHeight="1" x14ac:dyDescent="0.25">
      <c r="A271" s="47" t="s">
        <v>0</v>
      </c>
      <c r="B271" s="23" t="s">
        <v>229</v>
      </c>
      <c r="C271" s="28">
        <v>45793</v>
      </c>
      <c r="D271" s="30" t="s">
        <v>237</v>
      </c>
      <c r="E271" s="28" t="s">
        <v>249</v>
      </c>
      <c r="F271" s="28" t="s">
        <v>231</v>
      </c>
      <c r="G271" s="28">
        <v>45822</v>
      </c>
      <c r="H271" s="23" t="s">
        <v>5</v>
      </c>
      <c r="I271" s="33"/>
      <c r="J271" s="23">
        <v>0</v>
      </c>
      <c r="K271" s="23">
        <v>1</v>
      </c>
      <c r="L271" s="35">
        <v>1</v>
      </c>
      <c r="M271" s="23">
        <v>122</v>
      </c>
      <c r="N271" s="23">
        <v>0</v>
      </c>
      <c r="O271" s="49">
        <v>1</v>
      </c>
      <c r="P271" s="45" t="s">
        <v>159</v>
      </c>
      <c r="Q271" s="23" t="s">
        <v>239</v>
      </c>
      <c r="R271" s="23" t="s">
        <v>240</v>
      </c>
      <c r="S271" s="23" t="s">
        <v>9</v>
      </c>
      <c r="T271" s="23">
        <f>SUMIFS($J$1:INDEX(J:J,ROW()-1),$I$1:INDEX(I:I,ROW()-1),"&lt;&gt;Totals:")</f>
        <v>134</v>
      </c>
      <c r="U271" s="22">
        <f>SUMIFS($M$1:INDEX(M:M,ROW()),$I$1:INDEX(I:I,ROW()),"&lt;&gt;*Totals:*")</f>
        <v>3627</v>
      </c>
    </row>
    <row r="272" spans="1:21" ht="12.75" customHeight="1" thickBot="1" x14ac:dyDescent="0.3">
      <c r="A272" s="51" t="s">
        <v>0</v>
      </c>
      <c r="B272" s="20" t="s">
        <v>229</v>
      </c>
      <c r="C272" s="25">
        <v>45802</v>
      </c>
      <c r="D272" s="27" t="s">
        <v>237</v>
      </c>
      <c r="E272" s="25" t="s">
        <v>230</v>
      </c>
      <c r="F272" s="25" t="s">
        <v>231</v>
      </c>
      <c r="G272" s="25">
        <v>45831</v>
      </c>
      <c r="H272" s="20" t="s">
        <v>5</v>
      </c>
      <c r="I272" s="32" t="s">
        <v>14</v>
      </c>
      <c r="J272" s="20">
        <v>1</v>
      </c>
      <c r="K272" s="20">
        <v>1</v>
      </c>
      <c r="L272" s="34">
        <v>0</v>
      </c>
      <c r="M272" s="20">
        <v>6</v>
      </c>
      <c r="N272" s="20">
        <v>6</v>
      </c>
      <c r="O272" s="54">
        <v>0</v>
      </c>
      <c r="P272" s="45" t="s">
        <v>159</v>
      </c>
      <c r="Q272" s="23" t="s">
        <v>239</v>
      </c>
      <c r="R272" s="23" t="s">
        <v>240</v>
      </c>
      <c r="S272" s="23" t="s">
        <v>9</v>
      </c>
      <c r="T272" s="23">
        <f>SUMIFS($J$1:INDEX(J:J,ROW()-1),$I$1:INDEX(I:I,ROW()-1),"&lt;&gt;Totals:")</f>
        <v>134</v>
      </c>
      <c r="U272" s="22">
        <f>SUMIFS($M$1:INDEX(M:M,ROW()),$I$1:INDEX(I:I,ROW()),"&lt;&gt;*Totals:*")</f>
        <v>3633</v>
      </c>
    </row>
    <row r="273" spans="1:21" ht="17.25" customHeight="1" x14ac:dyDescent="0.25">
      <c r="A273" s="60"/>
      <c r="B273" s="50"/>
      <c r="C273" s="55"/>
      <c r="D273" s="56"/>
      <c r="E273" s="56"/>
      <c r="F273" s="57"/>
      <c r="G273" s="57"/>
      <c r="H273" s="57"/>
      <c r="I273" s="58" t="s">
        <v>1087</v>
      </c>
      <c r="J273" s="57">
        <f>SUM(J265:J272)</f>
        <v>6</v>
      </c>
      <c r="K273" s="57">
        <f>SUM(K265:K272)</f>
        <v>8</v>
      </c>
      <c r="L273" s="59">
        <f>(SUM(K265:K272) - SUM(J265:J272)) / SUM(K265:K272)</f>
        <v>0.25</v>
      </c>
      <c r="M273" s="57">
        <f>SUM(M265:M272)</f>
        <v>337</v>
      </c>
      <c r="N273" s="56">
        <f>SUM(N265:N272)</f>
        <v>89</v>
      </c>
      <c r="O273" s="61">
        <f>(SUM(M265:M272) - SUM(N265:N272)) / SUM(M265:M272)</f>
        <v>0.73590504451038574</v>
      </c>
      <c r="P273" s="52"/>
      <c r="Q273" s="53"/>
      <c r="R273" s="52"/>
      <c r="S273" s="52"/>
      <c r="T273" s="52"/>
      <c r="U273" s="52"/>
    </row>
    <row r="274" spans="1:21" x14ac:dyDescent="0.25">
      <c r="A274" s="70"/>
      <c r="B274" s="64"/>
      <c r="C274" s="64"/>
      <c r="D274" s="64"/>
      <c r="E274" s="64"/>
      <c r="F274" s="64"/>
      <c r="G274" s="64"/>
      <c r="H274" s="64"/>
      <c r="I274" s="65" t="s">
        <v>1088</v>
      </c>
      <c r="J274" s="64"/>
      <c r="K274" s="64"/>
      <c r="L274" s="65" t="s">
        <v>1089</v>
      </c>
      <c r="M274" s="64"/>
      <c r="N274" s="64"/>
      <c r="O274" s="72"/>
      <c r="P274" s="62"/>
      <c r="Q274" s="62"/>
      <c r="R274" s="62"/>
      <c r="S274" s="62"/>
      <c r="T274" s="62"/>
      <c r="U274" s="62"/>
    </row>
    <row r="275" spans="1:21" ht="15.75" thickBot="1" x14ac:dyDescent="0.3">
      <c r="A275" s="71"/>
      <c r="B275" s="66"/>
      <c r="C275" s="67"/>
      <c r="D275" s="66"/>
      <c r="E275" s="66"/>
      <c r="F275" s="66"/>
      <c r="G275" s="67"/>
      <c r="H275" s="66"/>
      <c r="I275" s="68">
        <v>134</v>
      </c>
      <c r="J275" s="66"/>
      <c r="K275" s="66"/>
      <c r="L275" s="69">
        <v>3633</v>
      </c>
      <c r="M275" s="66"/>
      <c r="N275" s="66"/>
      <c r="O275" s="73"/>
      <c r="P275" s="63"/>
      <c r="Q275" s="63"/>
      <c r="R275" s="63"/>
      <c r="S275" s="63"/>
      <c r="T275" s="63"/>
      <c r="U275" s="63"/>
    </row>
    <row r="276" spans="1:21" ht="15.75" thickBot="1" x14ac:dyDescent="0.3">
      <c r="C276" s="1"/>
      <c r="G276" s="1"/>
    </row>
    <row r="277" spans="1:21" x14ac:dyDescent="0.25">
      <c r="A277" s="9"/>
      <c r="B277" s="10"/>
      <c r="C277" s="11"/>
      <c r="D277" s="11"/>
      <c r="E277" s="11"/>
      <c r="F277" s="11"/>
      <c r="G277" s="11"/>
      <c r="H277" s="12"/>
      <c r="I277" s="11"/>
      <c r="J277" s="13"/>
      <c r="K277" s="13"/>
      <c r="L277" s="13"/>
      <c r="M277" s="13"/>
      <c r="N277" s="11"/>
      <c r="O277" s="14"/>
      <c r="P277" s="4"/>
      <c r="Q277" s="5"/>
      <c r="R277" s="4"/>
      <c r="S277" s="4"/>
      <c r="T277" s="4"/>
      <c r="U277" s="4"/>
    </row>
    <row r="278" spans="1:21" x14ac:dyDescent="0.25">
      <c r="A278" s="6" t="s">
        <v>1090</v>
      </c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15"/>
      <c r="P278" s="3"/>
      <c r="Q278" s="3"/>
      <c r="R278" s="3"/>
      <c r="S278" s="3"/>
      <c r="T278" s="3"/>
      <c r="U278" s="3"/>
    </row>
    <row r="279" spans="1:21" x14ac:dyDescent="0.25">
      <c r="A279" s="7" t="s">
        <v>254</v>
      </c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15"/>
      <c r="P279" s="3"/>
      <c r="Q279" s="3"/>
      <c r="R279" s="3"/>
      <c r="S279" s="3"/>
      <c r="T279" s="3"/>
      <c r="U279" s="3"/>
    </row>
    <row r="280" spans="1:21" ht="15.75" thickBot="1" x14ac:dyDescent="0.3">
      <c r="A280" s="8"/>
      <c r="B280" s="8"/>
      <c r="C280" s="74"/>
      <c r="D280" s="8"/>
      <c r="E280" s="8"/>
      <c r="F280" s="8"/>
      <c r="G280" s="74"/>
      <c r="H280" s="8"/>
      <c r="I280" s="8"/>
      <c r="J280" s="8"/>
      <c r="K280" s="8"/>
      <c r="L280" s="8"/>
      <c r="M280" s="8"/>
      <c r="N280" s="8"/>
      <c r="O280" s="16"/>
      <c r="P280" s="3"/>
      <c r="Q280" s="3"/>
      <c r="R280" s="3"/>
      <c r="S280" s="3"/>
      <c r="T280" s="3"/>
      <c r="U280" s="3"/>
    </row>
    <row r="281" spans="1:21" ht="17.25" customHeight="1" thickBot="1" x14ac:dyDescent="0.3">
      <c r="A281" s="19" t="s">
        <v>1068</v>
      </c>
      <c r="B281" s="24" t="s">
        <v>1069</v>
      </c>
      <c r="C281" s="26" t="s">
        <v>1070</v>
      </c>
      <c r="D281" s="29" t="s">
        <v>1071</v>
      </c>
      <c r="E281" s="26" t="s">
        <v>1072</v>
      </c>
      <c r="F281" s="31" t="s">
        <v>1073</v>
      </c>
      <c r="G281" s="31" t="s">
        <v>1074</v>
      </c>
      <c r="H281" s="31" t="s">
        <v>1075</v>
      </c>
      <c r="I281" s="29" t="s">
        <v>14</v>
      </c>
      <c r="J281" s="29" t="s">
        <v>1076</v>
      </c>
      <c r="K281" s="29" t="s">
        <v>1077</v>
      </c>
      <c r="L281" s="29" t="s">
        <v>1078</v>
      </c>
      <c r="M281" s="29" t="s">
        <v>1079</v>
      </c>
      <c r="N281" s="29" t="s">
        <v>1080</v>
      </c>
      <c r="O281" s="36" t="s">
        <v>1081</v>
      </c>
      <c r="P281" s="37" t="s">
        <v>1082</v>
      </c>
      <c r="Q281" s="38" t="s">
        <v>1083</v>
      </c>
      <c r="R281" s="38" t="s">
        <v>1084</v>
      </c>
      <c r="S281" s="38" t="s">
        <v>1085</v>
      </c>
      <c r="T281" s="38" t="s">
        <v>1086</v>
      </c>
      <c r="U281" s="39" t="s">
        <v>1086</v>
      </c>
    </row>
    <row r="282" spans="1:21" ht="12.75" customHeight="1" x14ac:dyDescent="0.25">
      <c r="A282" s="46" t="s">
        <v>17</v>
      </c>
      <c r="B282" s="40" t="s">
        <v>250</v>
      </c>
      <c r="C282" s="41">
        <v>45810</v>
      </c>
      <c r="D282" s="42" t="s">
        <v>251</v>
      </c>
      <c r="E282" s="41" t="s">
        <v>252</v>
      </c>
      <c r="F282" s="41" t="s">
        <v>253</v>
      </c>
      <c r="G282" s="41">
        <v>45839</v>
      </c>
      <c r="H282" s="40" t="s">
        <v>5</v>
      </c>
      <c r="I282" s="43" t="s">
        <v>14</v>
      </c>
      <c r="J282" s="40">
        <v>1</v>
      </c>
      <c r="K282" s="40">
        <v>1</v>
      </c>
      <c r="L282" s="44">
        <v>0</v>
      </c>
      <c r="M282" s="40">
        <v>20</v>
      </c>
      <c r="N282" s="40">
        <v>20</v>
      </c>
      <c r="O282" s="48">
        <v>0</v>
      </c>
      <c r="P282" s="45" t="s">
        <v>159</v>
      </c>
      <c r="Q282" s="23" t="s">
        <v>254</v>
      </c>
      <c r="R282" s="23" t="s">
        <v>255</v>
      </c>
      <c r="S282" s="23" t="s">
        <v>9</v>
      </c>
      <c r="T282" s="23">
        <f>SUMIFS($J$1:INDEX(J:J,ROW()-1),$I$1:INDEX(I:I,ROW()-1),"&lt;&gt;Totals:")</f>
        <v>135</v>
      </c>
      <c r="U282" s="22">
        <f>SUMIFS($M$1:INDEX(M:M,ROW()),$I$1:INDEX(I:I,ROW()),"&lt;&gt;*Totals:*")</f>
        <v>3653</v>
      </c>
    </row>
    <row r="283" spans="1:21" ht="12.75" customHeight="1" x14ac:dyDescent="0.25">
      <c r="A283" s="47" t="s">
        <v>17</v>
      </c>
      <c r="B283" s="23" t="s">
        <v>256</v>
      </c>
      <c r="C283" s="28">
        <v>45810</v>
      </c>
      <c r="D283" s="30" t="s">
        <v>251</v>
      </c>
      <c r="E283" s="28" t="s">
        <v>252</v>
      </c>
      <c r="F283" s="28" t="s">
        <v>257</v>
      </c>
      <c r="G283" s="28">
        <v>45839</v>
      </c>
      <c r="H283" s="23" t="s">
        <v>5</v>
      </c>
      <c r="I283" s="33" t="s">
        <v>14</v>
      </c>
      <c r="J283" s="23">
        <v>1</v>
      </c>
      <c r="K283" s="23">
        <v>1</v>
      </c>
      <c r="L283" s="35">
        <v>0</v>
      </c>
      <c r="M283" s="23">
        <v>2</v>
      </c>
      <c r="N283" s="23">
        <v>2</v>
      </c>
      <c r="O283" s="49">
        <v>0</v>
      </c>
      <c r="P283" s="45" t="s">
        <v>159</v>
      </c>
      <c r="Q283" s="23" t="s">
        <v>254</v>
      </c>
      <c r="R283" s="23" t="s">
        <v>255</v>
      </c>
      <c r="S283" s="23" t="s">
        <v>9</v>
      </c>
      <c r="T283" s="23">
        <f>SUMIFS($J$1:INDEX(J:J,ROW()-1),$I$1:INDEX(I:I,ROW()-1),"&lt;&gt;Totals:")</f>
        <v>136</v>
      </c>
      <c r="U283" s="22">
        <f>SUMIFS($M$1:INDEX(M:M,ROW()),$I$1:INDEX(I:I,ROW()),"&lt;&gt;*Totals:*")</f>
        <v>3655</v>
      </c>
    </row>
    <row r="284" spans="1:21" ht="12.75" customHeight="1" x14ac:dyDescent="0.25">
      <c r="A284" s="47" t="s">
        <v>17</v>
      </c>
      <c r="B284" s="23" t="s">
        <v>258</v>
      </c>
      <c r="C284" s="28">
        <v>45812</v>
      </c>
      <c r="D284" s="30" t="s">
        <v>251</v>
      </c>
      <c r="E284" s="28" t="s">
        <v>252</v>
      </c>
      <c r="F284" s="28" t="s">
        <v>259</v>
      </c>
      <c r="G284" s="28">
        <v>45841</v>
      </c>
      <c r="H284" s="23" t="s">
        <v>5</v>
      </c>
      <c r="I284" s="33" t="s">
        <v>14</v>
      </c>
      <c r="J284" s="23">
        <v>1</v>
      </c>
      <c r="K284" s="23">
        <v>1</v>
      </c>
      <c r="L284" s="35">
        <v>0</v>
      </c>
      <c r="M284" s="23">
        <v>2</v>
      </c>
      <c r="N284" s="23">
        <v>2</v>
      </c>
      <c r="O284" s="49">
        <v>0</v>
      </c>
      <c r="P284" s="45" t="s">
        <v>159</v>
      </c>
      <c r="Q284" s="23" t="s">
        <v>254</v>
      </c>
      <c r="R284" s="23" t="s">
        <v>255</v>
      </c>
      <c r="S284" s="23" t="s">
        <v>9</v>
      </c>
      <c r="T284" s="23">
        <f>SUMIFS($J$1:INDEX(J:J,ROW()-1),$I$1:INDEX(I:I,ROW()-1),"&lt;&gt;Totals:")</f>
        <v>137</v>
      </c>
      <c r="U284" s="22">
        <f>SUMIFS($M$1:INDEX(M:M,ROW()),$I$1:INDEX(I:I,ROW()),"&lt;&gt;*Totals:*")</f>
        <v>3657</v>
      </c>
    </row>
    <row r="285" spans="1:21" ht="12.75" customHeight="1" x14ac:dyDescent="0.25">
      <c r="A285" s="47" t="s">
        <v>15</v>
      </c>
      <c r="B285" s="23" t="s">
        <v>260</v>
      </c>
      <c r="C285" s="28">
        <v>45820</v>
      </c>
      <c r="D285" s="30" t="s">
        <v>251</v>
      </c>
      <c r="E285" s="28" t="s">
        <v>261</v>
      </c>
      <c r="F285" s="28" t="s">
        <v>262</v>
      </c>
      <c r="G285" s="28">
        <v>45849</v>
      </c>
      <c r="H285" s="23" t="s">
        <v>5</v>
      </c>
      <c r="I285" s="33" t="s">
        <v>14</v>
      </c>
      <c r="J285" s="23">
        <v>1</v>
      </c>
      <c r="K285" s="23">
        <v>1</v>
      </c>
      <c r="L285" s="35">
        <v>0</v>
      </c>
      <c r="M285" s="23">
        <v>33</v>
      </c>
      <c r="N285" s="23">
        <v>33</v>
      </c>
      <c r="O285" s="49">
        <v>0</v>
      </c>
      <c r="P285" s="45" t="s">
        <v>159</v>
      </c>
      <c r="Q285" s="23" t="s">
        <v>254</v>
      </c>
      <c r="R285" s="23" t="s">
        <v>255</v>
      </c>
      <c r="S285" s="23" t="s">
        <v>9</v>
      </c>
      <c r="T285" s="23">
        <f>SUMIFS($J$1:INDEX(J:J,ROW()-1),$I$1:INDEX(I:I,ROW()-1),"&lt;&gt;Totals:")</f>
        <v>138</v>
      </c>
      <c r="U285" s="22">
        <f>SUMIFS($M$1:INDEX(M:M,ROW()),$I$1:INDEX(I:I,ROW()),"&lt;&gt;*Totals:*")</f>
        <v>3690</v>
      </c>
    </row>
    <row r="286" spans="1:21" ht="12.75" customHeight="1" x14ac:dyDescent="0.25">
      <c r="A286" s="47" t="s">
        <v>36</v>
      </c>
      <c r="B286" s="23" t="s">
        <v>263</v>
      </c>
      <c r="C286" s="28">
        <v>45820</v>
      </c>
      <c r="D286" s="30" t="s">
        <v>251</v>
      </c>
      <c r="E286" s="28" t="s">
        <v>261</v>
      </c>
      <c r="F286" s="28" t="s">
        <v>264</v>
      </c>
      <c r="G286" s="28">
        <v>45849</v>
      </c>
      <c r="H286" s="23" t="s">
        <v>5</v>
      </c>
      <c r="I286" s="33" t="s">
        <v>14</v>
      </c>
      <c r="J286" s="23">
        <v>1</v>
      </c>
      <c r="K286" s="23">
        <v>1</v>
      </c>
      <c r="L286" s="35">
        <v>0</v>
      </c>
      <c r="M286" s="23">
        <v>5</v>
      </c>
      <c r="N286" s="23">
        <v>5</v>
      </c>
      <c r="O286" s="49">
        <v>0</v>
      </c>
      <c r="P286" s="45" t="s">
        <v>159</v>
      </c>
      <c r="Q286" s="23" t="s">
        <v>254</v>
      </c>
      <c r="R286" s="23" t="s">
        <v>255</v>
      </c>
      <c r="S286" s="23" t="s">
        <v>9</v>
      </c>
      <c r="T286" s="23">
        <f>SUMIFS($J$1:INDEX(J:J,ROW()-1),$I$1:INDEX(I:I,ROW()-1),"&lt;&gt;Totals:")</f>
        <v>139</v>
      </c>
      <c r="U286" s="22">
        <f>SUMIFS($M$1:INDEX(M:M,ROW()),$I$1:INDEX(I:I,ROW()),"&lt;&gt;*Totals:*")</f>
        <v>3695</v>
      </c>
    </row>
    <row r="287" spans="1:21" ht="12.75" customHeight="1" x14ac:dyDescent="0.25">
      <c r="A287" s="47" t="s">
        <v>40</v>
      </c>
      <c r="B287" s="23" t="s">
        <v>265</v>
      </c>
      <c r="C287" s="28">
        <v>45820</v>
      </c>
      <c r="D287" s="30" t="s">
        <v>251</v>
      </c>
      <c r="E287" s="28" t="s">
        <v>266</v>
      </c>
      <c r="F287" s="28" t="s">
        <v>257</v>
      </c>
      <c r="G287" s="28">
        <v>45849</v>
      </c>
      <c r="H287" s="23" t="s">
        <v>5</v>
      </c>
      <c r="I287" s="33" t="s">
        <v>14</v>
      </c>
      <c r="J287" s="23">
        <v>1</v>
      </c>
      <c r="K287" s="23">
        <v>1</v>
      </c>
      <c r="L287" s="35">
        <v>0</v>
      </c>
      <c r="M287" s="23">
        <v>13</v>
      </c>
      <c r="N287" s="23">
        <v>13</v>
      </c>
      <c r="O287" s="49">
        <v>0</v>
      </c>
      <c r="P287" s="45" t="s">
        <v>159</v>
      </c>
      <c r="Q287" s="23" t="s">
        <v>254</v>
      </c>
      <c r="R287" s="23" t="s">
        <v>255</v>
      </c>
      <c r="S287" s="23" t="s">
        <v>9</v>
      </c>
      <c r="T287" s="23">
        <f>SUMIFS($J$1:INDEX(J:J,ROW()-1),$I$1:INDEX(I:I,ROW()-1),"&lt;&gt;Totals:")</f>
        <v>140</v>
      </c>
      <c r="U287" s="22">
        <f>SUMIFS($M$1:INDEX(M:M,ROW()),$I$1:INDEX(I:I,ROW()),"&lt;&gt;*Totals:*")</f>
        <v>3708</v>
      </c>
    </row>
    <row r="288" spans="1:21" ht="12.75" customHeight="1" x14ac:dyDescent="0.25">
      <c r="A288" s="47" t="s">
        <v>10</v>
      </c>
      <c r="B288" s="23" t="s">
        <v>260</v>
      </c>
      <c r="C288" s="28">
        <v>45820</v>
      </c>
      <c r="D288" s="30" t="s">
        <v>251</v>
      </c>
      <c r="E288" s="28" t="s">
        <v>267</v>
      </c>
      <c r="F288" s="28" t="s">
        <v>268</v>
      </c>
      <c r="G288" s="28">
        <v>45849</v>
      </c>
      <c r="H288" s="23" t="s">
        <v>5</v>
      </c>
      <c r="I288" s="33"/>
      <c r="J288" s="23">
        <v>0</v>
      </c>
      <c r="K288" s="23">
        <v>1</v>
      </c>
      <c r="L288" s="35">
        <v>1</v>
      </c>
      <c r="M288" s="23">
        <v>112</v>
      </c>
      <c r="N288" s="23">
        <v>0</v>
      </c>
      <c r="O288" s="49">
        <v>1</v>
      </c>
      <c r="P288" s="45" t="s">
        <v>159</v>
      </c>
      <c r="Q288" s="23" t="s">
        <v>254</v>
      </c>
      <c r="R288" s="23" t="s">
        <v>255</v>
      </c>
      <c r="S288" s="23" t="s">
        <v>9</v>
      </c>
      <c r="T288" s="23">
        <f>SUMIFS($J$1:INDEX(J:J,ROW()-1),$I$1:INDEX(I:I,ROW()-1),"&lt;&gt;Totals:")</f>
        <v>141</v>
      </c>
      <c r="U288" s="22">
        <f>SUMIFS($M$1:INDEX(M:M,ROW()),$I$1:INDEX(I:I,ROW()),"&lt;&gt;*Totals:*")</f>
        <v>3820</v>
      </c>
    </row>
    <row r="289" spans="1:21" ht="12.75" customHeight="1" x14ac:dyDescent="0.25">
      <c r="A289" s="47" t="s">
        <v>0</v>
      </c>
      <c r="B289" s="23" t="s">
        <v>269</v>
      </c>
      <c r="C289" s="28">
        <v>45822</v>
      </c>
      <c r="D289" s="30" t="s">
        <v>251</v>
      </c>
      <c r="E289" s="28" t="s">
        <v>270</v>
      </c>
      <c r="F289" s="28" t="s">
        <v>245</v>
      </c>
      <c r="G289" s="28">
        <v>45851</v>
      </c>
      <c r="H289" s="23" t="s">
        <v>5</v>
      </c>
      <c r="I289" s="33"/>
      <c r="J289" s="23">
        <v>0</v>
      </c>
      <c r="K289" s="23">
        <v>1</v>
      </c>
      <c r="L289" s="35">
        <v>1</v>
      </c>
      <c r="M289" s="23">
        <v>116</v>
      </c>
      <c r="N289" s="23">
        <v>0</v>
      </c>
      <c r="O289" s="49">
        <v>1</v>
      </c>
      <c r="P289" s="45" t="s">
        <v>159</v>
      </c>
      <c r="Q289" s="23" t="s">
        <v>254</v>
      </c>
      <c r="R289" s="23" t="s">
        <v>255</v>
      </c>
      <c r="S289" s="23" t="s">
        <v>9</v>
      </c>
      <c r="T289" s="23">
        <f>SUMIFS($J$1:INDEX(J:J,ROW()-1),$I$1:INDEX(I:I,ROW()-1),"&lt;&gt;Totals:")</f>
        <v>141</v>
      </c>
      <c r="U289" s="22">
        <f>SUMIFS($M$1:INDEX(M:M,ROW()),$I$1:INDEX(I:I,ROW()),"&lt;&gt;*Totals:*")</f>
        <v>3936</v>
      </c>
    </row>
    <row r="290" spans="1:21" ht="12.75" customHeight="1" x14ac:dyDescent="0.25">
      <c r="A290" s="47" t="s">
        <v>0</v>
      </c>
      <c r="B290" s="23" t="s">
        <v>269</v>
      </c>
      <c r="C290" s="28">
        <v>45829</v>
      </c>
      <c r="D290" s="30" t="s">
        <v>251</v>
      </c>
      <c r="E290" s="28" t="s">
        <v>261</v>
      </c>
      <c r="F290" s="28" t="s">
        <v>245</v>
      </c>
      <c r="G290" s="28">
        <v>45858</v>
      </c>
      <c r="H290" s="23" t="s">
        <v>5</v>
      </c>
      <c r="I290" s="33" t="s">
        <v>14</v>
      </c>
      <c r="J290" s="23">
        <v>1</v>
      </c>
      <c r="K290" s="23">
        <v>1</v>
      </c>
      <c r="L290" s="35">
        <v>0</v>
      </c>
      <c r="M290" s="23">
        <v>15</v>
      </c>
      <c r="N290" s="23">
        <v>15</v>
      </c>
      <c r="O290" s="49">
        <v>0</v>
      </c>
      <c r="P290" s="45" t="s">
        <v>159</v>
      </c>
      <c r="Q290" s="23" t="s">
        <v>254</v>
      </c>
      <c r="R290" s="23" t="s">
        <v>255</v>
      </c>
      <c r="S290" s="23" t="s">
        <v>9</v>
      </c>
      <c r="T290" s="23">
        <f>SUMIFS($J$1:INDEX(J:J,ROW()-1),$I$1:INDEX(I:I,ROW()-1),"&lt;&gt;Totals:")</f>
        <v>141</v>
      </c>
      <c r="U290" s="22">
        <f>SUMIFS($M$1:INDEX(M:M,ROW()),$I$1:INDEX(I:I,ROW()),"&lt;&gt;*Totals:*")</f>
        <v>3951</v>
      </c>
    </row>
    <row r="291" spans="1:21" ht="12.75" customHeight="1" thickBot="1" x14ac:dyDescent="0.3">
      <c r="A291" s="51" t="s">
        <v>0</v>
      </c>
      <c r="B291" s="20" t="s">
        <v>229</v>
      </c>
      <c r="C291" s="25">
        <v>45831</v>
      </c>
      <c r="D291" s="27" t="s">
        <v>251</v>
      </c>
      <c r="E291" s="25" t="s">
        <v>230</v>
      </c>
      <c r="F291" s="25" t="s">
        <v>231</v>
      </c>
      <c r="G291" s="25">
        <v>45860</v>
      </c>
      <c r="H291" s="20" t="s">
        <v>5</v>
      </c>
      <c r="I291" s="32"/>
      <c r="J291" s="20">
        <v>0</v>
      </c>
      <c r="K291" s="20">
        <v>1</v>
      </c>
      <c r="L291" s="34">
        <v>1</v>
      </c>
      <c r="M291" s="20">
        <v>4</v>
      </c>
      <c r="N291" s="20">
        <v>0</v>
      </c>
      <c r="O291" s="54">
        <v>1</v>
      </c>
      <c r="P291" s="45" t="s">
        <v>159</v>
      </c>
      <c r="Q291" s="23" t="s">
        <v>254</v>
      </c>
      <c r="R291" s="23" t="s">
        <v>255</v>
      </c>
      <c r="S291" s="23" t="s">
        <v>9</v>
      </c>
      <c r="T291" s="23">
        <f>SUMIFS($J$1:INDEX(J:J,ROW()-1),$I$1:INDEX(I:I,ROW()-1),"&lt;&gt;Totals:")</f>
        <v>142</v>
      </c>
      <c r="U291" s="22">
        <f>SUMIFS($M$1:INDEX(M:M,ROW()),$I$1:INDEX(I:I,ROW()),"&lt;&gt;*Totals:*")</f>
        <v>3955</v>
      </c>
    </row>
    <row r="292" spans="1:21" ht="17.25" customHeight="1" x14ac:dyDescent="0.25">
      <c r="A292" s="60"/>
      <c r="B292" s="50"/>
      <c r="C292" s="55"/>
      <c r="D292" s="56"/>
      <c r="E292" s="56"/>
      <c r="F292" s="57"/>
      <c r="G292" s="57"/>
      <c r="H292" s="57"/>
      <c r="I292" s="58" t="s">
        <v>1087</v>
      </c>
      <c r="J292" s="57">
        <f>SUM(J282:J291)</f>
        <v>7</v>
      </c>
      <c r="K292" s="57">
        <f>SUM(K282:K291)</f>
        <v>10</v>
      </c>
      <c r="L292" s="59">
        <f>(SUM(K282:K291) - SUM(J282:J291)) / SUM(K282:K291)</f>
        <v>0.3</v>
      </c>
      <c r="M292" s="57">
        <f>SUM(M282:M291)</f>
        <v>322</v>
      </c>
      <c r="N292" s="56">
        <f>SUM(N282:N291)</f>
        <v>90</v>
      </c>
      <c r="O292" s="61">
        <f>(SUM(M282:M291) - SUM(N282:N291)) / SUM(M282:M291)</f>
        <v>0.72049689440993792</v>
      </c>
      <c r="P292" s="52"/>
      <c r="Q292" s="53"/>
      <c r="R292" s="52"/>
      <c r="S292" s="52"/>
      <c r="T292" s="52"/>
      <c r="U292" s="52"/>
    </row>
    <row r="293" spans="1:21" x14ac:dyDescent="0.25">
      <c r="A293" s="70"/>
      <c r="B293" s="64"/>
      <c r="C293" s="64"/>
      <c r="D293" s="64"/>
      <c r="E293" s="64"/>
      <c r="F293" s="64"/>
      <c r="G293" s="64"/>
      <c r="H293" s="64"/>
      <c r="I293" s="65" t="s">
        <v>1088</v>
      </c>
      <c r="J293" s="64"/>
      <c r="K293" s="64"/>
      <c r="L293" s="65" t="s">
        <v>1089</v>
      </c>
      <c r="M293" s="64"/>
      <c r="N293" s="64"/>
      <c r="O293" s="72"/>
      <c r="P293" s="62"/>
      <c r="Q293" s="62"/>
      <c r="R293" s="62"/>
      <c r="S293" s="62"/>
      <c r="T293" s="62"/>
      <c r="U293" s="62"/>
    </row>
    <row r="294" spans="1:21" ht="15.75" thickBot="1" x14ac:dyDescent="0.3">
      <c r="A294" s="71"/>
      <c r="B294" s="66"/>
      <c r="C294" s="67"/>
      <c r="D294" s="66"/>
      <c r="E294" s="66"/>
      <c r="F294" s="66"/>
      <c r="G294" s="67"/>
      <c r="H294" s="66"/>
      <c r="I294" s="68">
        <v>142</v>
      </c>
      <c r="J294" s="66"/>
      <c r="K294" s="66"/>
      <c r="L294" s="69">
        <v>3955</v>
      </c>
      <c r="M294" s="66"/>
      <c r="N294" s="66"/>
      <c r="O294" s="73"/>
      <c r="P294" s="63"/>
      <c r="Q294" s="63"/>
      <c r="R294" s="63"/>
      <c r="S294" s="63"/>
      <c r="T294" s="63"/>
      <c r="U294" s="63"/>
    </row>
    <row r="295" spans="1:21" ht="15.75" thickBot="1" x14ac:dyDescent="0.3">
      <c r="C295" s="1"/>
      <c r="G295" s="1"/>
    </row>
    <row r="296" spans="1:21" x14ac:dyDescent="0.25">
      <c r="A296" s="9"/>
      <c r="B296" s="10"/>
      <c r="C296" s="11"/>
      <c r="D296" s="11"/>
      <c r="E296" s="11"/>
      <c r="F296" s="11"/>
      <c r="G296" s="11"/>
      <c r="H296" s="12"/>
      <c r="I296" s="11"/>
      <c r="J296" s="13"/>
      <c r="K296" s="13"/>
      <c r="L296" s="13"/>
      <c r="M296" s="13"/>
      <c r="N296" s="11"/>
      <c r="O296" s="14"/>
      <c r="P296" s="4"/>
      <c r="Q296" s="5"/>
      <c r="R296" s="4"/>
      <c r="S296" s="4"/>
      <c r="T296" s="4"/>
      <c r="U296" s="4"/>
    </row>
    <row r="297" spans="1:21" x14ac:dyDescent="0.25">
      <c r="A297" s="6" t="s">
        <v>1090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15"/>
      <c r="P297" s="3"/>
      <c r="Q297" s="3"/>
      <c r="R297" s="3"/>
      <c r="S297" s="3"/>
      <c r="T297" s="3"/>
      <c r="U297" s="3"/>
    </row>
    <row r="298" spans="1:21" x14ac:dyDescent="0.25">
      <c r="A298" s="7" t="s">
        <v>7</v>
      </c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15"/>
      <c r="P298" s="3"/>
      <c r="Q298" s="3"/>
      <c r="R298" s="3"/>
      <c r="S298" s="3"/>
      <c r="T298" s="3"/>
      <c r="U298" s="3"/>
    </row>
    <row r="299" spans="1:21" ht="15.75" thickBot="1" x14ac:dyDescent="0.3">
      <c r="A299" s="8"/>
      <c r="B299" s="8"/>
      <c r="C299" s="74"/>
      <c r="D299" s="8"/>
      <c r="E299" s="8"/>
      <c r="F299" s="8"/>
      <c r="G299" s="74"/>
      <c r="H299" s="8"/>
      <c r="I299" s="8"/>
      <c r="J299" s="8"/>
      <c r="K299" s="8"/>
      <c r="L299" s="8"/>
      <c r="M299" s="8"/>
      <c r="N299" s="8"/>
      <c r="O299" s="16"/>
      <c r="P299" s="3"/>
      <c r="Q299" s="3"/>
      <c r="R299" s="3"/>
      <c r="S299" s="3"/>
      <c r="T299" s="3"/>
      <c r="U299" s="3"/>
    </row>
    <row r="300" spans="1:21" ht="17.25" customHeight="1" thickBot="1" x14ac:dyDescent="0.3">
      <c r="A300" s="19" t="s">
        <v>1068</v>
      </c>
      <c r="B300" s="24" t="s">
        <v>1069</v>
      </c>
      <c r="C300" s="26" t="s">
        <v>1070</v>
      </c>
      <c r="D300" s="29" t="s">
        <v>1071</v>
      </c>
      <c r="E300" s="26" t="s">
        <v>1072</v>
      </c>
      <c r="F300" s="31" t="s">
        <v>1073</v>
      </c>
      <c r="G300" s="31" t="s">
        <v>1074</v>
      </c>
      <c r="H300" s="31" t="s">
        <v>1075</v>
      </c>
      <c r="I300" s="29" t="s">
        <v>14</v>
      </c>
      <c r="J300" s="29" t="s">
        <v>1076</v>
      </c>
      <c r="K300" s="29" t="s">
        <v>1077</v>
      </c>
      <c r="L300" s="29" t="s">
        <v>1078</v>
      </c>
      <c r="M300" s="29" t="s">
        <v>1079</v>
      </c>
      <c r="N300" s="29" t="s">
        <v>1080</v>
      </c>
      <c r="O300" s="36" t="s">
        <v>1081</v>
      </c>
      <c r="P300" s="37" t="s">
        <v>1082</v>
      </c>
      <c r="Q300" s="38" t="s">
        <v>1083</v>
      </c>
      <c r="R300" s="38" t="s">
        <v>1084</v>
      </c>
      <c r="S300" s="38" t="s">
        <v>1085</v>
      </c>
      <c r="T300" s="38" t="s">
        <v>1086</v>
      </c>
      <c r="U300" s="39" t="s">
        <v>1086</v>
      </c>
    </row>
    <row r="301" spans="1:21" ht="12.75" customHeight="1" x14ac:dyDescent="0.25">
      <c r="A301" s="46" t="s">
        <v>17</v>
      </c>
      <c r="B301" s="40" t="s">
        <v>271</v>
      </c>
      <c r="C301" s="41">
        <v>45839</v>
      </c>
      <c r="D301" s="42" t="s">
        <v>272</v>
      </c>
      <c r="E301" s="41" t="s">
        <v>273</v>
      </c>
      <c r="F301" s="41" t="s">
        <v>274</v>
      </c>
      <c r="G301" s="41">
        <v>45868</v>
      </c>
      <c r="H301" s="40" t="s">
        <v>5</v>
      </c>
      <c r="I301" s="43" t="s">
        <v>14</v>
      </c>
      <c r="J301" s="40">
        <v>1</v>
      </c>
      <c r="K301" s="40">
        <v>1</v>
      </c>
      <c r="L301" s="44">
        <v>0</v>
      </c>
      <c r="M301" s="40">
        <v>25</v>
      </c>
      <c r="N301" s="40">
        <v>25</v>
      </c>
      <c r="O301" s="48">
        <v>0</v>
      </c>
      <c r="P301" s="45" t="s">
        <v>159</v>
      </c>
      <c r="Q301" s="23" t="s">
        <v>7</v>
      </c>
      <c r="R301" s="23" t="s">
        <v>275</v>
      </c>
      <c r="S301" s="23" t="s">
        <v>9</v>
      </c>
      <c r="T301" s="23">
        <f>SUMIFS($J$1:INDEX(J:J,ROW()-1),$I$1:INDEX(I:I,ROW()-1),"&lt;&gt;Totals:")</f>
        <v>142</v>
      </c>
      <c r="U301" s="22">
        <f>SUMIFS($M$1:INDEX(M:M,ROW()),$I$1:INDEX(I:I,ROW()),"&lt;&gt;*Totals:*")</f>
        <v>3980</v>
      </c>
    </row>
    <row r="302" spans="1:21" ht="12.75" customHeight="1" x14ac:dyDescent="0.25">
      <c r="A302" s="47" t="s">
        <v>10</v>
      </c>
      <c r="B302" s="23" t="s">
        <v>276</v>
      </c>
      <c r="C302" s="28">
        <v>45844</v>
      </c>
      <c r="D302" s="30" t="s">
        <v>272</v>
      </c>
      <c r="E302" s="28" t="s">
        <v>277</v>
      </c>
      <c r="F302" s="28" t="s">
        <v>278</v>
      </c>
      <c r="G302" s="28">
        <v>45873</v>
      </c>
      <c r="H302" s="23" t="s">
        <v>5</v>
      </c>
      <c r="I302" s="33" t="s">
        <v>14</v>
      </c>
      <c r="J302" s="23">
        <v>1</v>
      </c>
      <c r="K302" s="23">
        <v>1</v>
      </c>
      <c r="L302" s="35">
        <v>0</v>
      </c>
      <c r="M302" s="23">
        <v>2</v>
      </c>
      <c r="N302" s="23">
        <v>2</v>
      </c>
      <c r="O302" s="49">
        <v>0</v>
      </c>
      <c r="P302" s="45" t="s">
        <v>159</v>
      </c>
      <c r="Q302" s="23" t="s">
        <v>7</v>
      </c>
      <c r="R302" s="23" t="s">
        <v>275</v>
      </c>
      <c r="S302" s="23" t="s">
        <v>9</v>
      </c>
      <c r="T302" s="23">
        <f>SUMIFS($J$1:INDEX(J:J,ROW()-1),$I$1:INDEX(I:I,ROW()-1),"&lt;&gt;Totals:")</f>
        <v>143</v>
      </c>
      <c r="U302" s="22">
        <f>SUMIFS($M$1:INDEX(M:M,ROW()),$I$1:INDEX(I:I,ROW()),"&lt;&gt;*Totals:*")</f>
        <v>3982</v>
      </c>
    </row>
    <row r="303" spans="1:21" ht="12.75" customHeight="1" x14ac:dyDescent="0.25">
      <c r="A303" s="47" t="s">
        <v>10</v>
      </c>
      <c r="B303" s="23" t="s">
        <v>279</v>
      </c>
      <c r="C303" s="28">
        <v>45846</v>
      </c>
      <c r="D303" s="30" t="s">
        <v>272</v>
      </c>
      <c r="E303" s="28" t="s">
        <v>280</v>
      </c>
      <c r="F303" s="28" t="s">
        <v>281</v>
      </c>
      <c r="G303" s="28">
        <v>45875</v>
      </c>
      <c r="H303" s="23" t="s">
        <v>5</v>
      </c>
      <c r="I303" s="33"/>
      <c r="J303" s="23">
        <v>0</v>
      </c>
      <c r="K303" s="23">
        <v>1</v>
      </c>
      <c r="L303" s="35">
        <v>1</v>
      </c>
      <c r="M303" s="23">
        <v>125</v>
      </c>
      <c r="N303" s="23">
        <v>0</v>
      </c>
      <c r="O303" s="49">
        <v>1</v>
      </c>
      <c r="P303" s="45" t="s">
        <v>159</v>
      </c>
      <c r="Q303" s="23" t="s">
        <v>7</v>
      </c>
      <c r="R303" s="23" t="s">
        <v>275</v>
      </c>
      <c r="S303" s="23" t="s">
        <v>9</v>
      </c>
      <c r="T303" s="23">
        <f>SUMIFS($J$1:INDEX(J:J,ROW()-1),$I$1:INDEX(I:I,ROW()-1),"&lt;&gt;Totals:")</f>
        <v>144</v>
      </c>
      <c r="U303" s="22">
        <f>SUMIFS($M$1:INDEX(M:M,ROW()),$I$1:INDEX(I:I,ROW()),"&lt;&gt;*Totals:*")</f>
        <v>4107</v>
      </c>
    </row>
    <row r="304" spans="1:21" ht="12.75" customHeight="1" x14ac:dyDescent="0.25">
      <c r="A304" s="47" t="s">
        <v>40</v>
      </c>
      <c r="B304" s="23" t="s">
        <v>282</v>
      </c>
      <c r="C304" s="28">
        <v>45846</v>
      </c>
      <c r="D304" s="30" t="s">
        <v>272</v>
      </c>
      <c r="E304" s="28" t="s">
        <v>273</v>
      </c>
      <c r="F304" s="28" t="s">
        <v>243</v>
      </c>
      <c r="G304" s="28">
        <v>45875</v>
      </c>
      <c r="H304" s="23" t="s">
        <v>5</v>
      </c>
      <c r="I304" s="33" t="s">
        <v>14</v>
      </c>
      <c r="J304" s="23">
        <v>1</v>
      </c>
      <c r="K304" s="23">
        <v>1</v>
      </c>
      <c r="L304" s="35">
        <v>0</v>
      </c>
      <c r="M304" s="23">
        <v>10</v>
      </c>
      <c r="N304" s="23">
        <v>10</v>
      </c>
      <c r="O304" s="49">
        <v>0</v>
      </c>
      <c r="P304" s="45" t="s">
        <v>159</v>
      </c>
      <c r="Q304" s="23" t="s">
        <v>7</v>
      </c>
      <c r="R304" s="23" t="s">
        <v>275</v>
      </c>
      <c r="S304" s="23" t="s">
        <v>9</v>
      </c>
      <c r="T304" s="23">
        <f>SUMIFS($J$1:INDEX(J:J,ROW()-1),$I$1:INDEX(I:I,ROW()-1),"&lt;&gt;Totals:")</f>
        <v>144</v>
      </c>
      <c r="U304" s="22">
        <f>SUMIFS($M$1:INDEX(M:M,ROW()),$I$1:INDEX(I:I,ROW()),"&lt;&gt;*Totals:*")</f>
        <v>4117</v>
      </c>
    </row>
    <row r="305" spans="1:21" ht="12.75" customHeight="1" x14ac:dyDescent="0.25">
      <c r="A305" s="47" t="s">
        <v>36</v>
      </c>
      <c r="B305" s="23" t="s">
        <v>283</v>
      </c>
      <c r="C305" s="28">
        <v>45846</v>
      </c>
      <c r="D305" s="30" t="s">
        <v>272</v>
      </c>
      <c r="E305" s="28" t="s">
        <v>284</v>
      </c>
      <c r="F305" s="28" t="s">
        <v>243</v>
      </c>
      <c r="G305" s="28">
        <v>45875</v>
      </c>
      <c r="H305" s="23" t="s">
        <v>5</v>
      </c>
      <c r="I305" s="33" t="s">
        <v>14</v>
      </c>
      <c r="J305" s="23">
        <v>1</v>
      </c>
      <c r="K305" s="23">
        <v>1</v>
      </c>
      <c r="L305" s="35">
        <v>0</v>
      </c>
      <c r="M305" s="23">
        <v>4</v>
      </c>
      <c r="N305" s="23">
        <v>4</v>
      </c>
      <c r="O305" s="49">
        <v>0</v>
      </c>
      <c r="P305" s="45" t="s">
        <v>159</v>
      </c>
      <c r="Q305" s="23" t="s">
        <v>7</v>
      </c>
      <c r="R305" s="23" t="s">
        <v>275</v>
      </c>
      <c r="S305" s="23" t="s">
        <v>9</v>
      </c>
      <c r="T305" s="23">
        <f>SUMIFS($J$1:INDEX(J:J,ROW()-1),$I$1:INDEX(I:I,ROW()-1),"&lt;&gt;Totals:")</f>
        <v>145</v>
      </c>
      <c r="U305" s="22">
        <f>SUMIFS($M$1:INDEX(M:M,ROW()),$I$1:INDEX(I:I,ROW()),"&lt;&gt;*Totals:*")</f>
        <v>4121</v>
      </c>
    </row>
    <row r="306" spans="1:21" ht="12.75" customHeight="1" x14ac:dyDescent="0.25">
      <c r="A306" s="47" t="s">
        <v>15</v>
      </c>
      <c r="B306" s="23" t="s">
        <v>279</v>
      </c>
      <c r="C306" s="28">
        <v>45846</v>
      </c>
      <c r="D306" s="30" t="s">
        <v>272</v>
      </c>
      <c r="E306" s="28" t="s">
        <v>284</v>
      </c>
      <c r="F306" s="28" t="s">
        <v>281</v>
      </c>
      <c r="G306" s="28">
        <v>45875</v>
      </c>
      <c r="H306" s="23" t="s">
        <v>5</v>
      </c>
      <c r="I306" s="33" t="s">
        <v>14</v>
      </c>
      <c r="J306" s="23">
        <v>1</v>
      </c>
      <c r="K306" s="23">
        <v>1</v>
      </c>
      <c r="L306" s="35">
        <v>0</v>
      </c>
      <c r="M306" s="23">
        <v>34</v>
      </c>
      <c r="N306" s="23">
        <v>34</v>
      </c>
      <c r="O306" s="49">
        <v>0</v>
      </c>
      <c r="P306" s="45" t="s">
        <v>159</v>
      </c>
      <c r="Q306" s="23" t="s">
        <v>7</v>
      </c>
      <c r="R306" s="23" t="s">
        <v>275</v>
      </c>
      <c r="S306" s="23" t="s">
        <v>9</v>
      </c>
      <c r="T306" s="23">
        <f>SUMIFS($J$1:INDEX(J:J,ROW()-1),$I$1:INDEX(I:I,ROW()-1),"&lt;&gt;Totals:")</f>
        <v>146</v>
      </c>
      <c r="U306" s="22">
        <f>SUMIFS($M$1:INDEX(M:M,ROW()),$I$1:INDEX(I:I,ROW()),"&lt;&gt;*Totals:*")</f>
        <v>4155</v>
      </c>
    </row>
    <row r="307" spans="1:21" ht="12.75" customHeight="1" x14ac:dyDescent="0.25">
      <c r="A307" s="47" t="s">
        <v>0</v>
      </c>
      <c r="B307" s="23" t="s">
        <v>285</v>
      </c>
      <c r="C307" s="28">
        <v>45850</v>
      </c>
      <c r="D307" s="30" t="s">
        <v>272</v>
      </c>
      <c r="E307" s="28" t="s">
        <v>286</v>
      </c>
      <c r="F307" s="28" t="s">
        <v>287</v>
      </c>
      <c r="G307" s="28">
        <v>45879</v>
      </c>
      <c r="H307" s="23" t="s">
        <v>5</v>
      </c>
      <c r="I307" s="33"/>
      <c r="J307" s="23">
        <v>0</v>
      </c>
      <c r="K307" s="23">
        <v>1</v>
      </c>
      <c r="L307" s="35">
        <v>1</v>
      </c>
      <c r="M307" s="23">
        <v>132</v>
      </c>
      <c r="N307" s="23">
        <v>0</v>
      </c>
      <c r="O307" s="49">
        <v>1</v>
      </c>
      <c r="P307" s="45" t="s">
        <v>159</v>
      </c>
      <c r="Q307" s="23" t="s">
        <v>7</v>
      </c>
      <c r="R307" s="23" t="s">
        <v>275</v>
      </c>
      <c r="S307" s="23" t="s">
        <v>9</v>
      </c>
      <c r="T307" s="23">
        <f>SUMIFS($J$1:INDEX(J:J,ROW()-1),$I$1:INDEX(I:I,ROW()-1),"&lt;&gt;Totals:")</f>
        <v>147</v>
      </c>
      <c r="U307" s="22">
        <f>SUMIFS($M$1:INDEX(M:M,ROW()),$I$1:INDEX(I:I,ROW()),"&lt;&gt;*Totals:*")</f>
        <v>4287</v>
      </c>
    </row>
    <row r="308" spans="1:21" ht="12.75" customHeight="1" x14ac:dyDescent="0.25">
      <c r="A308" s="47" t="s">
        <v>40</v>
      </c>
      <c r="B308" s="23" t="s">
        <v>282</v>
      </c>
      <c r="C308" s="28">
        <v>45852</v>
      </c>
      <c r="D308" s="30" t="s">
        <v>272</v>
      </c>
      <c r="E308" s="28" t="s">
        <v>273</v>
      </c>
      <c r="F308" s="28" t="s">
        <v>243</v>
      </c>
      <c r="G308" s="28">
        <v>45881</v>
      </c>
      <c r="H308" s="23" t="s">
        <v>5</v>
      </c>
      <c r="I308" s="33" t="s">
        <v>14</v>
      </c>
      <c r="J308" s="23">
        <v>1</v>
      </c>
      <c r="K308" s="23">
        <v>1</v>
      </c>
      <c r="L308" s="35">
        <v>0</v>
      </c>
      <c r="M308" s="23">
        <v>3</v>
      </c>
      <c r="N308" s="23">
        <v>3</v>
      </c>
      <c r="O308" s="49">
        <v>0</v>
      </c>
      <c r="P308" s="45" t="s">
        <v>159</v>
      </c>
      <c r="Q308" s="23" t="s">
        <v>7</v>
      </c>
      <c r="R308" s="23" t="s">
        <v>275</v>
      </c>
      <c r="S308" s="23" t="s">
        <v>9</v>
      </c>
      <c r="T308" s="23">
        <f>SUMIFS($J$1:INDEX(J:J,ROW()-1),$I$1:INDEX(I:I,ROW()-1),"&lt;&gt;Totals:")</f>
        <v>147</v>
      </c>
      <c r="U308" s="22">
        <f>SUMIFS($M$1:INDEX(M:M,ROW()),$I$1:INDEX(I:I,ROW()),"&lt;&gt;*Totals:*")</f>
        <v>4290</v>
      </c>
    </row>
    <row r="309" spans="1:21" ht="12.75" customHeight="1" thickBot="1" x14ac:dyDescent="0.3">
      <c r="A309" s="51" t="s">
        <v>36</v>
      </c>
      <c r="B309" s="20" t="s">
        <v>283</v>
      </c>
      <c r="C309" s="25">
        <v>45853</v>
      </c>
      <c r="D309" s="27" t="s">
        <v>272</v>
      </c>
      <c r="E309" s="25" t="s">
        <v>284</v>
      </c>
      <c r="F309" s="25" t="s">
        <v>243</v>
      </c>
      <c r="G309" s="25">
        <v>45882</v>
      </c>
      <c r="H309" s="20" t="s">
        <v>5</v>
      </c>
      <c r="I309" s="32" t="s">
        <v>14</v>
      </c>
      <c r="J309" s="20">
        <v>1</v>
      </c>
      <c r="K309" s="20">
        <v>1</v>
      </c>
      <c r="L309" s="34">
        <v>0</v>
      </c>
      <c r="M309" s="20">
        <v>1</v>
      </c>
      <c r="N309" s="20">
        <v>1</v>
      </c>
      <c r="O309" s="54">
        <v>0</v>
      </c>
      <c r="P309" s="45" t="s">
        <v>159</v>
      </c>
      <c r="Q309" s="23" t="s">
        <v>7</v>
      </c>
      <c r="R309" s="23" t="s">
        <v>275</v>
      </c>
      <c r="S309" s="23" t="s">
        <v>9</v>
      </c>
      <c r="T309" s="23">
        <f>SUMIFS($J$1:INDEX(J:J,ROW()-1),$I$1:INDEX(I:I,ROW()-1),"&lt;&gt;Totals:")</f>
        <v>148</v>
      </c>
      <c r="U309" s="22">
        <f>SUMIFS($M$1:INDEX(M:M,ROW()),$I$1:INDEX(I:I,ROW()),"&lt;&gt;*Totals:*")</f>
        <v>4291</v>
      </c>
    </row>
    <row r="310" spans="1:21" ht="17.25" customHeight="1" x14ac:dyDescent="0.25">
      <c r="A310" s="60"/>
      <c r="B310" s="50"/>
      <c r="C310" s="55"/>
      <c r="D310" s="56"/>
      <c r="E310" s="56"/>
      <c r="F310" s="57"/>
      <c r="G310" s="57"/>
      <c r="H310" s="57"/>
      <c r="I310" s="58" t="s">
        <v>1087</v>
      </c>
      <c r="J310" s="57">
        <f>SUM(J301:J309)</f>
        <v>7</v>
      </c>
      <c r="K310" s="57">
        <f>SUM(K301:K309)</f>
        <v>9</v>
      </c>
      <c r="L310" s="59">
        <f>(SUM(K301:K309) - SUM(J301:J309)) / SUM(K301:K309)</f>
        <v>0.22222222222222221</v>
      </c>
      <c r="M310" s="57">
        <f>SUM(M301:M309)</f>
        <v>336</v>
      </c>
      <c r="N310" s="56">
        <f>SUM(N301:N309)</f>
        <v>79</v>
      </c>
      <c r="O310" s="61">
        <f>(SUM(M301:M309) - SUM(N301:N309)) / SUM(M301:M309)</f>
        <v>0.76488095238095233</v>
      </c>
      <c r="P310" s="52"/>
      <c r="Q310" s="53"/>
      <c r="R310" s="52"/>
      <c r="S310" s="52"/>
      <c r="T310" s="52"/>
      <c r="U310" s="52"/>
    </row>
    <row r="311" spans="1:21" x14ac:dyDescent="0.25">
      <c r="A311" s="70"/>
      <c r="B311" s="64"/>
      <c r="C311" s="64"/>
      <c r="D311" s="64"/>
      <c r="E311" s="64"/>
      <c r="F311" s="64"/>
      <c r="G311" s="64"/>
      <c r="H311" s="64"/>
      <c r="I311" s="65" t="s">
        <v>1088</v>
      </c>
      <c r="J311" s="64"/>
      <c r="K311" s="64"/>
      <c r="L311" s="65" t="s">
        <v>1089</v>
      </c>
      <c r="M311" s="64"/>
      <c r="N311" s="64"/>
      <c r="O311" s="72"/>
      <c r="P311" s="62"/>
      <c r="Q311" s="62"/>
      <c r="R311" s="62"/>
      <c r="S311" s="62"/>
      <c r="T311" s="62"/>
      <c r="U311" s="62"/>
    </row>
    <row r="312" spans="1:21" ht="15.75" thickBot="1" x14ac:dyDescent="0.3">
      <c r="A312" s="71"/>
      <c r="B312" s="66"/>
      <c r="C312" s="67"/>
      <c r="D312" s="66"/>
      <c r="E312" s="66"/>
      <c r="F312" s="66"/>
      <c r="G312" s="67"/>
      <c r="H312" s="66"/>
      <c r="I312" s="68">
        <v>148</v>
      </c>
      <c r="J312" s="66"/>
      <c r="K312" s="66"/>
      <c r="L312" s="69">
        <v>4291</v>
      </c>
      <c r="M312" s="66"/>
      <c r="N312" s="66"/>
      <c r="O312" s="73"/>
      <c r="P312" s="63"/>
      <c r="Q312" s="63"/>
      <c r="R312" s="63"/>
      <c r="S312" s="63"/>
      <c r="T312" s="63"/>
      <c r="U312" s="63"/>
    </row>
    <row r="313" spans="1:21" ht="15.75" thickBot="1" x14ac:dyDescent="0.3">
      <c r="C313" s="1"/>
      <c r="G313" s="1"/>
    </row>
    <row r="314" spans="1:21" x14ac:dyDescent="0.25">
      <c r="A314" s="9"/>
      <c r="B314" s="10"/>
      <c r="C314" s="11"/>
      <c r="D314" s="11"/>
      <c r="E314" s="11"/>
      <c r="F314" s="11"/>
      <c r="G314" s="11"/>
      <c r="H314" s="12"/>
      <c r="I314" s="11"/>
      <c r="J314" s="13"/>
      <c r="K314" s="13"/>
      <c r="L314" s="13"/>
      <c r="M314" s="13"/>
      <c r="N314" s="11"/>
      <c r="O314" s="14"/>
      <c r="P314" s="4"/>
      <c r="Q314" s="5"/>
      <c r="R314" s="4"/>
      <c r="S314" s="4"/>
      <c r="T314" s="4"/>
      <c r="U314" s="4"/>
    </row>
    <row r="315" spans="1:21" x14ac:dyDescent="0.25">
      <c r="A315" s="6" t="s">
        <v>1090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15"/>
      <c r="P315" s="3"/>
      <c r="Q315" s="3"/>
      <c r="R315" s="3"/>
      <c r="S315" s="3"/>
      <c r="T315" s="3"/>
      <c r="U315" s="3"/>
    </row>
    <row r="316" spans="1:21" x14ac:dyDescent="0.25">
      <c r="A316" s="7" t="s">
        <v>24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15"/>
      <c r="P316" s="3"/>
      <c r="Q316" s="3"/>
      <c r="R316" s="3"/>
      <c r="S316" s="3"/>
      <c r="T316" s="3"/>
      <c r="U316" s="3"/>
    </row>
    <row r="317" spans="1:21" ht="15.75" thickBot="1" x14ac:dyDescent="0.3">
      <c r="A317" s="8"/>
      <c r="B317" s="8"/>
      <c r="C317" s="74"/>
      <c r="D317" s="8"/>
      <c r="E317" s="8"/>
      <c r="F317" s="8"/>
      <c r="G317" s="74"/>
      <c r="H317" s="8"/>
      <c r="I317" s="8"/>
      <c r="J317" s="8"/>
      <c r="K317" s="8"/>
      <c r="L317" s="8"/>
      <c r="M317" s="8"/>
      <c r="N317" s="8"/>
      <c r="O317" s="16"/>
      <c r="P317" s="3"/>
      <c r="Q317" s="3"/>
      <c r="R317" s="3"/>
      <c r="S317" s="3"/>
      <c r="T317" s="3"/>
      <c r="U317" s="3"/>
    </row>
    <row r="318" spans="1:21" ht="17.25" customHeight="1" thickBot="1" x14ac:dyDescent="0.3">
      <c r="A318" s="19" t="s">
        <v>1068</v>
      </c>
      <c r="B318" s="24" t="s">
        <v>1069</v>
      </c>
      <c r="C318" s="26" t="s">
        <v>1070</v>
      </c>
      <c r="D318" s="29" t="s">
        <v>1071</v>
      </c>
      <c r="E318" s="26" t="s">
        <v>1072</v>
      </c>
      <c r="F318" s="31" t="s">
        <v>1073</v>
      </c>
      <c r="G318" s="31" t="s">
        <v>1074</v>
      </c>
      <c r="H318" s="31" t="s">
        <v>1075</v>
      </c>
      <c r="I318" s="29" t="s">
        <v>14</v>
      </c>
      <c r="J318" s="29" t="s">
        <v>1076</v>
      </c>
      <c r="K318" s="29" t="s">
        <v>1077</v>
      </c>
      <c r="L318" s="29" t="s">
        <v>1078</v>
      </c>
      <c r="M318" s="29" t="s">
        <v>1079</v>
      </c>
      <c r="N318" s="29" t="s">
        <v>1080</v>
      </c>
      <c r="O318" s="36" t="s">
        <v>1081</v>
      </c>
      <c r="P318" s="37" t="s">
        <v>1082</v>
      </c>
      <c r="Q318" s="38" t="s">
        <v>1083</v>
      </c>
      <c r="R318" s="38" t="s">
        <v>1084</v>
      </c>
      <c r="S318" s="38" t="s">
        <v>1085</v>
      </c>
      <c r="T318" s="38" t="s">
        <v>1086</v>
      </c>
      <c r="U318" s="39" t="s">
        <v>1086</v>
      </c>
    </row>
    <row r="319" spans="1:21" ht="12.75" customHeight="1" x14ac:dyDescent="0.25">
      <c r="A319" s="46" t="s">
        <v>17</v>
      </c>
      <c r="B319" s="40" t="s">
        <v>288</v>
      </c>
      <c r="C319" s="41">
        <v>45873</v>
      </c>
      <c r="D319" s="42" t="s">
        <v>289</v>
      </c>
      <c r="E319" s="41" t="s">
        <v>290</v>
      </c>
      <c r="F319" s="41" t="s">
        <v>284</v>
      </c>
      <c r="G319" s="41">
        <v>45902</v>
      </c>
      <c r="H319" s="40" t="s">
        <v>5</v>
      </c>
      <c r="I319" s="43" t="s">
        <v>14</v>
      </c>
      <c r="J319" s="40">
        <v>1</v>
      </c>
      <c r="K319" s="40">
        <v>1</v>
      </c>
      <c r="L319" s="44">
        <v>0</v>
      </c>
      <c r="M319" s="40">
        <v>2</v>
      </c>
      <c r="N319" s="40">
        <v>2</v>
      </c>
      <c r="O319" s="48">
        <v>0</v>
      </c>
      <c r="P319" s="45" t="s">
        <v>159</v>
      </c>
      <c r="Q319" s="23" t="s">
        <v>24</v>
      </c>
      <c r="R319" s="23" t="s">
        <v>291</v>
      </c>
      <c r="S319" s="23" t="s">
        <v>9</v>
      </c>
      <c r="T319" s="23">
        <f>SUMIFS($J$1:INDEX(J:J,ROW()-1),$I$1:INDEX(I:I,ROW()-1),"&lt;&gt;Totals:")</f>
        <v>149</v>
      </c>
      <c r="U319" s="22">
        <f>SUMIFS($M$1:INDEX(M:M,ROW()),$I$1:INDEX(I:I,ROW()),"&lt;&gt;*Totals:*")</f>
        <v>4293</v>
      </c>
    </row>
    <row r="320" spans="1:21" ht="12.75" customHeight="1" x14ac:dyDescent="0.25">
      <c r="A320" s="47" t="s">
        <v>17</v>
      </c>
      <c r="B320" s="23" t="s">
        <v>292</v>
      </c>
      <c r="C320" s="28">
        <v>45873</v>
      </c>
      <c r="D320" s="30" t="s">
        <v>289</v>
      </c>
      <c r="E320" s="28" t="s">
        <v>290</v>
      </c>
      <c r="F320" s="28" t="s">
        <v>293</v>
      </c>
      <c r="G320" s="28">
        <v>45902</v>
      </c>
      <c r="H320" s="23" t="s">
        <v>5</v>
      </c>
      <c r="I320" s="33" t="s">
        <v>14</v>
      </c>
      <c r="J320" s="23">
        <v>1</v>
      </c>
      <c r="K320" s="23">
        <v>1</v>
      </c>
      <c r="L320" s="35">
        <v>0</v>
      </c>
      <c r="M320" s="23">
        <v>24</v>
      </c>
      <c r="N320" s="23">
        <v>24</v>
      </c>
      <c r="O320" s="49">
        <v>0</v>
      </c>
      <c r="P320" s="45" t="s">
        <v>159</v>
      </c>
      <c r="Q320" s="23" t="s">
        <v>24</v>
      </c>
      <c r="R320" s="23" t="s">
        <v>291</v>
      </c>
      <c r="S320" s="23" t="s">
        <v>9</v>
      </c>
      <c r="T320" s="23">
        <f>SUMIFS($J$1:INDEX(J:J,ROW()-1),$I$1:INDEX(I:I,ROW()-1),"&lt;&gt;Totals:")</f>
        <v>150</v>
      </c>
      <c r="U320" s="22">
        <f>SUMIFS($M$1:INDEX(M:M,ROW()),$I$1:INDEX(I:I,ROW()),"&lt;&gt;*Totals:*")</f>
        <v>4317</v>
      </c>
    </row>
    <row r="321" spans="1:21" ht="12.75" customHeight="1" x14ac:dyDescent="0.25">
      <c r="A321" s="47" t="s">
        <v>0</v>
      </c>
      <c r="B321" s="23" t="s">
        <v>285</v>
      </c>
      <c r="C321" s="28">
        <v>45880</v>
      </c>
      <c r="D321" s="30" t="s">
        <v>289</v>
      </c>
      <c r="E321" s="28" t="s">
        <v>273</v>
      </c>
      <c r="F321" s="28" t="s">
        <v>287</v>
      </c>
      <c r="G321" s="28">
        <v>45909</v>
      </c>
      <c r="H321" s="23" t="s">
        <v>5</v>
      </c>
      <c r="I321" s="33" t="s">
        <v>14</v>
      </c>
      <c r="J321" s="23">
        <v>1</v>
      </c>
      <c r="K321" s="23">
        <v>1</v>
      </c>
      <c r="L321" s="35">
        <v>0</v>
      </c>
      <c r="M321" s="23">
        <v>8</v>
      </c>
      <c r="N321" s="23">
        <v>8</v>
      </c>
      <c r="O321" s="49">
        <v>0</v>
      </c>
      <c r="P321" s="45" t="s">
        <v>159</v>
      </c>
      <c r="Q321" s="23" t="s">
        <v>24</v>
      </c>
      <c r="R321" s="23" t="s">
        <v>291</v>
      </c>
      <c r="S321" s="23" t="s">
        <v>9</v>
      </c>
      <c r="T321" s="23">
        <f>SUMIFS($J$1:INDEX(J:J,ROW()-1),$I$1:INDEX(I:I,ROW()-1),"&lt;&gt;Totals:")</f>
        <v>151</v>
      </c>
      <c r="U321" s="22">
        <f>SUMIFS($M$1:INDEX(M:M,ROW()),$I$1:INDEX(I:I,ROW()),"&lt;&gt;*Totals:*")</f>
        <v>4325</v>
      </c>
    </row>
    <row r="322" spans="1:21" ht="12.75" customHeight="1" x14ac:dyDescent="0.25">
      <c r="A322" s="47" t="s">
        <v>0</v>
      </c>
      <c r="B322" s="23" t="s">
        <v>294</v>
      </c>
      <c r="C322" s="28">
        <v>45881</v>
      </c>
      <c r="D322" s="30" t="s">
        <v>289</v>
      </c>
      <c r="E322" s="28" t="s">
        <v>273</v>
      </c>
      <c r="F322" s="28" t="s">
        <v>295</v>
      </c>
      <c r="G322" s="28">
        <v>45910</v>
      </c>
      <c r="H322" s="23" t="s">
        <v>5</v>
      </c>
      <c r="I322" s="33" t="s">
        <v>14</v>
      </c>
      <c r="J322" s="23">
        <v>1</v>
      </c>
      <c r="K322" s="23">
        <v>1</v>
      </c>
      <c r="L322" s="35">
        <v>0</v>
      </c>
      <c r="M322" s="23">
        <v>3</v>
      </c>
      <c r="N322" s="23">
        <v>3</v>
      </c>
      <c r="O322" s="49">
        <v>0</v>
      </c>
      <c r="P322" s="45" t="s">
        <v>159</v>
      </c>
      <c r="Q322" s="23" t="s">
        <v>24</v>
      </c>
      <c r="R322" s="23" t="s">
        <v>291</v>
      </c>
      <c r="S322" s="23" t="s">
        <v>9</v>
      </c>
      <c r="T322" s="23">
        <f>SUMIFS($J$1:INDEX(J:J,ROW()-1),$I$1:INDEX(I:I,ROW()-1),"&lt;&gt;Totals:")</f>
        <v>152</v>
      </c>
      <c r="U322" s="22">
        <f>SUMIFS($M$1:INDEX(M:M,ROW()),$I$1:INDEX(I:I,ROW()),"&lt;&gt;*Totals:*")</f>
        <v>4328</v>
      </c>
    </row>
    <row r="323" spans="1:21" ht="12.75" customHeight="1" x14ac:dyDescent="0.25">
      <c r="A323" s="47" t="s">
        <v>10</v>
      </c>
      <c r="B323" s="23" t="s">
        <v>296</v>
      </c>
      <c r="C323" s="28">
        <v>45883</v>
      </c>
      <c r="D323" s="30" t="s">
        <v>289</v>
      </c>
      <c r="E323" s="28" t="s">
        <v>297</v>
      </c>
      <c r="F323" s="28" t="s">
        <v>298</v>
      </c>
      <c r="G323" s="28">
        <v>45912</v>
      </c>
      <c r="H323" s="23" t="s">
        <v>5</v>
      </c>
      <c r="I323" s="33" t="s">
        <v>14</v>
      </c>
      <c r="J323" s="23">
        <v>1</v>
      </c>
      <c r="K323" s="23">
        <v>1</v>
      </c>
      <c r="L323" s="35">
        <v>0</v>
      </c>
      <c r="M323" s="23">
        <v>99</v>
      </c>
      <c r="N323" s="23">
        <v>99</v>
      </c>
      <c r="O323" s="49">
        <v>0</v>
      </c>
      <c r="P323" s="45" t="s">
        <v>159</v>
      </c>
      <c r="Q323" s="23" t="s">
        <v>24</v>
      </c>
      <c r="R323" s="23" t="s">
        <v>291</v>
      </c>
      <c r="S323" s="23" t="s">
        <v>9</v>
      </c>
      <c r="T323" s="23">
        <f>SUMIFS($J$1:INDEX(J:J,ROW()-1),$I$1:INDEX(I:I,ROW()-1),"&lt;&gt;Totals:")</f>
        <v>153</v>
      </c>
      <c r="U323" s="22">
        <f>SUMIFS($M$1:INDEX(M:M,ROW()),$I$1:INDEX(I:I,ROW()),"&lt;&gt;*Totals:*")</f>
        <v>4427</v>
      </c>
    </row>
    <row r="324" spans="1:21" ht="12.75" customHeight="1" x14ac:dyDescent="0.25">
      <c r="A324" s="47" t="s">
        <v>40</v>
      </c>
      <c r="B324" s="23" t="s">
        <v>299</v>
      </c>
      <c r="C324" s="28">
        <v>45883</v>
      </c>
      <c r="D324" s="30" t="s">
        <v>289</v>
      </c>
      <c r="E324" s="28" t="s">
        <v>300</v>
      </c>
      <c r="F324" s="28" t="s">
        <v>295</v>
      </c>
      <c r="G324" s="28">
        <v>45912</v>
      </c>
      <c r="H324" s="23" t="s">
        <v>5</v>
      </c>
      <c r="I324" s="33" t="s">
        <v>14</v>
      </c>
      <c r="J324" s="23">
        <v>1</v>
      </c>
      <c r="K324" s="23">
        <v>1</v>
      </c>
      <c r="L324" s="35">
        <v>0</v>
      </c>
      <c r="M324" s="23">
        <v>13</v>
      </c>
      <c r="N324" s="23">
        <v>13</v>
      </c>
      <c r="O324" s="49">
        <v>0</v>
      </c>
      <c r="P324" s="45" t="s">
        <v>159</v>
      </c>
      <c r="Q324" s="23" t="s">
        <v>24</v>
      </c>
      <c r="R324" s="23" t="s">
        <v>291</v>
      </c>
      <c r="S324" s="23" t="s">
        <v>9</v>
      </c>
      <c r="T324" s="23">
        <f>SUMIFS($J$1:INDEX(J:J,ROW()-1),$I$1:INDEX(I:I,ROW()-1),"&lt;&gt;Totals:")</f>
        <v>154</v>
      </c>
      <c r="U324" s="22">
        <f>SUMIFS($M$1:INDEX(M:M,ROW()),$I$1:INDEX(I:I,ROW()),"&lt;&gt;*Totals:*")</f>
        <v>4440</v>
      </c>
    </row>
    <row r="325" spans="1:21" ht="12.75" customHeight="1" x14ac:dyDescent="0.25">
      <c r="A325" s="47" t="s">
        <v>15</v>
      </c>
      <c r="B325" s="23" t="s">
        <v>296</v>
      </c>
      <c r="C325" s="28">
        <v>45883</v>
      </c>
      <c r="D325" s="30" t="s">
        <v>289</v>
      </c>
      <c r="E325" s="28" t="s">
        <v>301</v>
      </c>
      <c r="F325" s="28" t="s">
        <v>302</v>
      </c>
      <c r="G325" s="28">
        <v>45912</v>
      </c>
      <c r="H325" s="23" t="s">
        <v>5</v>
      </c>
      <c r="I325" s="33" t="s">
        <v>14</v>
      </c>
      <c r="J325" s="23">
        <v>1</v>
      </c>
      <c r="K325" s="23">
        <v>1</v>
      </c>
      <c r="L325" s="35">
        <v>0</v>
      </c>
      <c r="M325" s="23">
        <v>31</v>
      </c>
      <c r="N325" s="23">
        <v>31</v>
      </c>
      <c r="O325" s="49">
        <v>0</v>
      </c>
      <c r="P325" s="45" t="s">
        <v>159</v>
      </c>
      <c r="Q325" s="23" t="s">
        <v>24</v>
      </c>
      <c r="R325" s="23" t="s">
        <v>291</v>
      </c>
      <c r="S325" s="23" t="s">
        <v>9</v>
      </c>
      <c r="T325" s="23">
        <f>SUMIFS($J$1:INDEX(J:J,ROW()-1),$I$1:INDEX(I:I,ROW()-1),"&lt;&gt;Totals:")</f>
        <v>155</v>
      </c>
      <c r="U325" s="22">
        <f>SUMIFS($M$1:INDEX(M:M,ROW()),$I$1:INDEX(I:I,ROW()),"&lt;&gt;*Totals:*")</f>
        <v>4471</v>
      </c>
    </row>
    <row r="326" spans="1:21" ht="12.75" customHeight="1" x14ac:dyDescent="0.25">
      <c r="A326" s="47" t="s">
        <v>36</v>
      </c>
      <c r="B326" s="23" t="s">
        <v>303</v>
      </c>
      <c r="C326" s="28">
        <v>45883</v>
      </c>
      <c r="D326" s="30" t="s">
        <v>289</v>
      </c>
      <c r="E326" s="28" t="s">
        <v>300</v>
      </c>
      <c r="F326" s="28" t="s">
        <v>252</v>
      </c>
      <c r="G326" s="28">
        <v>45912</v>
      </c>
      <c r="H326" s="23" t="s">
        <v>5</v>
      </c>
      <c r="I326" s="33" t="s">
        <v>14</v>
      </c>
      <c r="J326" s="23">
        <v>1</v>
      </c>
      <c r="K326" s="23">
        <v>1</v>
      </c>
      <c r="L326" s="35">
        <v>0</v>
      </c>
      <c r="M326" s="23">
        <v>5</v>
      </c>
      <c r="N326" s="23">
        <v>5</v>
      </c>
      <c r="O326" s="49">
        <v>0</v>
      </c>
      <c r="P326" s="45" t="s">
        <v>159</v>
      </c>
      <c r="Q326" s="23" t="s">
        <v>24</v>
      </c>
      <c r="R326" s="23" t="s">
        <v>291</v>
      </c>
      <c r="S326" s="23" t="s">
        <v>9</v>
      </c>
      <c r="T326" s="23">
        <f>SUMIFS($J$1:INDEX(J:J,ROW()-1),$I$1:INDEX(I:I,ROW()-1),"&lt;&gt;Totals:")</f>
        <v>156</v>
      </c>
      <c r="U326" s="22">
        <f>SUMIFS($M$1:INDEX(M:M,ROW()),$I$1:INDEX(I:I,ROW()),"&lt;&gt;*Totals:*")</f>
        <v>4476</v>
      </c>
    </row>
    <row r="327" spans="1:21" ht="12.75" customHeight="1" x14ac:dyDescent="0.25">
      <c r="A327" s="47" t="s">
        <v>0</v>
      </c>
      <c r="B327" s="23" t="s">
        <v>304</v>
      </c>
      <c r="C327" s="28">
        <v>45884</v>
      </c>
      <c r="D327" s="30" t="s">
        <v>289</v>
      </c>
      <c r="E327" s="28" t="s">
        <v>305</v>
      </c>
      <c r="F327" s="28" t="s">
        <v>306</v>
      </c>
      <c r="G327" s="28">
        <v>45913</v>
      </c>
      <c r="H327" s="23" t="s">
        <v>5</v>
      </c>
      <c r="I327" s="33"/>
      <c r="J327" s="23">
        <v>0</v>
      </c>
      <c r="K327" s="23">
        <v>1</v>
      </c>
      <c r="L327" s="35">
        <v>1</v>
      </c>
      <c r="M327" s="23">
        <v>109</v>
      </c>
      <c r="N327" s="23">
        <v>0</v>
      </c>
      <c r="O327" s="49">
        <v>1</v>
      </c>
      <c r="P327" s="45" t="s">
        <v>159</v>
      </c>
      <c r="Q327" s="23" t="s">
        <v>24</v>
      </c>
      <c r="R327" s="23" t="s">
        <v>291</v>
      </c>
      <c r="S327" s="23" t="s">
        <v>9</v>
      </c>
      <c r="T327" s="23">
        <f>SUMIFS($J$1:INDEX(J:J,ROW()-1),$I$1:INDEX(I:I,ROW()-1),"&lt;&gt;Totals:")</f>
        <v>157</v>
      </c>
      <c r="U327" s="22">
        <f>SUMIFS($M$1:INDEX(M:M,ROW()),$I$1:INDEX(I:I,ROW()),"&lt;&gt;*Totals:*")</f>
        <v>4585</v>
      </c>
    </row>
    <row r="328" spans="1:21" ht="12.75" customHeight="1" x14ac:dyDescent="0.25">
      <c r="A328" s="47" t="s">
        <v>0</v>
      </c>
      <c r="B328" s="23" t="s">
        <v>285</v>
      </c>
      <c r="C328" s="28">
        <v>45886</v>
      </c>
      <c r="D328" s="30" t="s">
        <v>289</v>
      </c>
      <c r="E328" s="28" t="s">
        <v>273</v>
      </c>
      <c r="F328" s="28" t="s">
        <v>287</v>
      </c>
      <c r="G328" s="28">
        <v>45915</v>
      </c>
      <c r="H328" s="23" t="s">
        <v>5</v>
      </c>
      <c r="I328" s="33"/>
      <c r="J328" s="23">
        <v>0</v>
      </c>
      <c r="K328" s="23">
        <v>1</v>
      </c>
      <c r="L328" s="35">
        <v>1</v>
      </c>
      <c r="M328" s="23">
        <v>9</v>
      </c>
      <c r="N328" s="23">
        <v>0</v>
      </c>
      <c r="O328" s="49">
        <v>1</v>
      </c>
      <c r="P328" s="45" t="s">
        <v>159</v>
      </c>
      <c r="Q328" s="23" t="s">
        <v>24</v>
      </c>
      <c r="R328" s="23" t="s">
        <v>291</v>
      </c>
      <c r="S328" s="23" t="s">
        <v>9</v>
      </c>
      <c r="T328" s="23">
        <f>SUMIFS($J$1:INDEX(J:J,ROW()-1),$I$1:INDEX(I:I,ROW()-1),"&lt;&gt;Totals:")</f>
        <v>157</v>
      </c>
      <c r="U328" s="22">
        <f>SUMIFS($M$1:INDEX(M:M,ROW()),$I$1:INDEX(I:I,ROW()),"&lt;&gt;*Totals:*")</f>
        <v>4594</v>
      </c>
    </row>
    <row r="329" spans="1:21" ht="12.75" customHeight="1" x14ac:dyDescent="0.25">
      <c r="A329" s="47" t="s">
        <v>10</v>
      </c>
      <c r="B329" s="23" t="s">
        <v>296</v>
      </c>
      <c r="C329" s="28">
        <v>45889</v>
      </c>
      <c r="D329" s="30" t="s">
        <v>289</v>
      </c>
      <c r="E329" s="28" t="s">
        <v>297</v>
      </c>
      <c r="F329" s="28" t="s">
        <v>298</v>
      </c>
      <c r="G329" s="28">
        <v>45918</v>
      </c>
      <c r="H329" s="23" t="s">
        <v>5</v>
      </c>
      <c r="I329" s="33" t="s">
        <v>14</v>
      </c>
      <c r="J329" s="23">
        <v>1</v>
      </c>
      <c r="K329" s="23">
        <v>1</v>
      </c>
      <c r="L329" s="35">
        <v>0</v>
      </c>
      <c r="M329" s="23">
        <v>9</v>
      </c>
      <c r="N329" s="23">
        <v>9</v>
      </c>
      <c r="O329" s="49">
        <v>0</v>
      </c>
      <c r="P329" s="45" t="s">
        <v>159</v>
      </c>
      <c r="Q329" s="23" t="s">
        <v>24</v>
      </c>
      <c r="R329" s="23" t="s">
        <v>291</v>
      </c>
      <c r="S329" s="23" t="s">
        <v>9</v>
      </c>
      <c r="T329" s="23">
        <f>SUMIFS($J$1:INDEX(J:J,ROW()-1),$I$1:INDEX(I:I,ROW()-1),"&lt;&gt;Totals:")</f>
        <v>157</v>
      </c>
      <c r="U329" s="22">
        <f>SUMIFS($M$1:INDEX(M:M,ROW()),$I$1:INDEX(I:I,ROW()),"&lt;&gt;*Totals:*")</f>
        <v>4603</v>
      </c>
    </row>
    <row r="330" spans="1:21" ht="12.75" customHeight="1" x14ac:dyDescent="0.25">
      <c r="A330" s="47" t="s">
        <v>15</v>
      </c>
      <c r="B330" s="23" t="s">
        <v>296</v>
      </c>
      <c r="C330" s="28">
        <v>45889</v>
      </c>
      <c r="D330" s="30" t="s">
        <v>289</v>
      </c>
      <c r="E330" s="28" t="s">
        <v>301</v>
      </c>
      <c r="F330" s="28" t="s">
        <v>302</v>
      </c>
      <c r="G330" s="28">
        <v>45918</v>
      </c>
      <c r="H330" s="23" t="s">
        <v>5</v>
      </c>
      <c r="I330" s="33" t="s">
        <v>14</v>
      </c>
      <c r="J330" s="23">
        <v>1</v>
      </c>
      <c r="K330" s="23">
        <v>1</v>
      </c>
      <c r="L330" s="35">
        <v>0</v>
      </c>
      <c r="M330" s="23">
        <v>4</v>
      </c>
      <c r="N330" s="23">
        <v>4</v>
      </c>
      <c r="O330" s="49">
        <v>0</v>
      </c>
      <c r="P330" s="45" t="s">
        <v>159</v>
      </c>
      <c r="Q330" s="23" t="s">
        <v>24</v>
      </c>
      <c r="R330" s="23" t="s">
        <v>291</v>
      </c>
      <c r="S330" s="23" t="s">
        <v>9</v>
      </c>
      <c r="T330" s="23">
        <f>SUMIFS($J$1:INDEX(J:J,ROW()-1),$I$1:INDEX(I:I,ROW()-1),"&lt;&gt;Totals:")</f>
        <v>158</v>
      </c>
      <c r="U330" s="22">
        <f>SUMIFS($M$1:INDEX(M:M,ROW()),$I$1:INDEX(I:I,ROW()),"&lt;&gt;*Totals:*")</f>
        <v>4607</v>
      </c>
    </row>
    <row r="331" spans="1:21" ht="12.75" customHeight="1" x14ac:dyDescent="0.25">
      <c r="A331" s="47" t="s">
        <v>0</v>
      </c>
      <c r="B331" s="23" t="s">
        <v>304</v>
      </c>
      <c r="C331" s="28">
        <v>45891</v>
      </c>
      <c r="D331" s="30" t="s">
        <v>289</v>
      </c>
      <c r="E331" s="28" t="s">
        <v>301</v>
      </c>
      <c r="F331" s="28" t="s">
        <v>306</v>
      </c>
      <c r="G331" s="28">
        <v>45920</v>
      </c>
      <c r="H331" s="23" t="s">
        <v>5</v>
      </c>
      <c r="I331" s="33" t="s">
        <v>14</v>
      </c>
      <c r="J331" s="23">
        <v>1</v>
      </c>
      <c r="K331" s="23">
        <v>1</v>
      </c>
      <c r="L331" s="35">
        <v>0</v>
      </c>
      <c r="M331" s="23">
        <v>6</v>
      </c>
      <c r="N331" s="23">
        <v>6</v>
      </c>
      <c r="O331" s="49">
        <v>0</v>
      </c>
      <c r="P331" s="45" t="s">
        <v>159</v>
      </c>
      <c r="Q331" s="23" t="s">
        <v>24</v>
      </c>
      <c r="R331" s="23" t="s">
        <v>291</v>
      </c>
      <c r="S331" s="23" t="s">
        <v>9</v>
      </c>
      <c r="T331" s="23">
        <f>SUMIFS($J$1:INDEX(J:J,ROW()-1),$I$1:INDEX(I:I,ROW()-1),"&lt;&gt;Totals:")</f>
        <v>159</v>
      </c>
      <c r="U331" s="22">
        <f>SUMIFS($M$1:INDEX(M:M,ROW()),$I$1:INDEX(I:I,ROW()),"&lt;&gt;*Totals:*")</f>
        <v>4613</v>
      </c>
    </row>
    <row r="332" spans="1:21" ht="12.75" customHeight="1" x14ac:dyDescent="0.25">
      <c r="A332" s="47" t="s">
        <v>10</v>
      </c>
      <c r="B332" s="23" t="s">
        <v>296</v>
      </c>
      <c r="C332" s="28">
        <v>45893</v>
      </c>
      <c r="D332" s="30" t="s">
        <v>289</v>
      </c>
      <c r="E332" s="28" t="s">
        <v>297</v>
      </c>
      <c r="F332" s="28" t="s">
        <v>298</v>
      </c>
      <c r="G332" s="28">
        <v>45922</v>
      </c>
      <c r="H332" s="23" t="s">
        <v>5</v>
      </c>
      <c r="I332" s="33" t="s">
        <v>14</v>
      </c>
      <c r="J332" s="23">
        <v>1</v>
      </c>
      <c r="K332" s="23">
        <v>1</v>
      </c>
      <c r="L332" s="35">
        <v>0</v>
      </c>
      <c r="M332" s="23">
        <v>6</v>
      </c>
      <c r="N332" s="23">
        <v>6</v>
      </c>
      <c r="O332" s="49">
        <v>0</v>
      </c>
      <c r="P332" s="45" t="s">
        <v>159</v>
      </c>
      <c r="Q332" s="23" t="s">
        <v>24</v>
      </c>
      <c r="R332" s="23" t="s">
        <v>291</v>
      </c>
      <c r="S332" s="23" t="s">
        <v>9</v>
      </c>
      <c r="T332" s="23">
        <f>SUMIFS($J$1:INDEX(J:J,ROW()-1),$I$1:INDEX(I:I,ROW()-1),"&lt;&gt;Totals:")</f>
        <v>160</v>
      </c>
      <c r="U332" s="22">
        <f>SUMIFS($M$1:INDEX(M:M,ROW()),$I$1:INDEX(I:I,ROW()),"&lt;&gt;*Totals:*")</f>
        <v>4619</v>
      </c>
    </row>
    <row r="333" spans="1:21" ht="12.75" customHeight="1" thickBot="1" x14ac:dyDescent="0.3">
      <c r="A333" s="51" t="s">
        <v>0</v>
      </c>
      <c r="B333" s="20" t="s">
        <v>304</v>
      </c>
      <c r="C333" s="25">
        <v>45893</v>
      </c>
      <c r="D333" s="27" t="s">
        <v>289</v>
      </c>
      <c r="E333" s="25" t="s">
        <v>301</v>
      </c>
      <c r="F333" s="25" t="s">
        <v>306</v>
      </c>
      <c r="G333" s="25">
        <v>45922</v>
      </c>
      <c r="H333" s="20" t="s">
        <v>5</v>
      </c>
      <c r="I333" s="32" t="s">
        <v>14</v>
      </c>
      <c r="J333" s="20">
        <v>1</v>
      </c>
      <c r="K333" s="20">
        <v>1</v>
      </c>
      <c r="L333" s="34">
        <v>0</v>
      </c>
      <c r="M333" s="20">
        <v>17</v>
      </c>
      <c r="N333" s="20">
        <v>17</v>
      </c>
      <c r="O333" s="54">
        <v>0</v>
      </c>
      <c r="P333" s="45" t="s">
        <v>159</v>
      </c>
      <c r="Q333" s="23" t="s">
        <v>24</v>
      </c>
      <c r="R333" s="23" t="s">
        <v>291</v>
      </c>
      <c r="S333" s="23" t="s">
        <v>9</v>
      </c>
      <c r="T333" s="23">
        <f>SUMIFS($J$1:INDEX(J:J,ROW()-1),$I$1:INDEX(I:I,ROW()-1),"&lt;&gt;Totals:")</f>
        <v>161</v>
      </c>
      <c r="U333" s="22">
        <f>SUMIFS($M$1:INDEX(M:M,ROW()),$I$1:INDEX(I:I,ROW()),"&lt;&gt;*Totals:*")</f>
        <v>4636</v>
      </c>
    </row>
    <row r="334" spans="1:21" ht="17.25" customHeight="1" x14ac:dyDescent="0.25">
      <c r="A334" s="60"/>
      <c r="B334" s="50"/>
      <c r="C334" s="55"/>
      <c r="D334" s="56"/>
      <c r="E334" s="56"/>
      <c r="F334" s="57"/>
      <c r="G334" s="57"/>
      <c r="H334" s="57"/>
      <c r="I334" s="58" t="s">
        <v>1087</v>
      </c>
      <c r="J334" s="57">
        <f>SUM(J319:J333)</f>
        <v>13</v>
      </c>
      <c r="K334" s="57">
        <f>SUM(K319:K333)</f>
        <v>15</v>
      </c>
      <c r="L334" s="59">
        <f>(SUM(K319:K333) - SUM(J319:J333)) / SUM(K319:K333)</f>
        <v>0.13333333333333333</v>
      </c>
      <c r="M334" s="57">
        <f>SUM(M319:M333)</f>
        <v>345</v>
      </c>
      <c r="N334" s="56">
        <f>SUM(N319:N333)</f>
        <v>227</v>
      </c>
      <c r="O334" s="61">
        <f>(SUM(M319:M333) - SUM(N319:N333)) / SUM(M319:M333)</f>
        <v>0.34202898550724636</v>
      </c>
      <c r="P334" s="52"/>
      <c r="Q334" s="53"/>
      <c r="R334" s="52"/>
      <c r="S334" s="52"/>
      <c r="T334" s="52"/>
      <c r="U334" s="52"/>
    </row>
    <row r="335" spans="1:21" x14ac:dyDescent="0.25">
      <c r="A335" s="70"/>
      <c r="B335" s="64"/>
      <c r="C335" s="64"/>
      <c r="D335" s="64"/>
      <c r="E335" s="64"/>
      <c r="F335" s="64"/>
      <c r="G335" s="64"/>
      <c r="H335" s="64"/>
      <c r="I335" s="65" t="s">
        <v>1088</v>
      </c>
      <c r="J335" s="64"/>
      <c r="K335" s="64"/>
      <c r="L335" s="65" t="s">
        <v>1089</v>
      </c>
      <c r="M335" s="64"/>
      <c r="N335" s="64"/>
      <c r="O335" s="72"/>
      <c r="P335" s="62"/>
      <c r="Q335" s="62"/>
      <c r="R335" s="62"/>
      <c r="S335" s="62"/>
      <c r="T335" s="62"/>
      <c r="U335" s="62"/>
    </row>
    <row r="336" spans="1:21" ht="15.75" thickBot="1" x14ac:dyDescent="0.3">
      <c r="A336" s="71"/>
      <c r="B336" s="66"/>
      <c r="C336" s="67"/>
      <c r="D336" s="66"/>
      <c r="E336" s="66"/>
      <c r="F336" s="66"/>
      <c r="G336" s="67"/>
      <c r="H336" s="66"/>
      <c r="I336" s="68">
        <v>161</v>
      </c>
      <c r="J336" s="66"/>
      <c r="K336" s="66"/>
      <c r="L336" s="69">
        <v>4636</v>
      </c>
      <c r="M336" s="66"/>
      <c r="N336" s="66"/>
      <c r="O336" s="73"/>
      <c r="P336" s="63"/>
      <c r="Q336" s="63"/>
      <c r="R336" s="63"/>
      <c r="S336" s="63"/>
      <c r="T336" s="63"/>
      <c r="U336" s="63"/>
    </row>
    <row r="337" spans="1:21" ht="15.75" thickBot="1" x14ac:dyDescent="0.3">
      <c r="C337" s="1"/>
      <c r="G337" s="1"/>
    </row>
    <row r="338" spans="1:21" x14ac:dyDescent="0.25">
      <c r="A338" s="9"/>
      <c r="B338" s="10"/>
      <c r="C338" s="11"/>
      <c r="D338" s="11"/>
      <c r="E338" s="11"/>
      <c r="F338" s="11"/>
      <c r="G338" s="11"/>
      <c r="H338" s="12"/>
      <c r="I338" s="11"/>
      <c r="J338" s="13"/>
      <c r="K338" s="13"/>
      <c r="L338" s="13"/>
      <c r="M338" s="13"/>
      <c r="N338" s="11"/>
      <c r="O338" s="14"/>
      <c r="P338" s="4"/>
      <c r="Q338" s="5"/>
      <c r="R338" s="4"/>
      <c r="S338" s="4"/>
      <c r="T338" s="4"/>
      <c r="U338" s="4"/>
    </row>
    <row r="339" spans="1:21" x14ac:dyDescent="0.25">
      <c r="A339" s="6" t="s">
        <v>1090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15"/>
      <c r="P339" s="3"/>
      <c r="Q339" s="3"/>
      <c r="R339" s="3"/>
      <c r="S339" s="3"/>
      <c r="T339" s="3"/>
      <c r="U339" s="3"/>
    </row>
    <row r="340" spans="1:21" x14ac:dyDescent="0.25">
      <c r="A340" s="7" t="s">
        <v>55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15"/>
      <c r="P340" s="3"/>
      <c r="Q340" s="3"/>
      <c r="R340" s="3"/>
      <c r="S340" s="3"/>
      <c r="T340" s="3"/>
      <c r="U340" s="3"/>
    </row>
    <row r="341" spans="1:21" ht="15.75" thickBot="1" x14ac:dyDescent="0.3">
      <c r="A341" s="8"/>
      <c r="B341" s="8"/>
      <c r="C341" s="74"/>
      <c r="D341" s="8"/>
      <c r="E341" s="8"/>
      <c r="F341" s="8"/>
      <c r="G341" s="74"/>
      <c r="H341" s="8"/>
      <c r="I341" s="8"/>
      <c r="J341" s="8"/>
      <c r="K341" s="8"/>
      <c r="L341" s="8"/>
      <c r="M341" s="8"/>
      <c r="N341" s="8"/>
      <c r="O341" s="16"/>
      <c r="P341" s="3"/>
      <c r="Q341" s="3"/>
      <c r="R341" s="3"/>
      <c r="S341" s="3"/>
      <c r="T341" s="3"/>
      <c r="U341" s="3"/>
    </row>
    <row r="342" spans="1:21" ht="17.25" customHeight="1" thickBot="1" x14ac:dyDescent="0.3">
      <c r="A342" s="19" t="s">
        <v>1068</v>
      </c>
      <c r="B342" s="24" t="s">
        <v>1069</v>
      </c>
      <c r="C342" s="26" t="s">
        <v>1070</v>
      </c>
      <c r="D342" s="29" t="s">
        <v>1071</v>
      </c>
      <c r="E342" s="26" t="s">
        <v>1072</v>
      </c>
      <c r="F342" s="31" t="s">
        <v>1073</v>
      </c>
      <c r="G342" s="31" t="s">
        <v>1074</v>
      </c>
      <c r="H342" s="31" t="s">
        <v>1075</v>
      </c>
      <c r="I342" s="29" t="s">
        <v>14</v>
      </c>
      <c r="J342" s="29" t="s">
        <v>1076</v>
      </c>
      <c r="K342" s="29" t="s">
        <v>1077</v>
      </c>
      <c r="L342" s="29" t="s">
        <v>1078</v>
      </c>
      <c r="M342" s="29" t="s">
        <v>1079</v>
      </c>
      <c r="N342" s="29" t="s">
        <v>1080</v>
      </c>
      <c r="O342" s="36" t="s">
        <v>1081</v>
      </c>
      <c r="P342" s="37" t="s">
        <v>1082</v>
      </c>
      <c r="Q342" s="38" t="s">
        <v>1083</v>
      </c>
      <c r="R342" s="38" t="s">
        <v>1084</v>
      </c>
      <c r="S342" s="38" t="s">
        <v>1085</v>
      </c>
      <c r="T342" s="38" t="s">
        <v>1086</v>
      </c>
      <c r="U342" s="39" t="s">
        <v>1086</v>
      </c>
    </row>
    <row r="343" spans="1:21" ht="12.75" customHeight="1" x14ac:dyDescent="0.25">
      <c r="A343" s="46" t="s">
        <v>17</v>
      </c>
      <c r="B343" s="40" t="s">
        <v>307</v>
      </c>
      <c r="C343" s="41">
        <v>45901</v>
      </c>
      <c r="D343" s="42" t="s">
        <v>308</v>
      </c>
      <c r="E343" s="41" t="s">
        <v>309</v>
      </c>
      <c r="F343" s="41" t="s">
        <v>310</v>
      </c>
      <c r="G343" s="41">
        <v>45930</v>
      </c>
      <c r="H343" s="40" t="s">
        <v>5</v>
      </c>
      <c r="I343" s="43" t="s">
        <v>14</v>
      </c>
      <c r="J343" s="40">
        <v>1</v>
      </c>
      <c r="K343" s="40">
        <v>1</v>
      </c>
      <c r="L343" s="44">
        <v>0</v>
      </c>
      <c r="M343" s="40">
        <v>27</v>
      </c>
      <c r="N343" s="40">
        <v>27</v>
      </c>
      <c r="O343" s="48">
        <v>0</v>
      </c>
      <c r="P343" s="45" t="s">
        <v>159</v>
      </c>
      <c r="Q343" s="23" t="s">
        <v>55</v>
      </c>
      <c r="R343" s="23" t="s">
        <v>311</v>
      </c>
      <c r="S343" s="23" t="s">
        <v>9</v>
      </c>
      <c r="T343" s="23">
        <f>SUMIFS($J$1:INDEX(J:J,ROW()-1),$I$1:INDEX(I:I,ROW()-1),"&lt;&gt;Totals:")</f>
        <v>162</v>
      </c>
      <c r="U343" s="22">
        <f>SUMIFS($M$1:INDEX(M:M,ROW()),$I$1:INDEX(I:I,ROW()),"&lt;&gt;*Totals:*")</f>
        <v>4663</v>
      </c>
    </row>
    <row r="344" spans="1:21" ht="12.75" customHeight="1" x14ac:dyDescent="0.25">
      <c r="A344" s="47" t="s">
        <v>10</v>
      </c>
      <c r="B344" s="23" t="s">
        <v>296</v>
      </c>
      <c r="C344" s="28">
        <v>45903</v>
      </c>
      <c r="D344" s="30" t="s">
        <v>308</v>
      </c>
      <c r="E344" s="28" t="s">
        <v>297</v>
      </c>
      <c r="F344" s="28" t="s">
        <v>298</v>
      </c>
      <c r="G344" s="28">
        <v>45932</v>
      </c>
      <c r="H344" s="23" t="s">
        <v>5</v>
      </c>
      <c r="I344" s="33" t="s">
        <v>14</v>
      </c>
      <c r="J344" s="23">
        <v>1</v>
      </c>
      <c r="K344" s="23">
        <v>1</v>
      </c>
      <c r="L344" s="35">
        <v>0</v>
      </c>
      <c r="M344" s="23">
        <v>1</v>
      </c>
      <c r="N344" s="23">
        <v>1</v>
      </c>
      <c r="O344" s="49">
        <v>0</v>
      </c>
      <c r="P344" s="45" t="s">
        <v>159</v>
      </c>
      <c r="Q344" s="23" t="s">
        <v>55</v>
      </c>
      <c r="R344" s="23" t="s">
        <v>311</v>
      </c>
      <c r="S344" s="23" t="s">
        <v>9</v>
      </c>
      <c r="T344" s="23">
        <f>SUMIFS($J$1:INDEX(J:J,ROW()-1),$I$1:INDEX(I:I,ROW()-1),"&lt;&gt;Totals:")</f>
        <v>163</v>
      </c>
      <c r="U344" s="22">
        <f>SUMIFS($M$1:INDEX(M:M,ROW()),$I$1:INDEX(I:I,ROW()),"&lt;&gt;*Totals:*")</f>
        <v>4664</v>
      </c>
    </row>
    <row r="345" spans="1:21" ht="12.75" customHeight="1" x14ac:dyDescent="0.25">
      <c r="A345" s="47" t="s">
        <v>10</v>
      </c>
      <c r="B345" s="23" t="s">
        <v>312</v>
      </c>
      <c r="C345" s="28">
        <v>45908</v>
      </c>
      <c r="D345" s="30" t="s">
        <v>308</v>
      </c>
      <c r="E345" s="28" t="s">
        <v>313</v>
      </c>
      <c r="F345" s="28" t="s">
        <v>309</v>
      </c>
      <c r="G345" s="28">
        <v>45937</v>
      </c>
      <c r="H345" s="23" t="s">
        <v>5</v>
      </c>
      <c r="I345" s="33"/>
      <c r="J345" s="23">
        <v>0</v>
      </c>
      <c r="K345" s="23">
        <v>1</v>
      </c>
      <c r="L345" s="35">
        <v>1</v>
      </c>
      <c r="M345" s="23">
        <v>113</v>
      </c>
      <c r="N345" s="23">
        <v>0</v>
      </c>
      <c r="O345" s="49">
        <v>1</v>
      </c>
      <c r="P345" s="45" t="s">
        <v>159</v>
      </c>
      <c r="Q345" s="23" t="s">
        <v>55</v>
      </c>
      <c r="R345" s="23" t="s">
        <v>311</v>
      </c>
      <c r="S345" s="23" t="s">
        <v>9</v>
      </c>
      <c r="T345" s="23">
        <f>SUMIFS($J$1:INDEX(J:J,ROW()-1),$I$1:INDEX(I:I,ROW()-1),"&lt;&gt;Totals:")</f>
        <v>164</v>
      </c>
      <c r="U345" s="22">
        <f>SUMIFS($M$1:INDEX(M:M,ROW()),$I$1:INDEX(I:I,ROW()),"&lt;&gt;*Totals:*")</f>
        <v>4777</v>
      </c>
    </row>
    <row r="346" spans="1:21" ht="12.75" customHeight="1" x14ac:dyDescent="0.25">
      <c r="A346" s="47" t="s">
        <v>36</v>
      </c>
      <c r="B346" s="23" t="s">
        <v>314</v>
      </c>
      <c r="C346" s="28">
        <v>45908</v>
      </c>
      <c r="D346" s="30" t="s">
        <v>308</v>
      </c>
      <c r="E346" s="28" t="s">
        <v>315</v>
      </c>
      <c r="F346" s="28" t="s">
        <v>306</v>
      </c>
      <c r="G346" s="28">
        <v>45937</v>
      </c>
      <c r="H346" s="23" t="s">
        <v>5</v>
      </c>
      <c r="I346" s="33" t="s">
        <v>14</v>
      </c>
      <c r="J346" s="23">
        <v>1</v>
      </c>
      <c r="K346" s="23">
        <v>1</v>
      </c>
      <c r="L346" s="35">
        <v>0</v>
      </c>
      <c r="M346" s="23">
        <v>4</v>
      </c>
      <c r="N346" s="23">
        <v>4</v>
      </c>
      <c r="O346" s="49">
        <v>0</v>
      </c>
      <c r="P346" s="45" t="s">
        <v>159</v>
      </c>
      <c r="Q346" s="23" t="s">
        <v>55</v>
      </c>
      <c r="R346" s="23" t="s">
        <v>311</v>
      </c>
      <c r="S346" s="23" t="s">
        <v>9</v>
      </c>
      <c r="T346" s="23">
        <f>SUMIFS($J$1:INDEX(J:J,ROW()-1),$I$1:INDEX(I:I,ROW()-1),"&lt;&gt;Totals:")</f>
        <v>164</v>
      </c>
      <c r="U346" s="22">
        <f>SUMIFS($M$1:INDEX(M:M,ROW()),$I$1:INDEX(I:I,ROW()),"&lt;&gt;*Totals:*")</f>
        <v>4781</v>
      </c>
    </row>
    <row r="347" spans="1:21" ht="12.75" customHeight="1" x14ac:dyDescent="0.25">
      <c r="A347" s="47" t="s">
        <v>15</v>
      </c>
      <c r="B347" s="23" t="s">
        <v>312</v>
      </c>
      <c r="C347" s="28">
        <v>45908</v>
      </c>
      <c r="D347" s="30" t="s">
        <v>308</v>
      </c>
      <c r="E347" s="28" t="s">
        <v>316</v>
      </c>
      <c r="F347" s="28" t="s">
        <v>309</v>
      </c>
      <c r="G347" s="28">
        <v>45937</v>
      </c>
      <c r="H347" s="23" t="s">
        <v>5</v>
      </c>
      <c r="I347" s="33" t="s">
        <v>14</v>
      </c>
      <c r="J347" s="23">
        <v>1</v>
      </c>
      <c r="K347" s="23">
        <v>1</v>
      </c>
      <c r="L347" s="35">
        <v>0</v>
      </c>
      <c r="M347" s="23">
        <v>29</v>
      </c>
      <c r="N347" s="23">
        <v>29</v>
      </c>
      <c r="O347" s="49">
        <v>0</v>
      </c>
      <c r="P347" s="45" t="s">
        <v>159</v>
      </c>
      <c r="Q347" s="23" t="s">
        <v>55</v>
      </c>
      <c r="R347" s="23" t="s">
        <v>311</v>
      </c>
      <c r="S347" s="23" t="s">
        <v>9</v>
      </c>
      <c r="T347" s="23">
        <f>SUMIFS($J$1:INDEX(J:J,ROW()-1),$I$1:INDEX(I:I,ROW()-1),"&lt;&gt;Totals:")</f>
        <v>165</v>
      </c>
      <c r="U347" s="22">
        <f>SUMIFS($M$1:INDEX(M:M,ROW()),$I$1:INDEX(I:I,ROW()),"&lt;&gt;*Totals:*")</f>
        <v>4810</v>
      </c>
    </row>
    <row r="348" spans="1:21" ht="12.75" customHeight="1" x14ac:dyDescent="0.25">
      <c r="A348" s="47" t="s">
        <v>40</v>
      </c>
      <c r="B348" s="23" t="s">
        <v>317</v>
      </c>
      <c r="C348" s="28">
        <v>45910</v>
      </c>
      <c r="D348" s="30" t="s">
        <v>308</v>
      </c>
      <c r="E348" s="28" t="s">
        <v>315</v>
      </c>
      <c r="F348" s="28" t="s">
        <v>284</v>
      </c>
      <c r="G348" s="28">
        <v>45939</v>
      </c>
      <c r="H348" s="23" t="s">
        <v>5</v>
      </c>
      <c r="I348" s="33" t="s">
        <v>14</v>
      </c>
      <c r="J348" s="23">
        <v>1</v>
      </c>
      <c r="K348" s="23">
        <v>1</v>
      </c>
      <c r="L348" s="35">
        <v>0</v>
      </c>
      <c r="M348" s="23">
        <v>13</v>
      </c>
      <c r="N348" s="23">
        <v>13</v>
      </c>
      <c r="O348" s="49">
        <v>0</v>
      </c>
      <c r="P348" s="45" t="s">
        <v>159</v>
      </c>
      <c r="Q348" s="23" t="s">
        <v>55</v>
      </c>
      <c r="R348" s="23" t="s">
        <v>311</v>
      </c>
      <c r="S348" s="23" t="s">
        <v>9</v>
      </c>
      <c r="T348" s="23">
        <f>SUMIFS($J$1:INDEX(J:J,ROW()-1),$I$1:INDEX(I:I,ROW()-1),"&lt;&gt;Totals:")</f>
        <v>166</v>
      </c>
      <c r="U348" s="22">
        <f>SUMIFS($M$1:INDEX(M:M,ROW()),$I$1:INDEX(I:I,ROW()),"&lt;&gt;*Totals:*")</f>
        <v>4823</v>
      </c>
    </row>
    <row r="349" spans="1:21" ht="12.75" customHeight="1" x14ac:dyDescent="0.25">
      <c r="A349" s="47" t="s">
        <v>0</v>
      </c>
      <c r="B349" s="23" t="s">
        <v>318</v>
      </c>
      <c r="C349" s="28">
        <v>45912</v>
      </c>
      <c r="D349" s="30" t="s">
        <v>308</v>
      </c>
      <c r="E349" s="28" t="s">
        <v>319</v>
      </c>
      <c r="F349" s="28" t="s">
        <v>320</v>
      </c>
      <c r="G349" s="28">
        <v>45941</v>
      </c>
      <c r="H349" s="23" t="s">
        <v>5</v>
      </c>
      <c r="I349" s="33"/>
      <c r="J349" s="23">
        <v>0</v>
      </c>
      <c r="K349" s="23">
        <v>1</v>
      </c>
      <c r="L349" s="35">
        <v>1</v>
      </c>
      <c r="M349" s="23">
        <v>133</v>
      </c>
      <c r="N349" s="23">
        <v>0</v>
      </c>
      <c r="O349" s="49">
        <v>1</v>
      </c>
      <c r="P349" s="45" t="s">
        <v>159</v>
      </c>
      <c r="Q349" s="23" t="s">
        <v>55</v>
      </c>
      <c r="R349" s="23" t="s">
        <v>311</v>
      </c>
      <c r="S349" s="23" t="s">
        <v>9</v>
      </c>
      <c r="T349" s="23">
        <f>SUMIFS($J$1:INDEX(J:J,ROW()-1),$I$1:INDEX(I:I,ROW()-1),"&lt;&gt;Totals:")</f>
        <v>167</v>
      </c>
      <c r="U349" s="22">
        <f>SUMIFS($M$1:INDEX(M:M,ROW()),$I$1:INDEX(I:I,ROW()),"&lt;&gt;*Totals:*")</f>
        <v>4956</v>
      </c>
    </row>
    <row r="350" spans="1:21" ht="12.75" customHeight="1" x14ac:dyDescent="0.25">
      <c r="A350" s="47" t="s">
        <v>0</v>
      </c>
      <c r="B350" s="23" t="s">
        <v>304</v>
      </c>
      <c r="C350" s="28">
        <v>45913</v>
      </c>
      <c r="D350" s="30" t="s">
        <v>308</v>
      </c>
      <c r="E350" s="28" t="s">
        <v>301</v>
      </c>
      <c r="F350" s="28" t="s">
        <v>306</v>
      </c>
      <c r="G350" s="28">
        <v>45942</v>
      </c>
      <c r="H350" s="23" t="s">
        <v>5</v>
      </c>
      <c r="I350" s="33" t="s">
        <v>14</v>
      </c>
      <c r="J350" s="23">
        <v>1</v>
      </c>
      <c r="K350" s="23">
        <v>1</v>
      </c>
      <c r="L350" s="35">
        <v>0</v>
      </c>
      <c r="M350" s="23">
        <v>6</v>
      </c>
      <c r="N350" s="23">
        <v>6</v>
      </c>
      <c r="O350" s="49">
        <v>0</v>
      </c>
      <c r="P350" s="45" t="s">
        <v>159</v>
      </c>
      <c r="Q350" s="23" t="s">
        <v>55</v>
      </c>
      <c r="R350" s="23" t="s">
        <v>311</v>
      </c>
      <c r="S350" s="23" t="s">
        <v>9</v>
      </c>
      <c r="T350" s="23">
        <f>SUMIFS($J$1:INDEX(J:J,ROW()-1),$I$1:INDEX(I:I,ROW()-1),"&lt;&gt;Totals:")</f>
        <v>167</v>
      </c>
      <c r="U350" s="22">
        <f>SUMIFS($M$1:INDEX(M:M,ROW()),$I$1:INDEX(I:I,ROW()),"&lt;&gt;*Totals:*")</f>
        <v>4962</v>
      </c>
    </row>
    <row r="351" spans="1:21" ht="12.75" customHeight="1" x14ac:dyDescent="0.25">
      <c r="A351" s="47" t="s">
        <v>0</v>
      </c>
      <c r="B351" s="23" t="s">
        <v>304</v>
      </c>
      <c r="C351" s="28">
        <v>45915</v>
      </c>
      <c r="D351" s="30" t="s">
        <v>308</v>
      </c>
      <c r="E351" s="28" t="s">
        <v>301</v>
      </c>
      <c r="F351" s="28" t="s">
        <v>306</v>
      </c>
      <c r="G351" s="28">
        <v>45944</v>
      </c>
      <c r="H351" s="23" t="s">
        <v>5</v>
      </c>
      <c r="I351" s="33" t="s">
        <v>14</v>
      </c>
      <c r="J351" s="23">
        <v>1</v>
      </c>
      <c r="K351" s="23">
        <v>1</v>
      </c>
      <c r="L351" s="35">
        <v>0</v>
      </c>
      <c r="M351" s="23">
        <v>3</v>
      </c>
      <c r="N351" s="23">
        <v>3</v>
      </c>
      <c r="O351" s="49">
        <v>0</v>
      </c>
      <c r="P351" s="45" t="s">
        <v>159</v>
      </c>
      <c r="Q351" s="23" t="s">
        <v>55</v>
      </c>
      <c r="R351" s="23" t="s">
        <v>311</v>
      </c>
      <c r="S351" s="23" t="s">
        <v>9</v>
      </c>
      <c r="T351" s="23">
        <f>SUMIFS($J$1:INDEX(J:J,ROW()-1),$I$1:INDEX(I:I,ROW()-1),"&lt;&gt;Totals:")</f>
        <v>168</v>
      </c>
      <c r="U351" s="22">
        <f>SUMIFS($M$1:INDEX(M:M,ROW()),$I$1:INDEX(I:I,ROW()),"&lt;&gt;*Totals:*")</f>
        <v>4965</v>
      </c>
    </row>
    <row r="352" spans="1:21" ht="12.75" customHeight="1" x14ac:dyDescent="0.25">
      <c r="A352" s="47" t="s">
        <v>10</v>
      </c>
      <c r="B352" s="23" t="s">
        <v>312</v>
      </c>
      <c r="C352" s="28">
        <v>45915</v>
      </c>
      <c r="D352" s="30" t="s">
        <v>308</v>
      </c>
      <c r="E352" s="28" t="s">
        <v>316</v>
      </c>
      <c r="F352" s="28" t="s">
        <v>309</v>
      </c>
      <c r="G352" s="28">
        <v>45944</v>
      </c>
      <c r="H352" s="23" t="s">
        <v>5</v>
      </c>
      <c r="I352" s="33" t="s">
        <v>14</v>
      </c>
      <c r="J352" s="23">
        <v>1</v>
      </c>
      <c r="K352" s="23">
        <v>1</v>
      </c>
      <c r="L352" s="35">
        <v>0</v>
      </c>
      <c r="M352" s="23">
        <v>2</v>
      </c>
      <c r="N352" s="23">
        <v>2</v>
      </c>
      <c r="O352" s="49">
        <v>0</v>
      </c>
      <c r="P352" s="45" t="s">
        <v>159</v>
      </c>
      <c r="Q352" s="23" t="s">
        <v>55</v>
      </c>
      <c r="R352" s="23" t="s">
        <v>311</v>
      </c>
      <c r="S352" s="23" t="s">
        <v>9</v>
      </c>
      <c r="T352" s="23">
        <f>SUMIFS($J$1:INDEX(J:J,ROW()-1),$I$1:INDEX(I:I,ROW()-1),"&lt;&gt;Totals:")</f>
        <v>169</v>
      </c>
      <c r="U352" s="22">
        <f>SUMIFS($M$1:INDEX(M:M,ROW()),$I$1:INDEX(I:I,ROW()),"&lt;&gt;*Totals:*")</f>
        <v>4967</v>
      </c>
    </row>
    <row r="353" spans="1:21" ht="12.75" customHeight="1" x14ac:dyDescent="0.25">
      <c r="A353" s="47" t="s">
        <v>36</v>
      </c>
      <c r="B353" s="23" t="s">
        <v>314</v>
      </c>
      <c r="C353" s="28">
        <v>45915</v>
      </c>
      <c r="D353" s="30" t="s">
        <v>308</v>
      </c>
      <c r="E353" s="28" t="s">
        <v>315</v>
      </c>
      <c r="F353" s="28" t="s">
        <v>306</v>
      </c>
      <c r="G353" s="28">
        <v>45944</v>
      </c>
      <c r="H353" s="23" t="s">
        <v>5</v>
      </c>
      <c r="I353" s="33" t="s">
        <v>14</v>
      </c>
      <c r="J353" s="23">
        <v>1</v>
      </c>
      <c r="K353" s="23">
        <v>1</v>
      </c>
      <c r="L353" s="35">
        <v>0</v>
      </c>
      <c r="M353" s="23">
        <v>1</v>
      </c>
      <c r="N353" s="23">
        <v>1</v>
      </c>
      <c r="O353" s="49">
        <v>0</v>
      </c>
      <c r="P353" s="45" t="s">
        <v>159</v>
      </c>
      <c r="Q353" s="23" t="s">
        <v>55</v>
      </c>
      <c r="R353" s="23" t="s">
        <v>311</v>
      </c>
      <c r="S353" s="23" t="s">
        <v>9</v>
      </c>
      <c r="T353" s="23">
        <f>SUMIFS($J$1:INDEX(J:J,ROW()-1),$I$1:INDEX(I:I,ROW()-1),"&lt;&gt;Totals:")</f>
        <v>170</v>
      </c>
      <c r="U353" s="22">
        <f>SUMIFS($M$1:INDEX(M:M,ROW()),$I$1:INDEX(I:I,ROW()),"&lt;&gt;*Totals:*")</f>
        <v>4968</v>
      </c>
    </row>
    <row r="354" spans="1:21" ht="12.75" customHeight="1" thickBot="1" x14ac:dyDescent="0.3">
      <c r="A354" s="51" t="s">
        <v>0</v>
      </c>
      <c r="B354" s="20" t="s">
        <v>318</v>
      </c>
      <c r="C354" s="25">
        <v>45921</v>
      </c>
      <c r="D354" s="27" t="s">
        <v>308</v>
      </c>
      <c r="E354" s="25" t="s">
        <v>309</v>
      </c>
      <c r="F354" s="25" t="s">
        <v>320</v>
      </c>
      <c r="G354" s="25">
        <v>45950</v>
      </c>
      <c r="H354" s="20" t="s">
        <v>5</v>
      </c>
      <c r="I354" s="32" t="s">
        <v>14</v>
      </c>
      <c r="J354" s="20">
        <v>1</v>
      </c>
      <c r="K354" s="20">
        <v>1</v>
      </c>
      <c r="L354" s="34">
        <v>0</v>
      </c>
      <c r="M354" s="20">
        <v>3</v>
      </c>
      <c r="N354" s="20">
        <v>3</v>
      </c>
      <c r="O354" s="54">
        <v>0</v>
      </c>
      <c r="P354" s="45" t="s">
        <v>159</v>
      </c>
      <c r="Q354" s="23" t="s">
        <v>55</v>
      </c>
      <c r="R354" s="23" t="s">
        <v>311</v>
      </c>
      <c r="S354" s="23" t="s">
        <v>9</v>
      </c>
      <c r="T354" s="23">
        <f>SUMIFS($J$1:INDEX(J:J,ROW()-1),$I$1:INDEX(I:I,ROW()-1),"&lt;&gt;Totals:")</f>
        <v>171</v>
      </c>
      <c r="U354" s="22">
        <f>SUMIFS($M$1:INDEX(M:M,ROW()),$I$1:INDEX(I:I,ROW()),"&lt;&gt;*Totals:*")</f>
        <v>4971</v>
      </c>
    </row>
    <row r="355" spans="1:21" ht="17.25" customHeight="1" x14ac:dyDescent="0.25">
      <c r="A355" s="60"/>
      <c r="B355" s="50"/>
      <c r="C355" s="55"/>
      <c r="D355" s="56"/>
      <c r="E355" s="56"/>
      <c r="F355" s="57"/>
      <c r="G355" s="57"/>
      <c r="H355" s="57"/>
      <c r="I355" s="58" t="s">
        <v>1087</v>
      </c>
      <c r="J355" s="57">
        <f>SUM(J343:J354)</f>
        <v>10</v>
      </c>
      <c r="K355" s="57">
        <f>SUM(K343:K354)</f>
        <v>12</v>
      </c>
      <c r="L355" s="59">
        <f>(SUM(K343:K354) - SUM(J343:J354)) / SUM(K343:K354)</f>
        <v>0.16666666666666666</v>
      </c>
      <c r="M355" s="57">
        <f>SUM(M343:M354)</f>
        <v>335</v>
      </c>
      <c r="N355" s="56">
        <f>SUM(N343:N354)</f>
        <v>89</v>
      </c>
      <c r="O355" s="61">
        <f>(SUM(M343:M354) - SUM(N343:N354)) / SUM(M343:M354)</f>
        <v>0.73432835820895526</v>
      </c>
      <c r="P355" s="52"/>
      <c r="Q355" s="53"/>
      <c r="R355" s="52"/>
      <c r="S355" s="52"/>
      <c r="T355" s="52"/>
      <c r="U355" s="52"/>
    </row>
    <row r="356" spans="1:21" x14ac:dyDescent="0.25">
      <c r="A356" s="70"/>
      <c r="B356" s="64"/>
      <c r="C356" s="64"/>
      <c r="D356" s="64"/>
      <c r="E356" s="64"/>
      <c r="F356" s="64"/>
      <c r="G356" s="64"/>
      <c r="H356" s="64"/>
      <c r="I356" s="65" t="s">
        <v>1088</v>
      </c>
      <c r="J356" s="64"/>
      <c r="K356" s="64"/>
      <c r="L356" s="65" t="s">
        <v>1089</v>
      </c>
      <c r="M356" s="64"/>
      <c r="N356" s="64"/>
      <c r="O356" s="72"/>
      <c r="P356" s="62"/>
      <c r="Q356" s="62"/>
      <c r="R356" s="62"/>
      <c r="S356" s="62"/>
      <c r="T356" s="62"/>
      <c r="U356" s="62"/>
    </row>
    <row r="357" spans="1:21" ht="15.75" thickBot="1" x14ac:dyDescent="0.3">
      <c r="A357" s="71"/>
      <c r="B357" s="66"/>
      <c r="C357" s="67"/>
      <c r="D357" s="66"/>
      <c r="E357" s="66"/>
      <c r="F357" s="66"/>
      <c r="G357" s="67"/>
      <c r="H357" s="66"/>
      <c r="I357" s="68">
        <v>171</v>
      </c>
      <c r="J357" s="66"/>
      <c r="K357" s="66"/>
      <c r="L357" s="69">
        <v>4971</v>
      </c>
      <c r="M357" s="66"/>
      <c r="N357" s="66"/>
      <c r="O357" s="73"/>
      <c r="P357" s="63"/>
      <c r="Q357" s="63"/>
      <c r="R357" s="63"/>
      <c r="S357" s="63"/>
      <c r="T357" s="63"/>
      <c r="U357" s="63"/>
    </row>
    <row r="358" spans="1:21" ht="15.75" thickBot="1" x14ac:dyDescent="0.3">
      <c r="C358" s="1"/>
      <c r="G358" s="1"/>
    </row>
    <row r="359" spans="1:21" x14ac:dyDescent="0.25">
      <c r="A359" s="9"/>
      <c r="B359" s="10"/>
      <c r="C359" s="11"/>
      <c r="D359" s="11"/>
      <c r="E359" s="11"/>
      <c r="F359" s="11"/>
      <c r="G359" s="11"/>
      <c r="H359" s="12"/>
      <c r="I359" s="11"/>
      <c r="J359" s="13"/>
      <c r="K359" s="13"/>
      <c r="L359" s="13"/>
      <c r="M359" s="13"/>
      <c r="N359" s="11"/>
      <c r="O359" s="14"/>
      <c r="P359" s="4"/>
      <c r="Q359" s="5"/>
      <c r="R359" s="4"/>
      <c r="S359" s="4"/>
      <c r="T359" s="4"/>
      <c r="U359" s="4"/>
    </row>
    <row r="360" spans="1:21" x14ac:dyDescent="0.25">
      <c r="A360" s="6" t="s">
        <v>1090</v>
      </c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15"/>
      <c r="P360" s="3"/>
      <c r="Q360" s="3"/>
      <c r="R360" s="3"/>
      <c r="S360" s="3"/>
      <c r="T360" s="3"/>
      <c r="U360" s="3"/>
    </row>
    <row r="361" spans="1:21" x14ac:dyDescent="0.25">
      <c r="A361" s="7" t="s">
        <v>81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15"/>
      <c r="P361" s="3"/>
      <c r="Q361" s="3"/>
      <c r="R361" s="3"/>
      <c r="S361" s="3"/>
      <c r="T361" s="3"/>
      <c r="U361" s="3"/>
    </row>
    <row r="362" spans="1:21" ht="15.75" thickBot="1" x14ac:dyDescent="0.3">
      <c r="A362" s="8"/>
      <c r="B362" s="8"/>
      <c r="C362" s="74"/>
      <c r="D362" s="8"/>
      <c r="E362" s="8"/>
      <c r="F362" s="8"/>
      <c r="G362" s="74"/>
      <c r="H362" s="8"/>
      <c r="I362" s="8"/>
      <c r="J362" s="8"/>
      <c r="K362" s="8"/>
      <c r="L362" s="8"/>
      <c r="M362" s="8"/>
      <c r="N362" s="8"/>
      <c r="O362" s="16"/>
      <c r="P362" s="3"/>
      <c r="Q362" s="3"/>
      <c r="R362" s="3"/>
      <c r="S362" s="3"/>
      <c r="T362" s="3"/>
      <c r="U362" s="3"/>
    </row>
    <row r="363" spans="1:21" ht="17.25" customHeight="1" thickBot="1" x14ac:dyDescent="0.3">
      <c r="A363" s="19" t="s">
        <v>1068</v>
      </c>
      <c r="B363" s="24" t="s">
        <v>1069</v>
      </c>
      <c r="C363" s="26" t="s">
        <v>1070</v>
      </c>
      <c r="D363" s="29" t="s">
        <v>1071</v>
      </c>
      <c r="E363" s="26" t="s">
        <v>1072</v>
      </c>
      <c r="F363" s="31" t="s">
        <v>1073</v>
      </c>
      <c r="G363" s="31" t="s">
        <v>1074</v>
      </c>
      <c r="H363" s="31" t="s">
        <v>1075</v>
      </c>
      <c r="I363" s="29" t="s">
        <v>14</v>
      </c>
      <c r="J363" s="29" t="s">
        <v>1076</v>
      </c>
      <c r="K363" s="29" t="s">
        <v>1077</v>
      </c>
      <c r="L363" s="29" t="s">
        <v>1078</v>
      </c>
      <c r="M363" s="29" t="s">
        <v>1079</v>
      </c>
      <c r="N363" s="29" t="s">
        <v>1080</v>
      </c>
      <c r="O363" s="36" t="s">
        <v>1081</v>
      </c>
      <c r="P363" s="37" t="s">
        <v>1082</v>
      </c>
      <c r="Q363" s="38" t="s">
        <v>1083</v>
      </c>
      <c r="R363" s="38" t="s">
        <v>1084</v>
      </c>
      <c r="S363" s="38" t="s">
        <v>1085</v>
      </c>
      <c r="T363" s="38" t="s">
        <v>1086</v>
      </c>
      <c r="U363" s="39" t="s">
        <v>1086</v>
      </c>
    </row>
    <row r="364" spans="1:21" ht="12.75" customHeight="1" x14ac:dyDescent="0.25">
      <c r="A364" s="46" t="s">
        <v>17</v>
      </c>
      <c r="B364" s="40" t="s">
        <v>321</v>
      </c>
      <c r="C364" s="41">
        <v>45931</v>
      </c>
      <c r="D364" s="42" t="s">
        <v>322</v>
      </c>
      <c r="E364" s="41" t="s">
        <v>323</v>
      </c>
      <c r="F364" s="41" t="s">
        <v>324</v>
      </c>
      <c r="G364" s="41">
        <v>45960</v>
      </c>
      <c r="H364" s="40" t="s">
        <v>5</v>
      </c>
      <c r="I364" s="43" t="s">
        <v>14</v>
      </c>
      <c r="J364" s="40">
        <v>1</v>
      </c>
      <c r="K364" s="40">
        <v>1</v>
      </c>
      <c r="L364" s="44">
        <v>0</v>
      </c>
      <c r="M364" s="40">
        <v>18</v>
      </c>
      <c r="N364" s="40">
        <v>18</v>
      </c>
      <c r="O364" s="48">
        <v>0</v>
      </c>
      <c r="P364" s="45" t="s">
        <v>159</v>
      </c>
      <c r="Q364" s="23" t="s">
        <v>81</v>
      </c>
      <c r="R364" s="23" t="s">
        <v>325</v>
      </c>
      <c r="S364" s="23" t="s">
        <v>9</v>
      </c>
      <c r="T364" s="23">
        <f>SUMIFS($J$1:INDEX(J:J,ROW()-1),$I$1:INDEX(I:I,ROW()-1),"&lt;&gt;Totals:")</f>
        <v>172</v>
      </c>
      <c r="U364" s="22">
        <f>SUMIFS($M$1:INDEX(M:M,ROW()),$I$1:INDEX(I:I,ROW()),"&lt;&gt;*Totals:*")</f>
        <v>4989</v>
      </c>
    </row>
    <row r="365" spans="1:21" ht="12.75" customHeight="1" x14ac:dyDescent="0.25">
      <c r="A365" s="47" t="s">
        <v>10</v>
      </c>
      <c r="B365" s="23" t="s">
        <v>326</v>
      </c>
      <c r="C365" s="28">
        <v>45940</v>
      </c>
      <c r="D365" s="30" t="s">
        <v>322</v>
      </c>
      <c r="E365" s="28" t="s">
        <v>327</v>
      </c>
      <c r="F365" s="28" t="s">
        <v>328</v>
      </c>
      <c r="G365" s="28">
        <v>45969</v>
      </c>
      <c r="H365" s="23" t="s">
        <v>5</v>
      </c>
      <c r="I365" s="33"/>
      <c r="J365" s="23">
        <v>0</v>
      </c>
      <c r="K365" s="23">
        <v>1</v>
      </c>
      <c r="L365" s="35">
        <v>1</v>
      </c>
      <c r="M365" s="23">
        <v>105</v>
      </c>
      <c r="N365" s="23">
        <v>0</v>
      </c>
      <c r="O365" s="49">
        <v>1</v>
      </c>
      <c r="P365" s="45" t="s">
        <v>159</v>
      </c>
      <c r="Q365" s="23" t="s">
        <v>81</v>
      </c>
      <c r="R365" s="23" t="s">
        <v>325</v>
      </c>
      <c r="S365" s="23" t="s">
        <v>9</v>
      </c>
      <c r="T365" s="23">
        <f>SUMIFS($J$1:INDEX(J:J,ROW()-1),$I$1:INDEX(I:I,ROW()-1),"&lt;&gt;Totals:")</f>
        <v>173</v>
      </c>
      <c r="U365" s="22">
        <f>SUMIFS($M$1:INDEX(M:M,ROW()),$I$1:INDEX(I:I,ROW()),"&lt;&gt;*Totals:*")</f>
        <v>5094</v>
      </c>
    </row>
    <row r="366" spans="1:21" ht="12.75" customHeight="1" x14ac:dyDescent="0.25">
      <c r="A366" s="47" t="s">
        <v>40</v>
      </c>
      <c r="B366" s="23" t="s">
        <v>329</v>
      </c>
      <c r="C366" s="28">
        <v>45940</v>
      </c>
      <c r="D366" s="30" t="s">
        <v>322</v>
      </c>
      <c r="E366" s="28" t="s">
        <v>330</v>
      </c>
      <c r="F366" s="28" t="s">
        <v>331</v>
      </c>
      <c r="G366" s="28">
        <v>45969</v>
      </c>
      <c r="H366" s="23" t="s">
        <v>5</v>
      </c>
      <c r="I366" s="33"/>
      <c r="J366" s="23">
        <v>0</v>
      </c>
      <c r="K366" s="23">
        <v>1</v>
      </c>
      <c r="L366" s="35">
        <v>1</v>
      </c>
      <c r="M366" s="23">
        <v>13</v>
      </c>
      <c r="N366" s="23">
        <v>0</v>
      </c>
      <c r="O366" s="49">
        <v>1</v>
      </c>
      <c r="P366" s="45" t="s">
        <v>159</v>
      </c>
      <c r="Q366" s="23" t="s">
        <v>81</v>
      </c>
      <c r="R366" s="23" t="s">
        <v>325</v>
      </c>
      <c r="S366" s="23" t="s">
        <v>9</v>
      </c>
      <c r="T366" s="23">
        <f>SUMIFS($J$1:INDEX(J:J,ROW()-1),$I$1:INDEX(I:I,ROW()-1),"&lt;&gt;Totals:")</f>
        <v>173</v>
      </c>
      <c r="U366" s="22">
        <f>SUMIFS($M$1:INDEX(M:M,ROW()),$I$1:INDEX(I:I,ROW()),"&lt;&gt;*Totals:*")</f>
        <v>5107</v>
      </c>
    </row>
    <row r="367" spans="1:21" ht="12.75" customHeight="1" x14ac:dyDescent="0.25">
      <c r="A367" s="47" t="s">
        <v>36</v>
      </c>
      <c r="B367" s="23" t="s">
        <v>332</v>
      </c>
      <c r="C367" s="28">
        <v>45940</v>
      </c>
      <c r="D367" s="30" t="s">
        <v>322</v>
      </c>
      <c r="E367" s="28" t="s">
        <v>330</v>
      </c>
      <c r="F367" s="28" t="s">
        <v>301</v>
      </c>
      <c r="G367" s="28">
        <v>45969</v>
      </c>
      <c r="H367" s="23" t="s">
        <v>5</v>
      </c>
      <c r="I367" s="33"/>
      <c r="J367" s="23">
        <v>0</v>
      </c>
      <c r="K367" s="23">
        <v>1</v>
      </c>
      <c r="L367" s="35">
        <v>1</v>
      </c>
      <c r="M367" s="23">
        <v>5</v>
      </c>
      <c r="N367" s="23">
        <v>0</v>
      </c>
      <c r="O367" s="49">
        <v>1</v>
      </c>
      <c r="P367" s="45" t="s">
        <v>159</v>
      </c>
      <c r="Q367" s="23" t="s">
        <v>81</v>
      </c>
      <c r="R367" s="23" t="s">
        <v>325</v>
      </c>
      <c r="S367" s="23" t="s">
        <v>9</v>
      </c>
      <c r="T367" s="23">
        <f>SUMIFS($J$1:INDEX(J:J,ROW()-1),$I$1:INDEX(I:I,ROW()-1),"&lt;&gt;Totals:")</f>
        <v>173</v>
      </c>
      <c r="U367" s="22">
        <f>SUMIFS($M$1:INDEX(M:M,ROW()),$I$1:INDEX(I:I,ROW()),"&lt;&gt;*Totals:*")</f>
        <v>5112</v>
      </c>
    </row>
    <row r="368" spans="1:21" ht="12.75" customHeight="1" x14ac:dyDescent="0.25">
      <c r="A368" s="47" t="s">
        <v>15</v>
      </c>
      <c r="B368" s="23" t="s">
        <v>326</v>
      </c>
      <c r="C368" s="28">
        <v>45940</v>
      </c>
      <c r="D368" s="30" t="s">
        <v>322</v>
      </c>
      <c r="E368" s="28" t="s">
        <v>323</v>
      </c>
      <c r="F368" s="28" t="s">
        <v>333</v>
      </c>
      <c r="G368" s="28">
        <v>45969</v>
      </c>
      <c r="H368" s="23" t="s">
        <v>5</v>
      </c>
      <c r="I368" s="33" t="s">
        <v>14</v>
      </c>
      <c r="J368" s="23">
        <v>1</v>
      </c>
      <c r="K368" s="23">
        <v>1</v>
      </c>
      <c r="L368" s="35">
        <v>0</v>
      </c>
      <c r="M368" s="23">
        <v>34</v>
      </c>
      <c r="N368" s="23">
        <v>34</v>
      </c>
      <c r="O368" s="49">
        <v>0</v>
      </c>
      <c r="P368" s="45" t="s">
        <v>159</v>
      </c>
      <c r="Q368" s="23" t="s">
        <v>81</v>
      </c>
      <c r="R368" s="23" t="s">
        <v>325</v>
      </c>
      <c r="S368" s="23" t="s">
        <v>9</v>
      </c>
      <c r="T368" s="23">
        <f>SUMIFS($J$1:INDEX(J:J,ROW()-1),$I$1:INDEX(I:I,ROW()-1),"&lt;&gt;Totals:")</f>
        <v>173</v>
      </c>
      <c r="U368" s="22">
        <f>SUMIFS($M$1:INDEX(M:M,ROW()),$I$1:INDEX(I:I,ROW()),"&lt;&gt;*Totals:*")</f>
        <v>5146</v>
      </c>
    </row>
    <row r="369" spans="1:21" ht="12.75" customHeight="1" x14ac:dyDescent="0.25">
      <c r="A369" s="47" t="s">
        <v>15</v>
      </c>
      <c r="B369" s="23" t="s">
        <v>326</v>
      </c>
      <c r="C369" s="28">
        <v>45942</v>
      </c>
      <c r="D369" s="30" t="s">
        <v>322</v>
      </c>
      <c r="E369" s="28" t="s">
        <v>323</v>
      </c>
      <c r="F369" s="28" t="s">
        <v>333</v>
      </c>
      <c r="G369" s="28">
        <v>45971</v>
      </c>
      <c r="H369" s="23" t="s">
        <v>5</v>
      </c>
      <c r="I369" s="33" t="s">
        <v>14</v>
      </c>
      <c r="J369" s="23">
        <v>1</v>
      </c>
      <c r="K369" s="23">
        <v>1</v>
      </c>
      <c r="L369" s="35">
        <v>0</v>
      </c>
      <c r="M369" s="23">
        <v>1</v>
      </c>
      <c r="N369" s="23">
        <v>1</v>
      </c>
      <c r="O369" s="49">
        <v>0</v>
      </c>
      <c r="P369" s="45" t="s">
        <v>159</v>
      </c>
      <c r="Q369" s="23" t="s">
        <v>81</v>
      </c>
      <c r="R369" s="23" t="s">
        <v>325</v>
      </c>
      <c r="S369" s="23" t="s">
        <v>9</v>
      </c>
      <c r="T369" s="23">
        <f>SUMIFS($J$1:INDEX(J:J,ROW()-1),$I$1:INDEX(I:I,ROW()-1),"&lt;&gt;Totals:")</f>
        <v>174</v>
      </c>
      <c r="U369" s="22">
        <f>SUMIFS($M$1:INDEX(M:M,ROW()),$I$1:INDEX(I:I,ROW()),"&lt;&gt;*Totals:*")</f>
        <v>5147</v>
      </c>
    </row>
    <row r="370" spans="1:21" ht="12.75" customHeight="1" x14ac:dyDescent="0.25">
      <c r="A370" s="47" t="s">
        <v>10</v>
      </c>
      <c r="B370" s="23" t="s">
        <v>326</v>
      </c>
      <c r="C370" s="28">
        <v>45942</v>
      </c>
      <c r="D370" s="30" t="s">
        <v>322</v>
      </c>
      <c r="E370" s="28" t="s">
        <v>334</v>
      </c>
      <c r="F370" s="28" t="s">
        <v>328</v>
      </c>
      <c r="G370" s="28">
        <v>45971</v>
      </c>
      <c r="H370" s="23" t="s">
        <v>5</v>
      </c>
      <c r="I370" s="33" t="s">
        <v>14</v>
      </c>
      <c r="J370" s="23">
        <v>1</v>
      </c>
      <c r="K370" s="23">
        <v>1</v>
      </c>
      <c r="L370" s="35">
        <v>0</v>
      </c>
      <c r="M370" s="23">
        <v>2</v>
      </c>
      <c r="N370" s="23">
        <v>2</v>
      </c>
      <c r="O370" s="49">
        <v>0</v>
      </c>
      <c r="P370" s="45" t="s">
        <v>159</v>
      </c>
      <c r="Q370" s="23" t="s">
        <v>81</v>
      </c>
      <c r="R370" s="23" t="s">
        <v>325</v>
      </c>
      <c r="S370" s="23" t="s">
        <v>9</v>
      </c>
      <c r="T370" s="23">
        <f>SUMIFS($J$1:INDEX(J:J,ROW()-1),$I$1:INDEX(I:I,ROW()-1),"&lt;&gt;Totals:")</f>
        <v>175</v>
      </c>
      <c r="U370" s="22">
        <f>SUMIFS($M$1:INDEX(M:M,ROW()),$I$1:INDEX(I:I,ROW()),"&lt;&gt;*Totals:*")</f>
        <v>5149</v>
      </c>
    </row>
    <row r="371" spans="1:21" ht="12.75" customHeight="1" x14ac:dyDescent="0.25">
      <c r="A371" s="47" t="s">
        <v>0</v>
      </c>
      <c r="B371" s="23" t="s">
        <v>335</v>
      </c>
      <c r="C371" s="28">
        <v>45943</v>
      </c>
      <c r="D371" s="30" t="s">
        <v>322</v>
      </c>
      <c r="E371" s="28" t="s">
        <v>336</v>
      </c>
      <c r="F371" s="28" t="s">
        <v>309</v>
      </c>
      <c r="G371" s="28">
        <v>45972</v>
      </c>
      <c r="H371" s="23" t="s">
        <v>5</v>
      </c>
      <c r="I371" s="33"/>
      <c r="J371" s="23">
        <v>0</v>
      </c>
      <c r="K371" s="23">
        <v>1</v>
      </c>
      <c r="L371" s="35">
        <v>1</v>
      </c>
      <c r="M371" s="23">
        <v>145</v>
      </c>
      <c r="N371" s="23">
        <v>0</v>
      </c>
      <c r="O371" s="49">
        <v>1</v>
      </c>
      <c r="P371" s="45" t="s">
        <v>159</v>
      </c>
      <c r="Q371" s="23" t="s">
        <v>81</v>
      </c>
      <c r="R371" s="23" t="s">
        <v>325</v>
      </c>
      <c r="S371" s="23" t="s">
        <v>9</v>
      </c>
      <c r="T371" s="23">
        <f>SUMIFS($J$1:INDEX(J:J,ROW()-1),$I$1:INDEX(I:I,ROW()-1),"&lt;&gt;Totals:")</f>
        <v>176</v>
      </c>
      <c r="U371" s="22">
        <f>SUMIFS($M$1:INDEX(M:M,ROW()),$I$1:INDEX(I:I,ROW()),"&lt;&gt;*Totals:*")</f>
        <v>5294</v>
      </c>
    </row>
    <row r="372" spans="1:21" ht="12.75" customHeight="1" x14ac:dyDescent="0.25">
      <c r="A372" s="47" t="s">
        <v>15</v>
      </c>
      <c r="B372" s="23" t="s">
        <v>326</v>
      </c>
      <c r="C372" s="28">
        <v>45943</v>
      </c>
      <c r="D372" s="30" t="s">
        <v>322</v>
      </c>
      <c r="E372" s="28" t="s">
        <v>323</v>
      </c>
      <c r="F372" s="28" t="s">
        <v>333</v>
      </c>
      <c r="G372" s="28">
        <v>45972</v>
      </c>
      <c r="H372" s="23" t="s">
        <v>5</v>
      </c>
      <c r="I372" s="33" t="s">
        <v>14</v>
      </c>
      <c r="J372" s="23">
        <v>1</v>
      </c>
      <c r="K372" s="23">
        <v>1</v>
      </c>
      <c r="L372" s="35">
        <v>0</v>
      </c>
      <c r="M372" s="23">
        <v>1</v>
      </c>
      <c r="N372" s="23">
        <v>1</v>
      </c>
      <c r="O372" s="49">
        <v>0</v>
      </c>
      <c r="P372" s="45" t="s">
        <v>159</v>
      </c>
      <c r="Q372" s="23" t="s">
        <v>81</v>
      </c>
      <c r="R372" s="23" t="s">
        <v>325</v>
      </c>
      <c r="S372" s="23" t="s">
        <v>9</v>
      </c>
      <c r="T372" s="23">
        <f>SUMIFS($J$1:INDEX(J:J,ROW()-1),$I$1:INDEX(I:I,ROW()-1),"&lt;&gt;Totals:")</f>
        <v>176</v>
      </c>
      <c r="U372" s="22">
        <f>SUMIFS($M$1:INDEX(M:M,ROW()),$I$1:INDEX(I:I,ROW()),"&lt;&gt;*Totals:*")</f>
        <v>5295</v>
      </c>
    </row>
    <row r="373" spans="1:21" ht="12.75" customHeight="1" thickBot="1" x14ac:dyDescent="0.3">
      <c r="A373" s="51" t="s">
        <v>10</v>
      </c>
      <c r="B373" s="20" t="s">
        <v>326</v>
      </c>
      <c r="C373" s="25">
        <v>45943</v>
      </c>
      <c r="D373" s="27" t="s">
        <v>322</v>
      </c>
      <c r="E373" s="25" t="s">
        <v>334</v>
      </c>
      <c r="F373" s="25" t="s">
        <v>328</v>
      </c>
      <c r="G373" s="25">
        <v>45972</v>
      </c>
      <c r="H373" s="20" t="s">
        <v>5</v>
      </c>
      <c r="I373" s="32" t="s">
        <v>14</v>
      </c>
      <c r="J373" s="20">
        <v>1</v>
      </c>
      <c r="K373" s="20">
        <v>1</v>
      </c>
      <c r="L373" s="34">
        <v>0</v>
      </c>
      <c r="M373" s="20">
        <v>4</v>
      </c>
      <c r="N373" s="20">
        <v>4</v>
      </c>
      <c r="O373" s="54">
        <v>0</v>
      </c>
      <c r="P373" s="45" t="s">
        <v>159</v>
      </c>
      <c r="Q373" s="23" t="s">
        <v>81</v>
      </c>
      <c r="R373" s="23" t="s">
        <v>325</v>
      </c>
      <c r="S373" s="23" t="s">
        <v>9</v>
      </c>
      <c r="T373" s="23">
        <f>SUMIFS($J$1:INDEX(J:J,ROW()-1),$I$1:INDEX(I:I,ROW()-1),"&lt;&gt;Totals:")</f>
        <v>177</v>
      </c>
      <c r="U373" s="22">
        <f>SUMIFS($M$1:INDEX(M:M,ROW()),$I$1:INDEX(I:I,ROW()),"&lt;&gt;*Totals:*")</f>
        <v>5299</v>
      </c>
    </row>
    <row r="374" spans="1:21" ht="17.25" customHeight="1" x14ac:dyDescent="0.25">
      <c r="A374" s="60"/>
      <c r="B374" s="50"/>
      <c r="C374" s="55"/>
      <c r="D374" s="56"/>
      <c r="E374" s="56"/>
      <c r="F374" s="57"/>
      <c r="G374" s="57"/>
      <c r="H374" s="57"/>
      <c r="I374" s="58" t="s">
        <v>1087</v>
      </c>
      <c r="J374" s="57">
        <f>SUM(J364:J373)</f>
        <v>6</v>
      </c>
      <c r="K374" s="57">
        <f>SUM(K364:K373)</f>
        <v>10</v>
      </c>
      <c r="L374" s="59">
        <f>(SUM(K364:K373) - SUM(J364:J373)) / SUM(K364:K373)</f>
        <v>0.4</v>
      </c>
      <c r="M374" s="57">
        <f>SUM(M364:M373)</f>
        <v>328</v>
      </c>
      <c r="N374" s="56">
        <f>SUM(N364:N373)</f>
        <v>60</v>
      </c>
      <c r="O374" s="61">
        <f>(SUM(M364:M373) - SUM(N364:N373)) / SUM(M364:M373)</f>
        <v>0.81707317073170727</v>
      </c>
      <c r="P374" s="52"/>
      <c r="Q374" s="53"/>
      <c r="R374" s="52"/>
      <c r="S374" s="52"/>
      <c r="T374" s="52"/>
      <c r="U374" s="52"/>
    </row>
    <row r="375" spans="1:21" x14ac:dyDescent="0.25">
      <c r="A375" s="70"/>
      <c r="B375" s="64"/>
      <c r="C375" s="64"/>
      <c r="D375" s="64"/>
      <c r="E375" s="64"/>
      <c r="F375" s="64"/>
      <c r="G375" s="64"/>
      <c r="H375" s="64"/>
      <c r="I375" s="65" t="s">
        <v>1088</v>
      </c>
      <c r="J375" s="64"/>
      <c r="K375" s="64"/>
      <c r="L375" s="65" t="s">
        <v>1089</v>
      </c>
      <c r="M375" s="64"/>
      <c r="N375" s="64"/>
      <c r="O375" s="72"/>
      <c r="P375" s="62"/>
      <c r="Q375" s="62"/>
      <c r="R375" s="62"/>
      <c r="S375" s="62"/>
      <c r="T375" s="62"/>
      <c r="U375" s="62"/>
    </row>
    <row r="376" spans="1:21" ht="15.75" thickBot="1" x14ac:dyDescent="0.3">
      <c r="A376" s="71"/>
      <c r="B376" s="66"/>
      <c r="C376" s="67"/>
      <c r="D376" s="66"/>
      <c r="E376" s="66"/>
      <c r="F376" s="66"/>
      <c r="G376" s="67"/>
      <c r="H376" s="66"/>
      <c r="I376" s="68">
        <v>177</v>
      </c>
      <c r="J376" s="66"/>
      <c r="K376" s="66"/>
      <c r="L376" s="69">
        <v>5299</v>
      </c>
      <c r="M376" s="66"/>
      <c r="N376" s="66"/>
      <c r="O376" s="73"/>
      <c r="P376" s="63"/>
      <c r="Q376" s="63"/>
      <c r="R376" s="63"/>
      <c r="S376" s="63"/>
      <c r="T376" s="63"/>
      <c r="U376" s="63"/>
    </row>
    <row r="377" spans="1:21" ht="15.75" thickBot="1" x14ac:dyDescent="0.3">
      <c r="C377" s="1"/>
      <c r="G377" s="1"/>
    </row>
    <row r="378" spans="1:21" x14ac:dyDescent="0.25">
      <c r="A378" s="9"/>
      <c r="B378" s="10"/>
      <c r="C378" s="11"/>
      <c r="D378" s="11"/>
      <c r="E378" s="11"/>
      <c r="F378" s="11"/>
      <c r="G378" s="11"/>
      <c r="H378" s="12"/>
      <c r="I378" s="11"/>
      <c r="J378" s="13"/>
      <c r="K378" s="13"/>
      <c r="L378" s="13"/>
      <c r="M378" s="13"/>
      <c r="N378" s="11"/>
      <c r="O378" s="14"/>
      <c r="P378" s="4"/>
      <c r="Q378" s="5"/>
      <c r="R378" s="4"/>
      <c r="S378" s="4"/>
      <c r="T378" s="4"/>
      <c r="U378" s="4"/>
    </row>
    <row r="379" spans="1:21" x14ac:dyDescent="0.25">
      <c r="A379" s="6" t="s">
        <v>1090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15"/>
      <c r="P379" s="3"/>
      <c r="Q379" s="3"/>
      <c r="R379" s="3"/>
      <c r="S379" s="3"/>
      <c r="T379" s="3"/>
      <c r="U379" s="3"/>
    </row>
    <row r="380" spans="1:21" x14ac:dyDescent="0.25">
      <c r="A380" s="7" t="s">
        <v>107</v>
      </c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15"/>
      <c r="P380" s="3"/>
      <c r="Q380" s="3"/>
      <c r="R380" s="3"/>
      <c r="S380" s="3"/>
      <c r="T380" s="3"/>
      <c r="U380" s="3"/>
    </row>
    <row r="381" spans="1:21" ht="15.75" thickBot="1" x14ac:dyDescent="0.3">
      <c r="A381" s="8"/>
      <c r="B381" s="8"/>
      <c r="C381" s="74"/>
      <c r="D381" s="8"/>
      <c r="E381" s="8"/>
      <c r="F381" s="8"/>
      <c r="G381" s="74"/>
      <c r="H381" s="8"/>
      <c r="I381" s="8"/>
      <c r="J381" s="8"/>
      <c r="K381" s="8"/>
      <c r="L381" s="8"/>
      <c r="M381" s="8"/>
      <c r="N381" s="8"/>
      <c r="O381" s="16"/>
      <c r="P381" s="3"/>
      <c r="Q381" s="3"/>
      <c r="R381" s="3"/>
      <c r="S381" s="3"/>
      <c r="T381" s="3"/>
      <c r="U381" s="3"/>
    </row>
    <row r="382" spans="1:21" ht="17.25" customHeight="1" thickBot="1" x14ac:dyDescent="0.3">
      <c r="A382" s="19" t="s">
        <v>1068</v>
      </c>
      <c r="B382" s="24" t="s">
        <v>1069</v>
      </c>
      <c r="C382" s="26" t="s">
        <v>1070</v>
      </c>
      <c r="D382" s="29" t="s">
        <v>1071</v>
      </c>
      <c r="E382" s="26" t="s">
        <v>1072</v>
      </c>
      <c r="F382" s="31" t="s">
        <v>1073</v>
      </c>
      <c r="G382" s="31" t="s">
        <v>1074</v>
      </c>
      <c r="H382" s="31" t="s">
        <v>1075</v>
      </c>
      <c r="I382" s="29" t="s">
        <v>14</v>
      </c>
      <c r="J382" s="29" t="s">
        <v>1076</v>
      </c>
      <c r="K382" s="29" t="s">
        <v>1077</v>
      </c>
      <c r="L382" s="29" t="s">
        <v>1078</v>
      </c>
      <c r="M382" s="29" t="s">
        <v>1079</v>
      </c>
      <c r="N382" s="29" t="s">
        <v>1080</v>
      </c>
      <c r="O382" s="36" t="s">
        <v>1081</v>
      </c>
      <c r="P382" s="37" t="s">
        <v>1082</v>
      </c>
      <c r="Q382" s="38" t="s">
        <v>1083</v>
      </c>
      <c r="R382" s="38" t="s">
        <v>1084</v>
      </c>
      <c r="S382" s="38" t="s">
        <v>1085</v>
      </c>
      <c r="T382" s="38" t="s">
        <v>1086</v>
      </c>
      <c r="U382" s="39" t="s">
        <v>1086</v>
      </c>
    </row>
    <row r="383" spans="1:21" ht="12.75" customHeight="1" x14ac:dyDescent="0.25">
      <c r="A383" s="46" t="s">
        <v>17</v>
      </c>
      <c r="B383" s="40" t="s">
        <v>337</v>
      </c>
      <c r="C383" s="41">
        <v>45962</v>
      </c>
      <c r="D383" s="42" t="s">
        <v>338</v>
      </c>
      <c r="E383" s="41" t="s">
        <v>339</v>
      </c>
      <c r="F383" s="41" t="s">
        <v>340</v>
      </c>
      <c r="G383" s="41">
        <v>45991</v>
      </c>
      <c r="H383" s="40" t="s">
        <v>5</v>
      </c>
      <c r="I383" s="43" t="s">
        <v>14</v>
      </c>
      <c r="J383" s="40">
        <v>1</v>
      </c>
      <c r="K383" s="40">
        <v>1</v>
      </c>
      <c r="L383" s="44">
        <v>0</v>
      </c>
      <c r="M383" s="40">
        <v>26</v>
      </c>
      <c r="N383" s="40">
        <v>26</v>
      </c>
      <c r="O383" s="48">
        <v>0</v>
      </c>
      <c r="P383" s="45" t="s">
        <v>159</v>
      </c>
      <c r="Q383" s="23" t="s">
        <v>107</v>
      </c>
      <c r="R383" s="23" t="s">
        <v>341</v>
      </c>
      <c r="S383" s="23" t="s">
        <v>9</v>
      </c>
      <c r="T383" s="23">
        <f>SUMIFS($J$1:INDEX(J:J,ROW()-1),$I$1:INDEX(I:I,ROW()-1),"&lt;&gt;Totals:")</f>
        <v>178</v>
      </c>
      <c r="U383" s="22">
        <f>SUMIFS($M$1:INDEX(M:M,ROW()),$I$1:INDEX(I:I,ROW()),"&lt;&gt;*Totals:*")</f>
        <v>5325</v>
      </c>
    </row>
    <row r="384" spans="1:21" ht="12.75" customHeight="1" x14ac:dyDescent="0.25">
      <c r="A384" s="47" t="s">
        <v>17</v>
      </c>
      <c r="B384" s="23" t="s">
        <v>342</v>
      </c>
      <c r="C384" s="28">
        <v>45962</v>
      </c>
      <c r="D384" s="30" t="s">
        <v>338</v>
      </c>
      <c r="E384" s="28" t="s">
        <v>339</v>
      </c>
      <c r="F384" s="28" t="s">
        <v>330</v>
      </c>
      <c r="G384" s="28">
        <v>45991</v>
      </c>
      <c r="H384" s="23" t="s">
        <v>5</v>
      </c>
      <c r="I384" s="33" t="s">
        <v>14</v>
      </c>
      <c r="J384" s="23">
        <v>1</v>
      </c>
      <c r="K384" s="23">
        <v>1</v>
      </c>
      <c r="L384" s="35">
        <v>0</v>
      </c>
      <c r="M384" s="23">
        <v>1</v>
      </c>
      <c r="N384" s="23">
        <v>1</v>
      </c>
      <c r="O384" s="49">
        <v>0</v>
      </c>
      <c r="P384" s="45" t="s">
        <v>159</v>
      </c>
      <c r="Q384" s="23" t="s">
        <v>107</v>
      </c>
      <c r="R384" s="23" t="s">
        <v>341</v>
      </c>
      <c r="S384" s="23" t="s">
        <v>9</v>
      </c>
      <c r="T384" s="23">
        <f>SUMIFS($J$1:INDEX(J:J,ROW()-1),$I$1:INDEX(I:I,ROW()-1),"&lt;&gt;Totals:")</f>
        <v>179</v>
      </c>
      <c r="U384" s="22">
        <f>SUMIFS($M$1:INDEX(M:M,ROW()),$I$1:INDEX(I:I,ROW()),"&lt;&gt;*Totals:*")</f>
        <v>5326</v>
      </c>
    </row>
    <row r="385" spans="1:21" ht="12.75" customHeight="1" x14ac:dyDescent="0.25">
      <c r="A385" s="47" t="s">
        <v>15</v>
      </c>
      <c r="B385" s="23" t="s">
        <v>343</v>
      </c>
      <c r="C385" s="28">
        <v>45970</v>
      </c>
      <c r="D385" s="30" t="s">
        <v>338</v>
      </c>
      <c r="E385" s="28" t="s">
        <v>339</v>
      </c>
      <c r="F385" s="28" t="s">
        <v>344</v>
      </c>
      <c r="G385" s="28">
        <v>45999</v>
      </c>
      <c r="H385" s="23" t="s">
        <v>5</v>
      </c>
      <c r="I385" s="33" t="s">
        <v>14</v>
      </c>
      <c r="J385" s="23">
        <v>1</v>
      </c>
      <c r="K385" s="23">
        <v>1</v>
      </c>
      <c r="L385" s="35">
        <v>0</v>
      </c>
      <c r="M385" s="23">
        <v>1</v>
      </c>
      <c r="N385" s="23">
        <v>1</v>
      </c>
      <c r="O385" s="49">
        <v>0</v>
      </c>
      <c r="P385" s="45" t="s">
        <v>159</v>
      </c>
      <c r="Q385" s="23" t="s">
        <v>107</v>
      </c>
      <c r="R385" s="23" t="s">
        <v>341</v>
      </c>
      <c r="S385" s="23" t="s">
        <v>9</v>
      </c>
      <c r="T385" s="23">
        <f>SUMIFS($J$1:INDEX(J:J,ROW()-1),$I$1:INDEX(I:I,ROW()-1),"&lt;&gt;Totals:")</f>
        <v>180</v>
      </c>
      <c r="U385" s="22">
        <f>SUMIFS($M$1:INDEX(M:M,ROW()),$I$1:INDEX(I:I,ROW()),"&lt;&gt;*Totals:*")</f>
        <v>5327</v>
      </c>
    </row>
    <row r="386" spans="1:21" ht="12.75" customHeight="1" x14ac:dyDescent="0.25">
      <c r="A386" s="47" t="s">
        <v>10</v>
      </c>
      <c r="B386" s="23" t="s">
        <v>343</v>
      </c>
      <c r="C386" s="28">
        <v>45970</v>
      </c>
      <c r="D386" s="30" t="s">
        <v>338</v>
      </c>
      <c r="E386" s="28" t="s">
        <v>345</v>
      </c>
      <c r="F386" s="28" t="s">
        <v>323</v>
      </c>
      <c r="G386" s="28">
        <v>45999</v>
      </c>
      <c r="H386" s="23" t="s">
        <v>5</v>
      </c>
      <c r="I386" s="33" t="s">
        <v>14</v>
      </c>
      <c r="J386" s="23">
        <v>1</v>
      </c>
      <c r="K386" s="23">
        <v>1</v>
      </c>
      <c r="L386" s="35">
        <v>0</v>
      </c>
      <c r="M386" s="23">
        <v>3</v>
      </c>
      <c r="N386" s="23">
        <v>3</v>
      </c>
      <c r="O386" s="49">
        <v>0</v>
      </c>
      <c r="P386" s="45" t="s">
        <v>159</v>
      </c>
      <c r="Q386" s="23" t="s">
        <v>107</v>
      </c>
      <c r="R386" s="23" t="s">
        <v>341</v>
      </c>
      <c r="S386" s="23" t="s">
        <v>9</v>
      </c>
      <c r="T386" s="23">
        <f>SUMIFS($J$1:INDEX(J:J,ROW()-1),$I$1:INDEX(I:I,ROW()-1),"&lt;&gt;Totals:")</f>
        <v>181</v>
      </c>
      <c r="U386" s="22">
        <f>SUMIFS($M$1:INDEX(M:M,ROW()),$I$1:INDEX(I:I,ROW()),"&lt;&gt;*Totals:*")</f>
        <v>5330</v>
      </c>
    </row>
    <row r="387" spans="1:21" ht="12.75" customHeight="1" x14ac:dyDescent="0.25">
      <c r="A387" s="47" t="s">
        <v>36</v>
      </c>
      <c r="B387" s="23" t="s">
        <v>346</v>
      </c>
      <c r="C387" s="28">
        <v>45971</v>
      </c>
      <c r="D387" s="30" t="s">
        <v>338</v>
      </c>
      <c r="E387" s="28" t="s">
        <v>345</v>
      </c>
      <c r="F387" s="28" t="s">
        <v>334</v>
      </c>
      <c r="G387" s="28">
        <v>46000</v>
      </c>
      <c r="H387" s="23" t="s">
        <v>5</v>
      </c>
      <c r="I387" s="33" t="s">
        <v>14</v>
      </c>
      <c r="J387" s="23">
        <v>1</v>
      </c>
      <c r="K387" s="23">
        <v>1</v>
      </c>
      <c r="L387" s="35">
        <v>0</v>
      </c>
      <c r="M387" s="23">
        <v>5</v>
      </c>
      <c r="N387" s="23">
        <v>5</v>
      </c>
      <c r="O387" s="49">
        <v>0</v>
      </c>
      <c r="P387" s="45" t="s">
        <v>159</v>
      </c>
      <c r="Q387" s="23" t="s">
        <v>107</v>
      </c>
      <c r="R387" s="23" t="s">
        <v>341</v>
      </c>
      <c r="S387" s="23" t="s">
        <v>9</v>
      </c>
      <c r="T387" s="23">
        <f>SUMIFS($J$1:INDEX(J:J,ROW()-1),$I$1:INDEX(I:I,ROW()-1),"&lt;&gt;Totals:")</f>
        <v>182</v>
      </c>
      <c r="U387" s="22">
        <f>SUMIFS($M$1:INDEX(M:M,ROW()),$I$1:INDEX(I:I,ROW()),"&lt;&gt;*Totals:*")</f>
        <v>5335</v>
      </c>
    </row>
    <row r="388" spans="1:21" ht="12.75" customHeight="1" x14ac:dyDescent="0.25">
      <c r="A388" s="47" t="s">
        <v>15</v>
      </c>
      <c r="B388" s="23" t="s">
        <v>343</v>
      </c>
      <c r="C388" s="28">
        <v>45971</v>
      </c>
      <c r="D388" s="30" t="s">
        <v>338</v>
      </c>
      <c r="E388" s="28" t="s">
        <v>339</v>
      </c>
      <c r="F388" s="28" t="s">
        <v>344</v>
      </c>
      <c r="G388" s="28">
        <v>46000</v>
      </c>
      <c r="H388" s="23" t="s">
        <v>5</v>
      </c>
      <c r="I388" s="33" t="s">
        <v>14</v>
      </c>
      <c r="J388" s="23">
        <v>1</v>
      </c>
      <c r="K388" s="23">
        <v>1</v>
      </c>
      <c r="L388" s="35">
        <v>0</v>
      </c>
      <c r="M388" s="23">
        <v>33</v>
      </c>
      <c r="N388" s="23">
        <v>33</v>
      </c>
      <c r="O388" s="49">
        <v>0</v>
      </c>
      <c r="P388" s="45" t="s">
        <v>159</v>
      </c>
      <c r="Q388" s="23" t="s">
        <v>107</v>
      </c>
      <c r="R388" s="23" t="s">
        <v>341</v>
      </c>
      <c r="S388" s="23" t="s">
        <v>9</v>
      </c>
      <c r="T388" s="23">
        <f>SUMIFS($J$1:INDEX(J:J,ROW()-1),$I$1:INDEX(I:I,ROW()-1),"&lt;&gt;Totals:")</f>
        <v>183</v>
      </c>
      <c r="U388" s="22">
        <f>SUMIFS($M$1:INDEX(M:M,ROW()),$I$1:INDEX(I:I,ROW()),"&lt;&gt;*Totals:*")</f>
        <v>5368</v>
      </c>
    </row>
    <row r="389" spans="1:21" ht="12.75" customHeight="1" x14ac:dyDescent="0.25">
      <c r="A389" s="47" t="s">
        <v>40</v>
      </c>
      <c r="B389" s="23" t="s">
        <v>347</v>
      </c>
      <c r="C389" s="28">
        <v>45971</v>
      </c>
      <c r="D389" s="30" t="s">
        <v>338</v>
      </c>
      <c r="E389" s="28" t="s">
        <v>345</v>
      </c>
      <c r="F389" s="28" t="s">
        <v>334</v>
      </c>
      <c r="G389" s="28">
        <v>46000</v>
      </c>
      <c r="H389" s="23" t="s">
        <v>5</v>
      </c>
      <c r="I389" s="33" t="s">
        <v>14</v>
      </c>
      <c r="J389" s="23">
        <v>1</v>
      </c>
      <c r="K389" s="23">
        <v>1</v>
      </c>
      <c r="L389" s="35">
        <v>0</v>
      </c>
      <c r="M389" s="23">
        <v>13</v>
      </c>
      <c r="N389" s="23">
        <v>13</v>
      </c>
      <c r="O389" s="49">
        <v>0</v>
      </c>
      <c r="P389" s="45" t="s">
        <v>159</v>
      </c>
      <c r="Q389" s="23" t="s">
        <v>107</v>
      </c>
      <c r="R389" s="23" t="s">
        <v>341</v>
      </c>
      <c r="S389" s="23" t="s">
        <v>9</v>
      </c>
      <c r="T389" s="23">
        <f>SUMIFS($J$1:INDEX(J:J,ROW()-1),$I$1:INDEX(I:I,ROW()-1),"&lt;&gt;Totals:")</f>
        <v>184</v>
      </c>
      <c r="U389" s="22">
        <f>SUMIFS($M$1:INDEX(M:M,ROW()),$I$1:INDEX(I:I,ROW()),"&lt;&gt;*Totals:*")</f>
        <v>5381</v>
      </c>
    </row>
    <row r="390" spans="1:21" ht="12.75" customHeight="1" x14ac:dyDescent="0.25">
      <c r="A390" s="47" t="s">
        <v>10</v>
      </c>
      <c r="B390" s="23" t="s">
        <v>343</v>
      </c>
      <c r="C390" s="28">
        <v>45971</v>
      </c>
      <c r="D390" s="30" t="s">
        <v>338</v>
      </c>
      <c r="E390" s="28" t="s">
        <v>348</v>
      </c>
      <c r="F390" s="28" t="s">
        <v>323</v>
      </c>
      <c r="G390" s="28">
        <v>46000</v>
      </c>
      <c r="H390" s="23" t="s">
        <v>5</v>
      </c>
      <c r="I390" s="33"/>
      <c r="J390" s="23">
        <v>0</v>
      </c>
      <c r="K390" s="23">
        <v>1</v>
      </c>
      <c r="L390" s="35">
        <v>1</v>
      </c>
      <c r="M390" s="23">
        <v>107</v>
      </c>
      <c r="N390" s="23">
        <v>0</v>
      </c>
      <c r="O390" s="49">
        <v>1</v>
      </c>
      <c r="P390" s="45" t="s">
        <v>159</v>
      </c>
      <c r="Q390" s="23" t="s">
        <v>107</v>
      </c>
      <c r="R390" s="23" t="s">
        <v>341</v>
      </c>
      <c r="S390" s="23" t="s">
        <v>9</v>
      </c>
      <c r="T390" s="23">
        <f>SUMIFS($J$1:INDEX(J:J,ROW()-1),$I$1:INDEX(I:I,ROW()-1),"&lt;&gt;Totals:")</f>
        <v>185</v>
      </c>
      <c r="U390" s="22">
        <f>SUMIFS($M$1:INDEX(M:M,ROW()),$I$1:INDEX(I:I,ROW()),"&lt;&gt;*Totals:*")</f>
        <v>5488</v>
      </c>
    </row>
    <row r="391" spans="1:21" ht="12.75" customHeight="1" x14ac:dyDescent="0.25">
      <c r="A391" s="47" t="s">
        <v>17</v>
      </c>
      <c r="B391" s="23" t="s">
        <v>349</v>
      </c>
      <c r="C391" s="28">
        <v>45972</v>
      </c>
      <c r="D391" s="30" t="s">
        <v>338</v>
      </c>
      <c r="E391" s="28" t="s">
        <v>339</v>
      </c>
      <c r="F391" s="28" t="s">
        <v>336</v>
      </c>
      <c r="G391" s="28">
        <v>46001</v>
      </c>
      <c r="H391" s="23" t="s">
        <v>5</v>
      </c>
      <c r="I391" s="33" t="s">
        <v>14</v>
      </c>
      <c r="J391" s="23">
        <v>1</v>
      </c>
      <c r="K391" s="23">
        <v>1</v>
      </c>
      <c r="L391" s="35">
        <v>0</v>
      </c>
      <c r="M391" s="23">
        <v>1</v>
      </c>
      <c r="N391" s="23">
        <v>1</v>
      </c>
      <c r="O391" s="49">
        <v>0</v>
      </c>
      <c r="P391" s="45" t="s">
        <v>159</v>
      </c>
      <c r="Q391" s="23" t="s">
        <v>107</v>
      </c>
      <c r="R391" s="23" t="s">
        <v>341</v>
      </c>
      <c r="S391" s="23" t="s">
        <v>9</v>
      </c>
      <c r="T391" s="23">
        <f>SUMIFS($J$1:INDEX(J:J,ROW()-1),$I$1:INDEX(I:I,ROW()-1),"&lt;&gt;Totals:")</f>
        <v>185</v>
      </c>
      <c r="U391" s="22">
        <f>SUMIFS($M$1:INDEX(M:M,ROW()),$I$1:INDEX(I:I,ROW()),"&lt;&gt;*Totals:*")</f>
        <v>5489</v>
      </c>
    </row>
    <row r="392" spans="1:21" ht="12.75" customHeight="1" x14ac:dyDescent="0.25">
      <c r="A392" s="47" t="s">
        <v>15</v>
      </c>
      <c r="B392" s="23" t="s">
        <v>343</v>
      </c>
      <c r="C392" s="28">
        <v>45974</v>
      </c>
      <c r="D392" s="30" t="s">
        <v>338</v>
      </c>
      <c r="E392" s="28" t="s">
        <v>339</v>
      </c>
      <c r="F392" s="28" t="s">
        <v>344</v>
      </c>
      <c r="G392" s="28">
        <v>46003</v>
      </c>
      <c r="H392" s="23" t="s">
        <v>5</v>
      </c>
      <c r="I392" s="33" t="s">
        <v>14</v>
      </c>
      <c r="J392" s="23">
        <v>1</v>
      </c>
      <c r="K392" s="23">
        <v>1</v>
      </c>
      <c r="L392" s="35">
        <v>0</v>
      </c>
      <c r="M392" s="23">
        <v>1</v>
      </c>
      <c r="N392" s="23">
        <v>1</v>
      </c>
      <c r="O392" s="49">
        <v>0</v>
      </c>
      <c r="P392" s="45" t="s">
        <v>159</v>
      </c>
      <c r="Q392" s="23" t="s">
        <v>107</v>
      </c>
      <c r="R392" s="23" t="s">
        <v>341</v>
      </c>
      <c r="S392" s="23" t="s">
        <v>9</v>
      </c>
      <c r="T392" s="23">
        <f>SUMIFS($J$1:INDEX(J:J,ROW()-1),$I$1:INDEX(I:I,ROW()-1),"&lt;&gt;Totals:")</f>
        <v>186</v>
      </c>
      <c r="U392" s="22">
        <f>SUMIFS($M$1:INDEX(M:M,ROW()),$I$1:INDEX(I:I,ROW()),"&lt;&gt;*Totals:*")</f>
        <v>5490</v>
      </c>
    </row>
    <row r="393" spans="1:21" ht="12.75" customHeight="1" x14ac:dyDescent="0.25">
      <c r="A393" s="47" t="s">
        <v>0</v>
      </c>
      <c r="B393" s="23" t="s">
        <v>350</v>
      </c>
      <c r="C393" s="28">
        <v>45974</v>
      </c>
      <c r="D393" s="30" t="s">
        <v>338</v>
      </c>
      <c r="E393" s="28" t="s">
        <v>351</v>
      </c>
      <c r="F393" s="28" t="s">
        <v>344</v>
      </c>
      <c r="G393" s="28">
        <v>46003</v>
      </c>
      <c r="H393" s="23" t="s">
        <v>5</v>
      </c>
      <c r="I393" s="33"/>
      <c r="J393" s="23">
        <v>0</v>
      </c>
      <c r="K393" s="23">
        <v>1</v>
      </c>
      <c r="L393" s="35">
        <v>1</v>
      </c>
      <c r="M393" s="23">
        <v>132</v>
      </c>
      <c r="N393" s="23">
        <v>0</v>
      </c>
      <c r="O393" s="49">
        <v>1</v>
      </c>
      <c r="P393" s="45" t="s">
        <v>159</v>
      </c>
      <c r="Q393" s="23" t="s">
        <v>107</v>
      </c>
      <c r="R393" s="23" t="s">
        <v>341</v>
      </c>
      <c r="S393" s="23" t="s">
        <v>9</v>
      </c>
      <c r="T393" s="23">
        <f>SUMIFS($J$1:INDEX(J:J,ROW()-1),$I$1:INDEX(I:I,ROW()-1),"&lt;&gt;Totals:")</f>
        <v>187</v>
      </c>
      <c r="U393" s="22">
        <f>SUMIFS($M$1:INDEX(M:M,ROW()),$I$1:INDEX(I:I,ROW()),"&lt;&gt;*Totals:*")</f>
        <v>5622</v>
      </c>
    </row>
    <row r="394" spans="1:21" ht="12.75" customHeight="1" thickBot="1" x14ac:dyDescent="0.3">
      <c r="A394" s="51" t="s">
        <v>10</v>
      </c>
      <c r="B394" s="20" t="s">
        <v>343</v>
      </c>
      <c r="C394" s="25">
        <v>45974</v>
      </c>
      <c r="D394" s="27" t="s">
        <v>338</v>
      </c>
      <c r="E394" s="25" t="s">
        <v>345</v>
      </c>
      <c r="F394" s="25" t="s">
        <v>323</v>
      </c>
      <c r="G394" s="25">
        <v>46003</v>
      </c>
      <c r="H394" s="20" t="s">
        <v>5</v>
      </c>
      <c r="I394" s="32" t="s">
        <v>14</v>
      </c>
      <c r="J394" s="20">
        <v>1</v>
      </c>
      <c r="K394" s="20">
        <v>1</v>
      </c>
      <c r="L394" s="34">
        <v>0</v>
      </c>
      <c r="M394" s="20">
        <v>2</v>
      </c>
      <c r="N394" s="20">
        <v>2</v>
      </c>
      <c r="O394" s="54">
        <v>0</v>
      </c>
      <c r="P394" s="45" t="s">
        <v>159</v>
      </c>
      <c r="Q394" s="23" t="s">
        <v>107</v>
      </c>
      <c r="R394" s="23" t="s">
        <v>341</v>
      </c>
      <c r="S394" s="23" t="s">
        <v>9</v>
      </c>
      <c r="T394" s="23">
        <f>SUMIFS($J$1:INDEX(J:J,ROW()-1),$I$1:INDEX(I:I,ROW()-1),"&lt;&gt;Totals:")</f>
        <v>187</v>
      </c>
      <c r="U394" s="22">
        <f>SUMIFS($M$1:INDEX(M:M,ROW()),$I$1:INDEX(I:I,ROW()),"&lt;&gt;*Totals:*")</f>
        <v>5624</v>
      </c>
    </row>
    <row r="395" spans="1:21" ht="17.25" customHeight="1" x14ac:dyDescent="0.25">
      <c r="A395" s="60"/>
      <c r="B395" s="50"/>
      <c r="C395" s="55"/>
      <c r="D395" s="56"/>
      <c r="E395" s="56"/>
      <c r="F395" s="57"/>
      <c r="G395" s="57"/>
      <c r="H395" s="57"/>
      <c r="I395" s="58" t="s">
        <v>1087</v>
      </c>
      <c r="J395" s="57">
        <f>SUM(J383:J394)</f>
        <v>10</v>
      </c>
      <c r="K395" s="57">
        <f>SUM(K383:K394)</f>
        <v>12</v>
      </c>
      <c r="L395" s="59">
        <f>(SUM(K383:K394) - SUM(J383:J394)) / SUM(K383:K394)</f>
        <v>0.16666666666666666</v>
      </c>
      <c r="M395" s="57">
        <f>SUM(M383:M394)</f>
        <v>325</v>
      </c>
      <c r="N395" s="56">
        <f>SUM(N383:N394)</f>
        <v>86</v>
      </c>
      <c r="O395" s="61">
        <f>(SUM(M383:M394) - SUM(N383:N394)) / SUM(M383:M394)</f>
        <v>0.73538461538461541</v>
      </c>
      <c r="P395" s="52"/>
      <c r="Q395" s="53"/>
      <c r="R395" s="52"/>
      <c r="S395" s="52"/>
      <c r="T395" s="52"/>
      <c r="U395" s="52"/>
    </row>
    <row r="396" spans="1:21" x14ac:dyDescent="0.25">
      <c r="A396" s="70"/>
      <c r="B396" s="64"/>
      <c r="C396" s="64"/>
      <c r="D396" s="64"/>
      <c r="E396" s="64"/>
      <c r="F396" s="64"/>
      <c r="G396" s="64"/>
      <c r="H396" s="64"/>
      <c r="I396" s="65" t="s">
        <v>1088</v>
      </c>
      <c r="J396" s="64"/>
      <c r="K396" s="64"/>
      <c r="L396" s="65" t="s">
        <v>1089</v>
      </c>
      <c r="M396" s="64"/>
      <c r="N396" s="64"/>
      <c r="O396" s="72"/>
      <c r="P396" s="62"/>
      <c r="Q396" s="62"/>
      <c r="R396" s="62"/>
      <c r="S396" s="62"/>
      <c r="T396" s="62"/>
      <c r="U396" s="62"/>
    </row>
    <row r="397" spans="1:21" ht="15.75" thickBot="1" x14ac:dyDescent="0.3">
      <c r="A397" s="71"/>
      <c r="B397" s="66"/>
      <c r="C397" s="67"/>
      <c r="D397" s="66"/>
      <c r="E397" s="66"/>
      <c r="F397" s="66"/>
      <c r="G397" s="67"/>
      <c r="H397" s="66"/>
      <c r="I397" s="68">
        <v>187</v>
      </c>
      <c r="J397" s="66"/>
      <c r="K397" s="66"/>
      <c r="L397" s="69">
        <v>5624</v>
      </c>
      <c r="M397" s="66"/>
      <c r="N397" s="66"/>
      <c r="O397" s="73"/>
      <c r="P397" s="63"/>
      <c r="Q397" s="63"/>
      <c r="R397" s="63"/>
      <c r="S397" s="63"/>
      <c r="T397" s="63"/>
      <c r="U397" s="63"/>
    </row>
    <row r="398" spans="1:21" ht="15.75" thickBot="1" x14ac:dyDescent="0.3">
      <c r="C398" s="1"/>
      <c r="G398" s="1"/>
    </row>
    <row r="399" spans="1:21" x14ac:dyDescent="0.25">
      <c r="A399" s="9"/>
      <c r="B399" s="10"/>
      <c r="C399" s="11"/>
      <c r="D399" s="11"/>
      <c r="E399" s="11"/>
      <c r="F399" s="11"/>
      <c r="G399" s="11"/>
      <c r="H399" s="12"/>
      <c r="I399" s="11"/>
      <c r="J399" s="13"/>
      <c r="K399" s="13"/>
      <c r="L399" s="13"/>
      <c r="M399" s="13"/>
      <c r="N399" s="11"/>
      <c r="O399" s="14"/>
      <c r="P399" s="4"/>
      <c r="Q399" s="5"/>
      <c r="R399" s="4"/>
      <c r="S399" s="4"/>
      <c r="T399" s="4"/>
      <c r="U399" s="4"/>
    </row>
    <row r="400" spans="1:21" x14ac:dyDescent="0.25">
      <c r="A400" s="6" t="s">
        <v>1090</v>
      </c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15"/>
      <c r="P400" s="3"/>
      <c r="Q400" s="3"/>
      <c r="R400" s="3"/>
      <c r="S400" s="3"/>
      <c r="T400" s="3"/>
      <c r="U400" s="3"/>
    </row>
    <row r="401" spans="1:21" x14ac:dyDescent="0.25">
      <c r="A401" s="7" t="s">
        <v>132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15"/>
      <c r="P401" s="3"/>
      <c r="Q401" s="3"/>
      <c r="R401" s="3"/>
      <c r="S401" s="3"/>
      <c r="T401" s="3"/>
      <c r="U401" s="3"/>
    </row>
    <row r="402" spans="1:21" ht="15.75" thickBot="1" x14ac:dyDescent="0.3">
      <c r="A402" s="8"/>
      <c r="B402" s="8"/>
      <c r="C402" s="74"/>
      <c r="D402" s="8"/>
      <c r="E402" s="8"/>
      <c r="F402" s="8"/>
      <c r="G402" s="74"/>
      <c r="H402" s="8"/>
      <c r="I402" s="8"/>
      <c r="J402" s="8"/>
      <c r="K402" s="8"/>
      <c r="L402" s="8"/>
      <c r="M402" s="8"/>
      <c r="N402" s="8"/>
      <c r="O402" s="16"/>
      <c r="P402" s="3"/>
      <c r="Q402" s="3"/>
      <c r="R402" s="3"/>
      <c r="S402" s="3"/>
      <c r="T402" s="3"/>
      <c r="U402" s="3"/>
    </row>
    <row r="403" spans="1:21" ht="17.25" customHeight="1" thickBot="1" x14ac:dyDescent="0.3">
      <c r="A403" s="19" t="s">
        <v>1068</v>
      </c>
      <c r="B403" s="24" t="s">
        <v>1069</v>
      </c>
      <c r="C403" s="26" t="s">
        <v>1070</v>
      </c>
      <c r="D403" s="29" t="s">
        <v>1071</v>
      </c>
      <c r="E403" s="26" t="s">
        <v>1072</v>
      </c>
      <c r="F403" s="31" t="s">
        <v>1073</v>
      </c>
      <c r="G403" s="31" t="s">
        <v>1074</v>
      </c>
      <c r="H403" s="31" t="s">
        <v>1075</v>
      </c>
      <c r="I403" s="29" t="s">
        <v>14</v>
      </c>
      <c r="J403" s="29" t="s">
        <v>1076</v>
      </c>
      <c r="K403" s="29" t="s">
        <v>1077</v>
      </c>
      <c r="L403" s="29" t="s">
        <v>1078</v>
      </c>
      <c r="M403" s="29" t="s">
        <v>1079</v>
      </c>
      <c r="N403" s="29" t="s">
        <v>1080</v>
      </c>
      <c r="O403" s="36" t="s">
        <v>1081</v>
      </c>
      <c r="P403" s="37" t="s">
        <v>1082</v>
      </c>
      <c r="Q403" s="38" t="s">
        <v>1083</v>
      </c>
      <c r="R403" s="38" t="s">
        <v>1084</v>
      </c>
      <c r="S403" s="38" t="s">
        <v>1085</v>
      </c>
      <c r="T403" s="38" t="s">
        <v>1086</v>
      </c>
      <c r="U403" s="39" t="s">
        <v>1086</v>
      </c>
    </row>
    <row r="404" spans="1:21" ht="12.75" customHeight="1" x14ac:dyDescent="0.25">
      <c r="A404" s="46" t="s">
        <v>17</v>
      </c>
      <c r="B404" s="40" t="s">
        <v>352</v>
      </c>
      <c r="C404" s="41">
        <v>45992</v>
      </c>
      <c r="D404" s="42" t="s">
        <v>353</v>
      </c>
      <c r="E404" s="41" t="s">
        <v>354</v>
      </c>
      <c r="F404" s="41" t="s">
        <v>354</v>
      </c>
      <c r="G404" s="41">
        <v>46021</v>
      </c>
      <c r="H404" s="40" t="s">
        <v>5</v>
      </c>
      <c r="I404" s="43"/>
      <c r="J404" s="40">
        <v>0</v>
      </c>
      <c r="K404" s="40">
        <v>1</v>
      </c>
      <c r="L404" s="44">
        <v>1</v>
      </c>
      <c r="M404" s="40">
        <v>21</v>
      </c>
      <c r="N404" s="40">
        <v>0</v>
      </c>
      <c r="O404" s="48">
        <v>1</v>
      </c>
      <c r="P404" s="45" t="s">
        <v>159</v>
      </c>
      <c r="Q404" s="23" t="s">
        <v>132</v>
      </c>
      <c r="R404" s="23" t="s">
        <v>355</v>
      </c>
      <c r="S404" s="23" t="s">
        <v>9</v>
      </c>
      <c r="T404" s="23">
        <f>SUMIFS($J$1:INDEX(J:J,ROW()-1),$I$1:INDEX(I:I,ROW()-1),"&lt;&gt;Totals:")</f>
        <v>188</v>
      </c>
      <c r="U404" s="22">
        <f>SUMIFS($M$1:INDEX(M:M,ROW()),$I$1:INDEX(I:I,ROW()),"&lt;&gt;*Totals:*")</f>
        <v>5645</v>
      </c>
    </row>
    <row r="405" spans="1:21" ht="12.75" customHeight="1" x14ac:dyDescent="0.25">
      <c r="A405" s="47" t="s">
        <v>17</v>
      </c>
      <c r="B405" s="23" t="s">
        <v>356</v>
      </c>
      <c r="C405" s="28">
        <v>45993</v>
      </c>
      <c r="D405" s="30" t="s">
        <v>353</v>
      </c>
      <c r="E405" s="28" t="s">
        <v>357</v>
      </c>
      <c r="F405" s="28" t="s">
        <v>358</v>
      </c>
      <c r="G405" s="28">
        <v>46022</v>
      </c>
      <c r="H405" s="23" t="s">
        <v>5</v>
      </c>
      <c r="I405" s="33" t="s">
        <v>14</v>
      </c>
      <c r="J405" s="23">
        <v>1</v>
      </c>
      <c r="K405" s="23">
        <v>1</v>
      </c>
      <c r="L405" s="35">
        <v>0</v>
      </c>
      <c r="M405" s="23">
        <v>3</v>
      </c>
      <c r="N405" s="23">
        <v>3</v>
      </c>
      <c r="O405" s="49">
        <v>0</v>
      </c>
      <c r="P405" s="45" t="s">
        <v>159</v>
      </c>
      <c r="Q405" s="23" t="s">
        <v>132</v>
      </c>
      <c r="R405" s="23" t="s">
        <v>355</v>
      </c>
      <c r="S405" s="23" t="s">
        <v>9</v>
      </c>
      <c r="T405" s="23">
        <f>SUMIFS($J$1:INDEX(J:J,ROW()-1),$I$1:INDEX(I:I,ROW()-1),"&lt;&gt;Totals:")</f>
        <v>188</v>
      </c>
      <c r="U405" s="22">
        <f>SUMIFS($M$1:INDEX(M:M,ROW()),$I$1:INDEX(I:I,ROW()),"&lt;&gt;*Totals:*")</f>
        <v>5648</v>
      </c>
    </row>
    <row r="406" spans="1:21" ht="12.75" customHeight="1" x14ac:dyDescent="0.25">
      <c r="A406" s="47" t="s">
        <v>17</v>
      </c>
      <c r="B406" s="23" t="s">
        <v>356</v>
      </c>
      <c r="C406" s="28">
        <v>45999</v>
      </c>
      <c r="D406" s="30" t="s">
        <v>353</v>
      </c>
      <c r="E406" s="28" t="s">
        <v>357</v>
      </c>
      <c r="F406" s="28" t="s">
        <v>358</v>
      </c>
      <c r="G406" s="28">
        <v>46028</v>
      </c>
      <c r="H406" s="23" t="s">
        <v>5</v>
      </c>
      <c r="I406" s="33" t="s">
        <v>14</v>
      </c>
      <c r="J406" s="23">
        <v>1</v>
      </c>
      <c r="K406" s="23">
        <v>1</v>
      </c>
      <c r="L406" s="35">
        <v>0</v>
      </c>
      <c r="M406" s="23">
        <v>2</v>
      </c>
      <c r="N406" s="23">
        <v>2</v>
      </c>
      <c r="O406" s="49">
        <v>0</v>
      </c>
      <c r="P406" s="45" t="s">
        <v>159</v>
      </c>
      <c r="Q406" s="23" t="s">
        <v>132</v>
      </c>
      <c r="R406" s="23" t="s">
        <v>355</v>
      </c>
      <c r="S406" s="23" t="s">
        <v>9</v>
      </c>
      <c r="T406" s="23">
        <f>SUMIFS($J$1:INDEX(J:J,ROW()-1),$I$1:INDEX(I:I,ROW()-1),"&lt;&gt;Totals:")</f>
        <v>189</v>
      </c>
      <c r="U406" s="22">
        <f>SUMIFS($M$1:INDEX(M:M,ROW()),$I$1:INDEX(I:I,ROW()),"&lt;&gt;*Totals:*")</f>
        <v>5650</v>
      </c>
    </row>
    <row r="407" spans="1:21" ht="12.75" customHeight="1" x14ac:dyDescent="0.25">
      <c r="A407" s="47" t="s">
        <v>10</v>
      </c>
      <c r="B407" s="23" t="s">
        <v>359</v>
      </c>
      <c r="C407" s="28">
        <v>46001</v>
      </c>
      <c r="D407" s="30" t="s">
        <v>353</v>
      </c>
      <c r="E407" s="28" t="s">
        <v>360</v>
      </c>
      <c r="F407" s="28" t="s">
        <v>361</v>
      </c>
      <c r="G407" s="28">
        <v>46030</v>
      </c>
      <c r="H407" s="23" t="s">
        <v>5</v>
      </c>
      <c r="I407" s="33" t="s">
        <v>14</v>
      </c>
      <c r="J407" s="23">
        <v>1</v>
      </c>
      <c r="K407" s="23">
        <v>1</v>
      </c>
      <c r="L407" s="35">
        <v>0</v>
      </c>
      <c r="M407" s="23">
        <v>88</v>
      </c>
      <c r="N407" s="23">
        <v>88</v>
      </c>
      <c r="O407" s="49">
        <v>0</v>
      </c>
      <c r="P407" s="45" t="s">
        <v>159</v>
      </c>
      <c r="Q407" s="23" t="s">
        <v>132</v>
      </c>
      <c r="R407" s="23" t="s">
        <v>355</v>
      </c>
      <c r="S407" s="23" t="s">
        <v>9</v>
      </c>
      <c r="T407" s="23">
        <f>SUMIFS($J$1:INDEX(J:J,ROW()-1),$I$1:INDEX(I:I,ROW()-1),"&lt;&gt;Totals:")</f>
        <v>190</v>
      </c>
      <c r="U407" s="22">
        <f>SUMIFS($M$1:INDEX(M:M,ROW()),$I$1:INDEX(I:I,ROW()),"&lt;&gt;*Totals:*")</f>
        <v>5738</v>
      </c>
    </row>
    <row r="408" spans="1:21" ht="12.75" customHeight="1" x14ac:dyDescent="0.25">
      <c r="A408" s="47" t="s">
        <v>36</v>
      </c>
      <c r="B408" s="23" t="s">
        <v>362</v>
      </c>
      <c r="C408" s="28">
        <v>46001</v>
      </c>
      <c r="D408" s="30" t="s">
        <v>353</v>
      </c>
      <c r="E408" s="28" t="s">
        <v>363</v>
      </c>
      <c r="F408" s="28" t="s">
        <v>339</v>
      </c>
      <c r="G408" s="28">
        <v>46030</v>
      </c>
      <c r="H408" s="23" t="s">
        <v>5</v>
      </c>
      <c r="I408" s="33" t="s">
        <v>14</v>
      </c>
      <c r="J408" s="23">
        <v>1</v>
      </c>
      <c r="K408" s="23">
        <v>1</v>
      </c>
      <c r="L408" s="35">
        <v>0</v>
      </c>
      <c r="M408" s="23">
        <v>5</v>
      </c>
      <c r="N408" s="23">
        <v>5</v>
      </c>
      <c r="O408" s="49">
        <v>0</v>
      </c>
      <c r="P408" s="45" t="s">
        <v>159</v>
      </c>
      <c r="Q408" s="23" t="s">
        <v>132</v>
      </c>
      <c r="R408" s="23" t="s">
        <v>355</v>
      </c>
      <c r="S408" s="23" t="s">
        <v>9</v>
      </c>
      <c r="T408" s="23">
        <f>SUMIFS($J$1:INDEX(J:J,ROW()-1),$I$1:INDEX(I:I,ROW()-1),"&lt;&gt;Totals:")</f>
        <v>191</v>
      </c>
      <c r="U408" s="22">
        <f>SUMIFS($M$1:INDEX(M:M,ROW()),$I$1:INDEX(I:I,ROW()),"&lt;&gt;*Totals:*")</f>
        <v>5743</v>
      </c>
    </row>
    <row r="409" spans="1:21" ht="12.75" customHeight="1" x14ac:dyDescent="0.25">
      <c r="A409" s="47" t="s">
        <v>15</v>
      </c>
      <c r="B409" s="23" t="s">
        <v>359</v>
      </c>
      <c r="C409" s="28">
        <v>46001</v>
      </c>
      <c r="D409" s="30" t="s">
        <v>353</v>
      </c>
      <c r="E409" s="28" t="s">
        <v>364</v>
      </c>
      <c r="F409" s="28" t="s">
        <v>361</v>
      </c>
      <c r="G409" s="28">
        <v>46030</v>
      </c>
      <c r="H409" s="23" t="s">
        <v>5</v>
      </c>
      <c r="I409" s="33"/>
      <c r="J409" s="23">
        <v>0</v>
      </c>
      <c r="K409" s="23">
        <v>1</v>
      </c>
      <c r="L409" s="35">
        <v>1</v>
      </c>
      <c r="M409" s="23">
        <v>30</v>
      </c>
      <c r="N409" s="23">
        <v>0</v>
      </c>
      <c r="O409" s="49">
        <v>1</v>
      </c>
      <c r="P409" s="45" t="s">
        <v>159</v>
      </c>
      <c r="Q409" s="23" t="s">
        <v>132</v>
      </c>
      <c r="R409" s="23" t="s">
        <v>355</v>
      </c>
      <c r="S409" s="23" t="s">
        <v>9</v>
      </c>
      <c r="T409" s="23">
        <f>SUMIFS($J$1:INDEX(J:J,ROW()-1),$I$1:INDEX(I:I,ROW()-1),"&lt;&gt;Totals:")</f>
        <v>192</v>
      </c>
      <c r="U409" s="22">
        <f>SUMIFS($M$1:INDEX(M:M,ROW()),$I$1:INDEX(I:I,ROW()),"&lt;&gt;*Totals:*")</f>
        <v>5773</v>
      </c>
    </row>
    <row r="410" spans="1:21" ht="12.75" customHeight="1" x14ac:dyDescent="0.25">
      <c r="A410" s="47" t="s">
        <v>40</v>
      </c>
      <c r="B410" s="23" t="s">
        <v>365</v>
      </c>
      <c r="C410" s="28">
        <v>46003</v>
      </c>
      <c r="D410" s="30" t="s">
        <v>353</v>
      </c>
      <c r="E410" s="28" t="s">
        <v>363</v>
      </c>
      <c r="F410" s="28" t="s">
        <v>339</v>
      </c>
      <c r="G410" s="28">
        <v>46032</v>
      </c>
      <c r="H410" s="23" t="s">
        <v>5</v>
      </c>
      <c r="I410" s="33" t="s">
        <v>14</v>
      </c>
      <c r="J410" s="23">
        <v>1</v>
      </c>
      <c r="K410" s="23">
        <v>1</v>
      </c>
      <c r="L410" s="35">
        <v>0</v>
      </c>
      <c r="M410" s="23">
        <v>13</v>
      </c>
      <c r="N410" s="23">
        <v>13</v>
      </c>
      <c r="O410" s="49">
        <v>0</v>
      </c>
      <c r="P410" s="45" t="s">
        <v>159</v>
      </c>
      <c r="Q410" s="23" t="s">
        <v>132</v>
      </c>
      <c r="R410" s="23" t="s">
        <v>355</v>
      </c>
      <c r="S410" s="23" t="s">
        <v>9</v>
      </c>
      <c r="T410" s="23">
        <f>SUMIFS($J$1:INDEX(J:J,ROW()-1),$I$1:INDEX(I:I,ROW()-1),"&lt;&gt;Totals:")</f>
        <v>192</v>
      </c>
      <c r="U410" s="22">
        <f>SUMIFS($M$1:INDEX(M:M,ROW()),$I$1:INDEX(I:I,ROW()),"&lt;&gt;*Totals:*")</f>
        <v>5786</v>
      </c>
    </row>
    <row r="411" spans="1:21" ht="12.75" customHeight="1" x14ac:dyDescent="0.25">
      <c r="A411" s="47" t="s">
        <v>0</v>
      </c>
      <c r="B411" s="23" t="s">
        <v>366</v>
      </c>
      <c r="C411" s="28">
        <v>46003</v>
      </c>
      <c r="D411" s="30" t="s">
        <v>353</v>
      </c>
      <c r="E411" s="28" t="s">
        <v>367</v>
      </c>
      <c r="F411" s="28" t="s">
        <v>368</v>
      </c>
      <c r="G411" s="28">
        <v>46032</v>
      </c>
      <c r="H411" s="23" t="s">
        <v>5</v>
      </c>
      <c r="I411" s="33" t="s">
        <v>14</v>
      </c>
      <c r="J411" s="23">
        <v>1</v>
      </c>
      <c r="K411" s="23">
        <v>1</v>
      </c>
      <c r="L411" s="35">
        <v>0</v>
      </c>
      <c r="M411" s="23">
        <v>6</v>
      </c>
      <c r="N411" s="23">
        <v>6</v>
      </c>
      <c r="O411" s="49">
        <v>0</v>
      </c>
      <c r="P411" s="45" t="s">
        <v>159</v>
      </c>
      <c r="Q411" s="23" t="s">
        <v>132</v>
      </c>
      <c r="R411" s="23" t="s">
        <v>355</v>
      </c>
      <c r="S411" s="23" t="s">
        <v>9</v>
      </c>
      <c r="T411" s="23">
        <f>SUMIFS($J$1:INDEX(J:J,ROW()-1),$I$1:INDEX(I:I,ROW()-1),"&lt;&gt;Totals:")</f>
        <v>193</v>
      </c>
      <c r="U411" s="22">
        <f>SUMIFS($M$1:INDEX(M:M,ROW()),$I$1:INDEX(I:I,ROW()),"&lt;&gt;*Totals:*")</f>
        <v>5792</v>
      </c>
    </row>
    <row r="412" spans="1:21" ht="12.75" customHeight="1" x14ac:dyDescent="0.25">
      <c r="A412" s="47" t="s">
        <v>0</v>
      </c>
      <c r="B412" s="23" t="s">
        <v>369</v>
      </c>
      <c r="C412" s="28">
        <v>46003</v>
      </c>
      <c r="D412" s="30" t="s">
        <v>353</v>
      </c>
      <c r="E412" s="28" t="s">
        <v>370</v>
      </c>
      <c r="F412" s="28" t="s">
        <v>354</v>
      </c>
      <c r="G412" s="28">
        <v>46032</v>
      </c>
      <c r="H412" s="23" t="s">
        <v>5</v>
      </c>
      <c r="I412" s="33" t="s">
        <v>14</v>
      </c>
      <c r="J412" s="23">
        <v>1</v>
      </c>
      <c r="K412" s="23">
        <v>1</v>
      </c>
      <c r="L412" s="35">
        <v>0</v>
      </c>
      <c r="M412" s="23">
        <v>97</v>
      </c>
      <c r="N412" s="23">
        <v>97</v>
      </c>
      <c r="O412" s="49">
        <v>0</v>
      </c>
      <c r="P412" s="45" t="s">
        <v>159</v>
      </c>
      <c r="Q412" s="23" t="s">
        <v>132</v>
      </c>
      <c r="R412" s="23" t="s">
        <v>355</v>
      </c>
      <c r="S412" s="23" t="s">
        <v>9</v>
      </c>
      <c r="T412" s="23">
        <f>SUMIFS($J$1:INDEX(J:J,ROW()-1),$I$1:INDEX(I:I,ROW()-1),"&lt;&gt;Totals:")</f>
        <v>194</v>
      </c>
      <c r="U412" s="22">
        <f>SUMIFS($M$1:INDEX(M:M,ROW()),$I$1:INDEX(I:I,ROW()),"&lt;&gt;*Totals:*")</f>
        <v>5889</v>
      </c>
    </row>
    <row r="413" spans="1:21" ht="12.75" customHeight="1" x14ac:dyDescent="0.25">
      <c r="A413" s="47" t="s">
        <v>15</v>
      </c>
      <c r="B413" s="23" t="s">
        <v>359</v>
      </c>
      <c r="C413" s="28">
        <v>46004</v>
      </c>
      <c r="D413" s="30" t="s">
        <v>353</v>
      </c>
      <c r="E413" s="28" t="s">
        <v>357</v>
      </c>
      <c r="F413" s="28" t="s">
        <v>361</v>
      </c>
      <c r="G413" s="28">
        <v>46033</v>
      </c>
      <c r="H413" s="23" t="s">
        <v>5</v>
      </c>
      <c r="I413" s="33" t="s">
        <v>14</v>
      </c>
      <c r="J413" s="23">
        <v>1</v>
      </c>
      <c r="K413" s="23">
        <v>1</v>
      </c>
      <c r="L413" s="35">
        <v>0</v>
      </c>
      <c r="M413" s="23">
        <v>1</v>
      </c>
      <c r="N413" s="23">
        <v>1</v>
      </c>
      <c r="O413" s="49">
        <v>0</v>
      </c>
      <c r="P413" s="45" t="s">
        <v>159</v>
      </c>
      <c r="Q413" s="23" t="s">
        <v>132</v>
      </c>
      <c r="R413" s="23" t="s">
        <v>355</v>
      </c>
      <c r="S413" s="23" t="s">
        <v>9</v>
      </c>
      <c r="T413" s="23">
        <f>SUMIFS($J$1:INDEX(J:J,ROW()-1),$I$1:INDEX(I:I,ROW()-1),"&lt;&gt;Totals:")</f>
        <v>195</v>
      </c>
      <c r="U413" s="22">
        <f>SUMIFS($M$1:INDEX(M:M,ROW()),$I$1:INDEX(I:I,ROW()),"&lt;&gt;*Totals:*")</f>
        <v>5890</v>
      </c>
    </row>
    <row r="414" spans="1:21" ht="12.75" customHeight="1" x14ac:dyDescent="0.25">
      <c r="A414" s="47" t="s">
        <v>10</v>
      </c>
      <c r="B414" s="23" t="s">
        <v>359</v>
      </c>
      <c r="C414" s="28">
        <v>46004</v>
      </c>
      <c r="D414" s="30" t="s">
        <v>353</v>
      </c>
      <c r="E414" s="28" t="s">
        <v>360</v>
      </c>
      <c r="F414" s="28" t="s">
        <v>361</v>
      </c>
      <c r="G414" s="28">
        <v>46033</v>
      </c>
      <c r="H414" s="23" t="s">
        <v>5</v>
      </c>
      <c r="I414" s="33" t="s">
        <v>14</v>
      </c>
      <c r="J414" s="23">
        <v>1</v>
      </c>
      <c r="K414" s="23">
        <v>1</v>
      </c>
      <c r="L414" s="35">
        <v>0</v>
      </c>
      <c r="M414" s="23">
        <v>4</v>
      </c>
      <c r="N414" s="23">
        <v>4</v>
      </c>
      <c r="O414" s="49">
        <v>0</v>
      </c>
      <c r="P414" s="45" t="s">
        <v>159</v>
      </c>
      <c r="Q414" s="23" t="s">
        <v>132</v>
      </c>
      <c r="R414" s="23" t="s">
        <v>355</v>
      </c>
      <c r="S414" s="23" t="s">
        <v>9</v>
      </c>
      <c r="T414" s="23">
        <f>SUMIFS($J$1:INDEX(J:J,ROW()-1),$I$1:INDEX(I:I,ROW()-1),"&lt;&gt;Totals:")</f>
        <v>196</v>
      </c>
      <c r="U414" s="22">
        <f>SUMIFS($M$1:INDEX(M:M,ROW()),$I$1:INDEX(I:I,ROW()),"&lt;&gt;*Totals:*")</f>
        <v>5894</v>
      </c>
    </row>
    <row r="415" spans="1:21" ht="12.75" customHeight="1" x14ac:dyDescent="0.25">
      <c r="A415" s="47" t="s">
        <v>0</v>
      </c>
      <c r="B415" s="23" t="s">
        <v>369</v>
      </c>
      <c r="C415" s="28">
        <v>46005</v>
      </c>
      <c r="D415" s="30" t="s">
        <v>353</v>
      </c>
      <c r="E415" s="28" t="s">
        <v>370</v>
      </c>
      <c r="F415" s="28" t="s">
        <v>354</v>
      </c>
      <c r="G415" s="28">
        <v>46034</v>
      </c>
      <c r="H415" s="23" t="s">
        <v>5</v>
      </c>
      <c r="I415" s="33" t="s">
        <v>14</v>
      </c>
      <c r="J415" s="23">
        <v>1</v>
      </c>
      <c r="K415" s="23">
        <v>1</v>
      </c>
      <c r="L415" s="35">
        <v>0</v>
      </c>
      <c r="M415" s="23">
        <v>12</v>
      </c>
      <c r="N415" s="23">
        <v>12</v>
      </c>
      <c r="O415" s="49">
        <v>0</v>
      </c>
      <c r="P415" s="45" t="s">
        <v>159</v>
      </c>
      <c r="Q415" s="23" t="s">
        <v>132</v>
      </c>
      <c r="R415" s="23" t="s">
        <v>355</v>
      </c>
      <c r="S415" s="23" t="s">
        <v>9</v>
      </c>
      <c r="T415" s="23">
        <f>SUMIFS($J$1:INDEX(J:J,ROW()-1),$I$1:INDEX(I:I,ROW()-1),"&lt;&gt;Totals:")</f>
        <v>197</v>
      </c>
      <c r="U415" s="22">
        <f>SUMIFS($M$1:INDEX(M:M,ROW()),$I$1:INDEX(I:I,ROW()),"&lt;&gt;*Totals:*")</f>
        <v>5906</v>
      </c>
    </row>
    <row r="416" spans="1:21" ht="12.75" customHeight="1" x14ac:dyDescent="0.25">
      <c r="A416" s="47" t="s">
        <v>10</v>
      </c>
      <c r="B416" s="23" t="s">
        <v>359</v>
      </c>
      <c r="C416" s="28">
        <v>46011</v>
      </c>
      <c r="D416" s="30" t="s">
        <v>353</v>
      </c>
      <c r="E416" s="28" t="s">
        <v>360</v>
      </c>
      <c r="F416" s="28" t="s">
        <v>361</v>
      </c>
      <c r="G416" s="28">
        <v>46040</v>
      </c>
      <c r="H416" s="23" t="s">
        <v>5</v>
      </c>
      <c r="I416" s="33" t="s">
        <v>14</v>
      </c>
      <c r="J416" s="23">
        <v>1</v>
      </c>
      <c r="K416" s="23">
        <v>1</v>
      </c>
      <c r="L416" s="35">
        <v>0</v>
      </c>
      <c r="M416" s="23">
        <v>2</v>
      </c>
      <c r="N416" s="23">
        <v>2</v>
      </c>
      <c r="O416" s="49">
        <v>0</v>
      </c>
      <c r="P416" s="45" t="s">
        <v>159</v>
      </c>
      <c r="Q416" s="23" t="s">
        <v>132</v>
      </c>
      <c r="R416" s="23" t="s">
        <v>355</v>
      </c>
      <c r="S416" s="23" t="s">
        <v>9</v>
      </c>
      <c r="T416" s="23">
        <f>SUMIFS($J$1:INDEX(J:J,ROW()-1),$I$1:INDEX(I:I,ROW()-1),"&lt;&gt;Totals:")</f>
        <v>198</v>
      </c>
      <c r="U416" s="22">
        <f>SUMIFS($M$1:INDEX(M:M,ROW()),$I$1:INDEX(I:I,ROW()),"&lt;&gt;*Totals:*")</f>
        <v>5908</v>
      </c>
    </row>
    <row r="417" spans="1:21" ht="12.75" customHeight="1" x14ac:dyDescent="0.25">
      <c r="A417" s="47" t="s">
        <v>0</v>
      </c>
      <c r="B417" s="23" t="s">
        <v>369</v>
      </c>
      <c r="C417" s="28">
        <v>46012</v>
      </c>
      <c r="D417" s="30" t="s">
        <v>353</v>
      </c>
      <c r="E417" s="28" t="s">
        <v>370</v>
      </c>
      <c r="F417" s="28" t="s">
        <v>354</v>
      </c>
      <c r="G417" s="28">
        <v>46041</v>
      </c>
      <c r="H417" s="23" t="s">
        <v>5</v>
      </c>
      <c r="I417" s="33" t="s">
        <v>14</v>
      </c>
      <c r="J417" s="23">
        <v>1</v>
      </c>
      <c r="K417" s="23">
        <v>1</v>
      </c>
      <c r="L417" s="35">
        <v>0</v>
      </c>
      <c r="M417" s="23">
        <v>4</v>
      </c>
      <c r="N417" s="23">
        <v>4</v>
      </c>
      <c r="O417" s="49">
        <v>0</v>
      </c>
      <c r="P417" s="45" t="s">
        <v>159</v>
      </c>
      <c r="Q417" s="23" t="s">
        <v>132</v>
      </c>
      <c r="R417" s="23" t="s">
        <v>355</v>
      </c>
      <c r="S417" s="23" t="s">
        <v>9</v>
      </c>
      <c r="T417" s="23">
        <f>SUMIFS($J$1:INDEX(J:J,ROW()-1),$I$1:INDEX(I:I,ROW()-1),"&lt;&gt;Totals:")</f>
        <v>199</v>
      </c>
      <c r="U417" s="22">
        <f>SUMIFS($M$1:INDEX(M:M,ROW()),$I$1:INDEX(I:I,ROW()),"&lt;&gt;*Totals:*")</f>
        <v>5912</v>
      </c>
    </row>
    <row r="418" spans="1:21" ht="12.75" customHeight="1" x14ac:dyDescent="0.25">
      <c r="A418" s="47" t="s">
        <v>15</v>
      </c>
      <c r="B418" s="23" t="s">
        <v>359</v>
      </c>
      <c r="C418" s="28">
        <v>46012</v>
      </c>
      <c r="D418" s="30" t="s">
        <v>353</v>
      </c>
      <c r="E418" s="28" t="s">
        <v>357</v>
      </c>
      <c r="F418" s="28" t="s">
        <v>361</v>
      </c>
      <c r="G418" s="28">
        <v>46041</v>
      </c>
      <c r="H418" s="23" t="s">
        <v>5</v>
      </c>
      <c r="I418" s="33" t="s">
        <v>14</v>
      </c>
      <c r="J418" s="23">
        <v>1</v>
      </c>
      <c r="K418" s="23">
        <v>1</v>
      </c>
      <c r="L418" s="35">
        <v>0</v>
      </c>
      <c r="M418" s="23">
        <v>1</v>
      </c>
      <c r="N418" s="23">
        <v>1</v>
      </c>
      <c r="O418" s="49">
        <v>0</v>
      </c>
      <c r="P418" s="45" t="s">
        <v>159</v>
      </c>
      <c r="Q418" s="23" t="s">
        <v>132</v>
      </c>
      <c r="R418" s="23" t="s">
        <v>355</v>
      </c>
      <c r="S418" s="23" t="s">
        <v>9</v>
      </c>
      <c r="T418" s="23">
        <f>SUMIFS($J$1:INDEX(J:J,ROW()-1),$I$1:INDEX(I:I,ROW()-1),"&lt;&gt;Totals:")</f>
        <v>200</v>
      </c>
      <c r="U418" s="22">
        <f>SUMIFS($M$1:INDEX(M:M,ROW()),$I$1:INDEX(I:I,ROW()),"&lt;&gt;*Totals:*")</f>
        <v>5913</v>
      </c>
    </row>
    <row r="419" spans="1:21" ht="12.75" customHeight="1" x14ac:dyDescent="0.25">
      <c r="A419" s="47" t="s">
        <v>10</v>
      </c>
      <c r="B419" s="23" t="s">
        <v>359</v>
      </c>
      <c r="C419" s="28">
        <v>46012</v>
      </c>
      <c r="D419" s="30" t="s">
        <v>353</v>
      </c>
      <c r="E419" s="28" t="s">
        <v>360</v>
      </c>
      <c r="F419" s="28" t="s">
        <v>361</v>
      </c>
      <c r="G419" s="28">
        <v>46041</v>
      </c>
      <c r="H419" s="23" t="s">
        <v>5</v>
      </c>
      <c r="I419" s="33" t="s">
        <v>14</v>
      </c>
      <c r="J419" s="23">
        <v>1</v>
      </c>
      <c r="K419" s="23">
        <v>1</v>
      </c>
      <c r="L419" s="35">
        <v>0</v>
      </c>
      <c r="M419" s="23">
        <v>2</v>
      </c>
      <c r="N419" s="23">
        <v>2</v>
      </c>
      <c r="O419" s="49">
        <v>0</v>
      </c>
      <c r="P419" s="45" t="s">
        <v>159</v>
      </c>
      <c r="Q419" s="23" t="s">
        <v>132</v>
      </c>
      <c r="R419" s="23" t="s">
        <v>355</v>
      </c>
      <c r="S419" s="23" t="s">
        <v>9</v>
      </c>
      <c r="T419" s="23">
        <f>SUMIFS($J$1:INDEX(J:J,ROW()-1),$I$1:INDEX(I:I,ROW()-1),"&lt;&gt;Totals:")</f>
        <v>201</v>
      </c>
      <c r="U419" s="22">
        <f>SUMIFS($M$1:INDEX(M:M,ROW()),$I$1:INDEX(I:I,ROW()),"&lt;&gt;*Totals:*")</f>
        <v>5915</v>
      </c>
    </row>
    <row r="420" spans="1:21" ht="12.75" customHeight="1" x14ac:dyDescent="0.25">
      <c r="A420" s="47" t="s">
        <v>0</v>
      </c>
      <c r="B420" s="23" t="s">
        <v>369</v>
      </c>
      <c r="C420" s="28">
        <v>46013</v>
      </c>
      <c r="D420" s="30" t="s">
        <v>353</v>
      </c>
      <c r="E420" s="28" t="s">
        <v>370</v>
      </c>
      <c r="F420" s="28" t="s">
        <v>354</v>
      </c>
      <c r="G420" s="28">
        <v>46042</v>
      </c>
      <c r="H420" s="23" t="s">
        <v>5</v>
      </c>
      <c r="I420" s="33" t="s">
        <v>14</v>
      </c>
      <c r="J420" s="23">
        <v>1</v>
      </c>
      <c r="K420" s="23">
        <v>1</v>
      </c>
      <c r="L420" s="35">
        <v>0</v>
      </c>
      <c r="M420" s="23">
        <v>3</v>
      </c>
      <c r="N420" s="23">
        <v>3</v>
      </c>
      <c r="O420" s="49">
        <v>0</v>
      </c>
      <c r="P420" s="45" t="s">
        <v>159</v>
      </c>
      <c r="Q420" s="23" t="s">
        <v>132</v>
      </c>
      <c r="R420" s="23" t="s">
        <v>355</v>
      </c>
      <c r="S420" s="23" t="s">
        <v>9</v>
      </c>
      <c r="T420" s="23">
        <f>SUMIFS($J$1:INDEX(J:J,ROW()-1),$I$1:INDEX(I:I,ROW()-1),"&lt;&gt;Totals:")</f>
        <v>202</v>
      </c>
      <c r="U420" s="22">
        <f>SUMIFS($M$1:INDEX(M:M,ROW()),$I$1:INDEX(I:I,ROW()),"&lt;&gt;*Totals:*")</f>
        <v>5918</v>
      </c>
    </row>
    <row r="421" spans="1:21" ht="12.75" customHeight="1" x14ac:dyDescent="0.25">
      <c r="A421" s="47" t="s">
        <v>17</v>
      </c>
      <c r="B421" s="23" t="s">
        <v>356</v>
      </c>
      <c r="C421" s="28">
        <v>46014</v>
      </c>
      <c r="D421" s="30" t="s">
        <v>353</v>
      </c>
      <c r="E421" s="28" t="s">
        <v>357</v>
      </c>
      <c r="F421" s="28" t="s">
        <v>358</v>
      </c>
      <c r="G421" s="28">
        <v>46043</v>
      </c>
      <c r="H421" s="23" t="s">
        <v>5</v>
      </c>
      <c r="I421" s="33" t="s">
        <v>14</v>
      </c>
      <c r="J421" s="23">
        <v>1</v>
      </c>
      <c r="K421" s="23">
        <v>1</v>
      </c>
      <c r="L421" s="35">
        <v>0</v>
      </c>
      <c r="M421" s="23">
        <v>1</v>
      </c>
      <c r="N421" s="23">
        <v>1</v>
      </c>
      <c r="O421" s="49">
        <v>0</v>
      </c>
      <c r="P421" s="45" t="s">
        <v>159</v>
      </c>
      <c r="Q421" s="23" t="s">
        <v>132</v>
      </c>
      <c r="R421" s="23" t="s">
        <v>355</v>
      </c>
      <c r="S421" s="23" t="s">
        <v>9</v>
      </c>
      <c r="T421" s="23">
        <f>SUMIFS($J$1:INDEX(J:J,ROW()-1),$I$1:INDEX(I:I,ROW()-1),"&lt;&gt;Totals:")</f>
        <v>203</v>
      </c>
      <c r="U421" s="22">
        <f>SUMIFS($M$1:INDEX(M:M,ROW()),$I$1:INDEX(I:I,ROW()),"&lt;&gt;*Totals:*")</f>
        <v>5919</v>
      </c>
    </row>
    <row r="422" spans="1:21" ht="12.75" customHeight="1" x14ac:dyDescent="0.25">
      <c r="A422" s="47" t="s">
        <v>15</v>
      </c>
      <c r="B422" s="23" t="s">
        <v>359</v>
      </c>
      <c r="C422" s="28">
        <v>46014</v>
      </c>
      <c r="D422" s="30" t="s">
        <v>353</v>
      </c>
      <c r="E422" s="28" t="s">
        <v>357</v>
      </c>
      <c r="F422" s="28" t="s">
        <v>361</v>
      </c>
      <c r="G422" s="28">
        <v>46043</v>
      </c>
      <c r="H422" s="23" t="s">
        <v>5</v>
      </c>
      <c r="I422" s="33" t="s">
        <v>14</v>
      </c>
      <c r="J422" s="23">
        <v>1</v>
      </c>
      <c r="K422" s="23">
        <v>1</v>
      </c>
      <c r="L422" s="35">
        <v>0</v>
      </c>
      <c r="M422" s="23">
        <v>1</v>
      </c>
      <c r="N422" s="23">
        <v>1</v>
      </c>
      <c r="O422" s="49">
        <v>0</v>
      </c>
      <c r="P422" s="45" t="s">
        <v>159</v>
      </c>
      <c r="Q422" s="23" t="s">
        <v>132</v>
      </c>
      <c r="R422" s="23" t="s">
        <v>355</v>
      </c>
      <c r="S422" s="23" t="s">
        <v>9</v>
      </c>
      <c r="T422" s="23">
        <f>SUMIFS($J$1:INDEX(J:J,ROW()-1),$I$1:INDEX(I:I,ROW()-1),"&lt;&gt;Totals:")</f>
        <v>204</v>
      </c>
      <c r="U422" s="22">
        <f>SUMIFS($M$1:INDEX(M:M,ROW()),$I$1:INDEX(I:I,ROW()),"&lt;&gt;*Totals:*")</f>
        <v>5920</v>
      </c>
    </row>
    <row r="423" spans="1:21" ht="12.75" customHeight="1" x14ac:dyDescent="0.25">
      <c r="A423" s="47" t="s">
        <v>10</v>
      </c>
      <c r="B423" s="23" t="s">
        <v>359</v>
      </c>
      <c r="C423" s="28">
        <v>46014</v>
      </c>
      <c r="D423" s="30" t="s">
        <v>353</v>
      </c>
      <c r="E423" s="28" t="s">
        <v>360</v>
      </c>
      <c r="F423" s="28" t="s">
        <v>361</v>
      </c>
      <c r="G423" s="28">
        <v>46043</v>
      </c>
      <c r="H423" s="23" t="s">
        <v>5</v>
      </c>
      <c r="I423" s="33" t="s">
        <v>14</v>
      </c>
      <c r="J423" s="23">
        <v>1</v>
      </c>
      <c r="K423" s="23">
        <v>1</v>
      </c>
      <c r="L423" s="35">
        <v>0</v>
      </c>
      <c r="M423" s="23">
        <v>4</v>
      </c>
      <c r="N423" s="23">
        <v>4</v>
      </c>
      <c r="O423" s="49">
        <v>0</v>
      </c>
      <c r="P423" s="45" t="s">
        <v>159</v>
      </c>
      <c r="Q423" s="23" t="s">
        <v>132</v>
      </c>
      <c r="R423" s="23" t="s">
        <v>355</v>
      </c>
      <c r="S423" s="23" t="s">
        <v>9</v>
      </c>
      <c r="T423" s="23">
        <f>SUMIFS($J$1:INDEX(J:J,ROW()-1),$I$1:INDEX(I:I,ROW()-1),"&lt;&gt;Totals:")</f>
        <v>205</v>
      </c>
      <c r="U423" s="22">
        <f>SUMIFS($M$1:INDEX(M:M,ROW()),$I$1:INDEX(I:I,ROW()),"&lt;&gt;*Totals:*")</f>
        <v>5924</v>
      </c>
    </row>
    <row r="424" spans="1:21" ht="12.75" customHeight="1" x14ac:dyDescent="0.25">
      <c r="A424" s="47" t="s">
        <v>0</v>
      </c>
      <c r="B424" s="23" t="s">
        <v>369</v>
      </c>
      <c r="C424" s="28">
        <v>46022</v>
      </c>
      <c r="D424" s="30" t="s">
        <v>353</v>
      </c>
      <c r="E424" s="28" t="s">
        <v>370</v>
      </c>
      <c r="F424" s="28" t="s">
        <v>354</v>
      </c>
      <c r="G424" s="28">
        <v>46051</v>
      </c>
      <c r="H424" s="23" t="s">
        <v>5</v>
      </c>
      <c r="I424" s="33" t="s">
        <v>14</v>
      </c>
      <c r="J424" s="23">
        <v>1</v>
      </c>
      <c r="K424" s="23">
        <v>1</v>
      </c>
      <c r="L424" s="35">
        <v>0</v>
      </c>
      <c r="M424" s="23">
        <v>6</v>
      </c>
      <c r="N424" s="23">
        <v>6</v>
      </c>
      <c r="O424" s="49">
        <v>0</v>
      </c>
      <c r="P424" s="45" t="s">
        <v>159</v>
      </c>
      <c r="Q424" s="23" t="s">
        <v>132</v>
      </c>
      <c r="R424" s="23" t="s">
        <v>355</v>
      </c>
      <c r="S424" s="23" t="s">
        <v>9</v>
      </c>
      <c r="T424" s="23">
        <f>SUMIFS($J$1:INDEX(J:J,ROW()-1),$I$1:INDEX(I:I,ROW()-1),"&lt;&gt;Totals:")</f>
        <v>206</v>
      </c>
      <c r="U424" s="22">
        <f>SUMIFS($M$1:INDEX(M:M,ROW()),$I$1:INDEX(I:I,ROW()),"&lt;&gt;*Totals:*")</f>
        <v>5930</v>
      </c>
    </row>
    <row r="425" spans="1:21" ht="12.75" customHeight="1" thickBot="1" x14ac:dyDescent="0.3">
      <c r="A425" s="51" t="s">
        <v>10</v>
      </c>
      <c r="B425" s="20" t="s">
        <v>359</v>
      </c>
      <c r="C425" s="25">
        <v>46022</v>
      </c>
      <c r="D425" s="27" t="s">
        <v>353</v>
      </c>
      <c r="E425" s="25" t="s">
        <v>360</v>
      </c>
      <c r="F425" s="25" t="s">
        <v>361</v>
      </c>
      <c r="G425" s="25">
        <v>46051</v>
      </c>
      <c r="H425" s="20" t="s">
        <v>5</v>
      </c>
      <c r="I425" s="32" t="s">
        <v>14</v>
      </c>
      <c r="J425" s="20">
        <v>1</v>
      </c>
      <c r="K425" s="20">
        <v>1</v>
      </c>
      <c r="L425" s="34">
        <v>0</v>
      </c>
      <c r="M425" s="20">
        <v>2</v>
      </c>
      <c r="N425" s="20">
        <v>2</v>
      </c>
      <c r="O425" s="54">
        <v>0</v>
      </c>
      <c r="P425" s="45" t="s">
        <v>159</v>
      </c>
      <c r="Q425" s="23" t="s">
        <v>132</v>
      </c>
      <c r="R425" s="23" t="s">
        <v>355</v>
      </c>
      <c r="S425" s="23" t="s">
        <v>9</v>
      </c>
      <c r="T425" s="23">
        <f>SUMIFS($J$1:INDEX(J:J,ROW()-1),$I$1:INDEX(I:I,ROW()-1),"&lt;&gt;Totals:")</f>
        <v>207</v>
      </c>
      <c r="U425" s="22">
        <f>SUMIFS($M$1:INDEX(M:M,ROW()),$I$1:INDEX(I:I,ROW()),"&lt;&gt;*Totals:*")</f>
        <v>5932</v>
      </c>
    </row>
    <row r="426" spans="1:21" ht="17.25" customHeight="1" x14ac:dyDescent="0.25">
      <c r="A426" s="60"/>
      <c r="B426" s="50"/>
      <c r="C426" s="55"/>
      <c r="D426" s="56"/>
      <c r="E426" s="56"/>
      <c r="F426" s="57"/>
      <c r="G426" s="57"/>
      <c r="H426" s="57"/>
      <c r="I426" s="58" t="s">
        <v>1087</v>
      </c>
      <c r="J426" s="57">
        <f>SUM(J404:J425)</f>
        <v>20</v>
      </c>
      <c r="K426" s="57">
        <f>SUM(K404:K425)</f>
        <v>22</v>
      </c>
      <c r="L426" s="59">
        <f>(SUM(K404:K425) - SUM(J404:J425)) / SUM(K404:K425)</f>
        <v>9.0909090909090912E-2</v>
      </c>
      <c r="M426" s="57">
        <f>SUM(M404:M425)</f>
        <v>308</v>
      </c>
      <c r="N426" s="56">
        <f>SUM(N404:N425)</f>
        <v>257</v>
      </c>
      <c r="O426" s="61">
        <f>(SUM(M404:M425) - SUM(N404:N425)) / SUM(M404:M425)</f>
        <v>0.16558441558441558</v>
      </c>
      <c r="P426" s="52"/>
      <c r="Q426" s="53"/>
      <c r="R426" s="52"/>
      <c r="S426" s="52"/>
      <c r="T426" s="52"/>
      <c r="U426" s="52"/>
    </row>
    <row r="427" spans="1:21" x14ac:dyDescent="0.25">
      <c r="A427" s="70"/>
      <c r="B427" s="64"/>
      <c r="C427" s="64"/>
      <c r="D427" s="64"/>
      <c r="E427" s="64"/>
      <c r="F427" s="64"/>
      <c r="G427" s="64"/>
      <c r="H427" s="64"/>
      <c r="I427" s="65" t="s">
        <v>1088</v>
      </c>
      <c r="J427" s="64"/>
      <c r="K427" s="64"/>
      <c r="L427" s="65" t="s">
        <v>1089</v>
      </c>
      <c r="M427" s="64"/>
      <c r="N427" s="64"/>
      <c r="O427" s="72"/>
      <c r="P427" s="62"/>
      <c r="Q427" s="62"/>
      <c r="R427" s="62"/>
      <c r="S427" s="62"/>
      <c r="T427" s="62"/>
      <c r="U427" s="62"/>
    </row>
    <row r="428" spans="1:21" ht="15.75" thickBot="1" x14ac:dyDescent="0.3">
      <c r="A428" s="71"/>
      <c r="B428" s="66"/>
      <c r="C428" s="67"/>
      <c r="D428" s="66"/>
      <c r="E428" s="66"/>
      <c r="F428" s="66"/>
      <c r="G428" s="67"/>
      <c r="H428" s="66"/>
      <c r="I428" s="68">
        <v>207</v>
      </c>
      <c r="J428" s="66"/>
      <c r="K428" s="66"/>
      <c r="L428" s="69">
        <v>5932</v>
      </c>
      <c r="M428" s="66"/>
      <c r="N428" s="66"/>
      <c r="O428" s="73"/>
      <c r="P428" s="63"/>
      <c r="Q428" s="63"/>
      <c r="R428" s="63"/>
      <c r="S428" s="63"/>
      <c r="T428" s="63"/>
      <c r="U428" s="63"/>
    </row>
    <row r="429" spans="1:21" ht="15.75" thickBot="1" x14ac:dyDescent="0.3">
      <c r="C429" s="1"/>
      <c r="G429" s="1"/>
    </row>
    <row r="430" spans="1:21" x14ac:dyDescent="0.25">
      <c r="A430" s="9"/>
      <c r="B430" s="10"/>
      <c r="C430" s="11"/>
      <c r="D430" s="11"/>
      <c r="E430" s="11"/>
      <c r="F430" s="11"/>
      <c r="G430" s="11"/>
      <c r="H430" s="12"/>
      <c r="I430" s="11"/>
      <c r="J430" s="13"/>
      <c r="K430" s="13"/>
      <c r="L430" s="13"/>
      <c r="M430" s="13"/>
      <c r="N430" s="11"/>
      <c r="O430" s="14"/>
      <c r="P430" s="4"/>
      <c r="Q430" s="5"/>
      <c r="R430" s="4"/>
      <c r="S430" s="4"/>
      <c r="T430" s="4"/>
      <c r="U430" s="4"/>
    </row>
    <row r="431" spans="1:21" x14ac:dyDescent="0.25">
      <c r="A431" s="6" t="s">
        <v>1091</v>
      </c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15"/>
      <c r="P431" s="3"/>
      <c r="Q431" s="3"/>
      <c r="R431" s="3"/>
      <c r="S431" s="3"/>
      <c r="T431" s="3"/>
      <c r="U431" s="3"/>
    </row>
    <row r="432" spans="1:21" x14ac:dyDescent="0.25">
      <c r="A432" s="7" t="s">
        <v>160</v>
      </c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15"/>
      <c r="P432" s="3"/>
      <c r="Q432" s="3"/>
      <c r="R432" s="3"/>
      <c r="S432" s="3"/>
      <c r="T432" s="3"/>
      <c r="U432" s="3"/>
    </row>
    <row r="433" spans="1:21" ht="15.75" thickBot="1" x14ac:dyDescent="0.3">
      <c r="A433" s="8"/>
      <c r="B433" s="8"/>
      <c r="C433" s="74"/>
      <c r="D433" s="8"/>
      <c r="E433" s="8"/>
      <c r="F433" s="8"/>
      <c r="G433" s="74"/>
      <c r="H433" s="8"/>
      <c r="I433" s="8"/>
      <c r="J433" s="8"/>
      <c r="K433" s="8"/>
      <c r="L433" s="8"/>
      <c r="M433" s="8"/>
      <c r="N433" s="8"/>
      <c r="O433" s="16"/>
      <c r="P433" s="3"/>
      <c r="Q433" s="3"/>
      <c r="R433" s="3"/>
      <c r="S433" s="3"/>
      <c r="T433" s="3"/>
      <c r="U433" s="3"/>
    </row>
    <row r="434" spans="1:21" ht="17.25" customHeight="1" thickBot="1" x14ac:dyDescent="0.3">
      <c r="A434" s="19" t="s">
        <v>1068</v>
      </c>
      <c r="B434" s="24" t="s">
        <v>1069</v>
      </c>
      <c r="C434" s="26" t="s">
        <v>1070</v>
      </c>
      <c r="D434" s="29" t="s">
        <v>1071</v>
      </c>
      <c r="E434" s="26" t="s">
        <v>1072</v>
      </c>
      <c r="F434" s="31" t="s">
        <v>1073</v>
      </c>
      <c r="G434" s="31" t="s">
        <v>1074</v>
      </c>
      <c r="H434" s="31" t="s">
        <v>1075</v>
      </c>
      <c r="I434" s="29" t="s">
        <v>14</v>
      </c>
      <c r="J434" s="29" t="s">
        <v>1076</v>
      </c>
      <c r="K434" s="29" t="s">
        <v>1077</v>
      </c>
      <c r="L434" s="29" t="s">
        <v>1078</v>
      </c>
      <c r="M434" s="29" t="s">
        <v>1079</v>
      </c>
      <c r="N434" s="29" t="s">
        <v>1080</v>
      </c>
      <c r="O434" s="36" t="s">
        <v>1081</v>
      </c>
      <c r="P434" s="37" t="s">
        <v>1082</v>
      </c>
      <c r="Q434" s="38" t="s">
        <v>1083</v>
      </c>
      <c r="R434" s="38" t="s">
        <v>1084</v>
      </c>
      <c r="S434" s="38" t="s">
        <v>1085</v>
      </c>
      <c r="T434" s="38" t="s">
        <v>1086</v>
      </c>
      <c r="U434" s="39" t="s">
        <v>1086</v>
      </c>
    </row>
    <row r="435" spans="1:21" ht="12.75" customHeight="1" x14ac:dyDescent="0.25">
      <c r="A435" s="46" t="s">
        <v>17</v>
      </c>
      <c r="B435" s="40" t="s">
        <v>371</v>
      </c>
      <c r="C435" s="41">
        <v>46025</v>
      </c>
      <c r="D435" s="42" t="s">
        <v>372</v>
      </c>
      <c r="E435" s="41" t="s">
        <v>373</v>
      </c>
      <c r="F435" s="41" t="s">
        <v>374</v>
      </c>
      <c r="G435" s="41">
        <v>46054</v>
      </c>
      <c r="H435" s="40" t="s">
        <v>5</v>
      </c>
      <c r="I435" s="43" t="s">
        <v>14</v>
      </c>
      <c r="J435" s="40">
        <v>1</v>
      </c>
      <c r="K435" s="40">
        <v>1</v>
      </c>
      <c r="L435" s="44">
        <v>0</v>
      </c>
      <c r="M435" s="40">
        <v>22</v>
      </c>
      <c r="N435" s="40">
        <v>22</v>
      </c>
      <c r="O435" s="48">
        <v>0</v>
      </c>
      <c r="P435" s="45" t="s">
        <v>375</v>
      </c>
      <c r="Q435" s="23" t="s">
        <v>160</v>
      </c>
      <c r="R435" s="23" t="s">
        <v>376</v>
      </c>
      <c r="S435" s="23" t="s">
        <v>9</v>
      </c>
      <c r="T435" s="23">
        <f>SUMIFS($J$1:INDEX(J:J,ROW()-1),$I$1:INDEX(I:I,ROW()-1),"&lt;&gt;Totals:")</f>
        <v>208</v>
      </c>
      <c r="U435" s="22">
        <f>SUMIFS($M$1:INDEX(M:M,ROW()),$I$1:INDEX(I:I,ROW()),"&lt;&gt;*Totals:*")</f>
        <v>5954</v>
      </c>
    </row>
    <row r="436" spans="1:21" ht="12.75" customHeight="1" x14ac:dyDescent="0.25">
      <c r="A436" s="47" t="s">
        <v>36</v>
      </c>
      <c r="B436" s="23" t="s">
        <v>377</v>
      </c>
      <c r="C436" s="28">
        <v>46034</v>
      </c>
      <c r="D436" s="30" t="s">
        <v>372</v>
      </c>
      <c r="E436" s="28" t="s">
        <v>378</v>
      </c>
      <c r="F436" s="28" t="s">
        <v>379</v>
      </c>
      <c r="G436" s="28">
        <v>46063</v>
      </c>
      <c r="H436" s="23" t="s">
        <v>5</v>
      </c>
      <c r="I436" s="33"/>
      <c r="J436" s="23">
        <v>0</v>
      </c>
      <c r="K436" s="23">
        <v>1</v>
      </c>
      <c r="L436" s="35">
        <v>1</v>
      </c>
      <c r="M436" s="23">
        <v>5</v>
      </c>
      <c r="N436" s="23">
        <v>0</v>
      </c>
      <c r="O436" s="49">
        <v>1</v>
      </c>
      <c r="P436" s="45" t="s">
        <v>375</v>
      </c>
      <c r="Q436" s="23" t="s">
        <v>160</v>
      </c>
      <c r="R436" s="23" t="s">
        <v>376</v>
      </c>
      <c r="S436" s="23" t="s">
        <v>9</v>
      </c>
      <c r="T436" s="23">
        <f>SUMIFS($J$1:INDEX(J:J,ROW()-1),$I$1:INDEX(I:I,ROW()-1),"&lt;&gt;Totals:")</f>
        <v>209</v>
      </c>
      <c r="U436" s="22">
        <f>SUMIFS($M$1:INDEX(M:M,ROW()),$I$1:INDEX(I:I,ROW()),"&lt;&gt;*Totals:*")</f>
        <v>5959</v>
      </c>
    </row>
    <row r="437" spans="1:21" ht="12.75" customHeight="1" x14ac:dyDescent="0.25">
      <c r="A437" s="47" t="s">
        <v>40</v>
      </c>
      <c r="B437" s="23" t="s">
        <v>380</v>
      </c>
      <c r="C437" s="28">
        <v>46034</v>
      </c>
      <c r="D437" s="30" t="s">
        <v>372</v>
      </c>
      <c r="E437" s="28" t="s">
        <v>378</v>
      </c>
      <c r="F437" s="28" t="s">
        <v>381</v>
      </c>
      <c r="G437" s="28">
        <v>46063</v>
      </c>
      <c r="H437" s="23" t="s">
        <v>5</v>
      </c>
      <c r="I437" s="33"/>
      <c r="J437" s="23">
        <v>0</v>
      </c>
      <c r="K437" s="23">
        <v>1</v>
      </c>
      <c r="L437" s="35">
        <v>1</v>
      </c>
      <c r="M437" s="23">
        <v>15</v>
      </c>
      <c r="N437" s="23">
        <v>0</v>
      </c>
      <c r="O437" s="49">
        <v>1</v>
      </c>
      <c r="P437" s="45" t="s">
        <v>375</v>
      </c>
      <c r="Q437" s="23" t="s">
        <v>160</v>
      </c>
      <c r="R437" s="23" t="s">
        <v>376</v>
      </c>
      <c r="S437" s="23" t="s">
        <v>9</v>
      </c>
      <c r="T437" s="23">
        <f>SUMIFS($J$1:INDEX(J:J,ROW()-1),$I$1:INDEX(I:I,ROW()-1),"&lt;&gt;Totals:")</f>
        <v>209</v>
      </c>
      <c r="U437" s="22">
        <f>SUMIFS($M$1:INDEX(M:M,ROW()),$I$1:INDEX(I:I,ROW()),"&lt;&gt;*Totals:*")</f>
        <v>5974</v>
      </c>
    </row>
    <row r="438" spans="1:21" ht="12.75" customHeight="1" x14ac:dyDescent="0.25">
      <c r="A438" s="47" t="s">
        <v>15</v>
      </c>
      <c r="B438" s="23" t="s">
        <v>382</v>
      </c>
      <c r="C438" s="28">
        <v>46034</v>
      </c>
      <c r="D438" s="30" t="s">
        <v>372</v>
      </c>
      <c r="E438" s="28" t="s">
        <v>383</v>
      </c>
      <c r="F438" s="28" t="s">
        <v>384</v>
      </c>
      <c r="G438" s="28">
        <v>46063</v>
      </c>
      <c r="H438" s="23" t="s">
        <v>5</v>
      </c>
      <c r="I438" s="33" t="s">
        <v>14</v>
      </c>
      <c r="J438" s="23">
        <v>1</v>
      </c>
      <c r="K438" s="23">
        <v>1</v>
      </c>
      <c r="L438" s="35">
        <v>0</v>
      </c>
      <c r="M438" s="23">
        <v>31</v>
      </c>
      <c r="N438" s="23">
        <v>31</v>
      </c>
      <c r="O438" s="49">
        <v>0</v>
      </c>
      <c r="P438" s="45" t="s">
        <v>375</v>
      </c>
      <c r="Q438" s="23" t="s">
        <v>160</v>
      </c>
      <c r="R438" s="23" t="s">
        <v>376</v>
      </c>
      <c r="S438" s="23" t="s">
        <v>9</v>
      </c>
      <c r="T438" s="23">
        <f>SUMIFS($J$1:INDEX(J:J,ROW()-1),$I$1:INDEX(I:I,ROW()-1),"&lt;&gt;Totals:")</f>
        <v>209</v>
      </c>
      <c r="U438" s="22">
        <f>SUMIFS($M$1:INDEX(M:M,ROW()),$I$1:INDEX(I:I,ROW()),"&lt;&gt;*Totals:*")</f>
        <v>6005</v>
      </c>
    </row>
    <row r="439" spans="1:21" ht="12.75" customHeight="1" x14ac:dyDescent="0.25">
      <c r="A439" s="47" t="s">
        <v>10</v>
      </c>
      <c r="B439" s="23" t="s">
        <v>382</v>
      </c>
      <c r="C439" s="28">
        <v>46034</v>
      </c>
      <c r="D439" s="30" t="s">
        <v>372</v>
      </c>
      <c r="E439" s="28" t="s">
        <v>385</v>
      </c>
      <c r="F439" s="28" t="s">
        <v>360</v>
      </c>
      <c r="G439" s="28">
        <v>46063</v>
      </c>
      <c r="H439" s="23" t="s">
        <v>5</v>
      </c>
      <c r="I439" s="33"/>
      <c r="J439" s="23">
        <v>0</v>
      </c>
      <c r="K439" s="23">
        <v>1</v>
      </c>
      <c r="L439" s="35">
        <v>1</v>
      </c>
      <c r="M439" s="23">
        <v>112</v>
      </c>
      <c r="N439" s="23">
        <v>0</v>
      </c>
      <c r="O439" s="49">
        <v>1</v>
      </c>
      <c r="P439" s="45" t="s">
        <v>375</v>
      </c>
      <c r="Q439" s="23" t="s">
        <v>160</v>
      </c>
      <c r="R439" s="23" t="s">
        <v>376</v>
      </c>
      <c r="S439" s="23" t="s">
        <v>9</v>
      </c>
      <c r="T439" s="23">
        <f>SUMIFS($J$1:INDEX(J:J,ROW()-1),$I$1:INDEX(I:I,ROW()-1),"&lt;&gt;Totals:")</f>
        <v>210</v>
      </c>
      <c r="U439" s="22">
        <f>SUMIFS($M$1:INDEX(M:M,ROW()),$I$1:INDEX(I:I,ROW()),"&lt;&gt;*Totals:*")</f>
        <v>6117</v>
      </c>
    </row>
    <row r="440" spans="1:21" ht="12.75" customHeight="1" x14ac:dyDescent="0.25">
      <c r="A440" s="47" t="s">
        <v>0</v>
      </c>
      <c r="B440" s="23" t="s">
        <v>386</v>
      </c>
      <c r="C440" s="28">
        <v>46037</v>
      </c>
      <c r="D440" s="30" t="s">
        <v>372</v>
      </c>
      <c r="E440" s="28" t="s">
        <v>387</v>
      </c>
      <c r="F440" s="28" t="s">
        <v>388</v>
      </c>
      <c r="G440" s="28">
        <v>46066</v>
      </c>
      <c r="H440" s="23" t="s">
        <v>5</v>
      </c>
      <c r="I440" s="33" t="s">
        <v>14</v>
      </c>
      <c r="J440" s="23">
        <v>1</v>
      </c>
      <c r="K440" s="23">
        <v>1</v>
      </c>
      <c r="L440" s="35">
        <v>0</v>
      </c>
      <c r="M440" s="23">
        <v>4</v>
      </c>
      <c r="N440" s="23">
        <v>4</v>
      </c>
      <c r="O440" s="49">
        <v>0</v>
      </c>
      <c r="P440" s="45" t="s">
        <v>375</v>
      </c>
      <c r="Q440" s="23" t="s">
        <v>160</v>
      </c>
      <c r="R440" s="23" t="s">
        <v>376</v>
      </c>
      <c r="S440" s="23" t="s">
        <v>9</v>
      </c>
      <c r="T440" s="23">
        <f>SUMIFS($J$1:INDEX(J:J,ROW()-1),$I$1:INDEX(I:I,ROW()-1),"&lt;&gt;Totals:")</f>
        <v>210</v>
      </c>
      <c r="U440" s="22">
        <f>SUMIFS($M$1:INDEX(M:M,ROW()),$I$1:INDEX(I:I,ROW()),"&lt;&gt;*Totals:*")</f>
        <v>6121</v>
      </c>
    </row>
    <row r="441" spans="1:21" ht="12.75" customHeight="1" x14ac:dyDescent="0.25">
      <c r="A441" s="47" t="s">
        <v>0</v>
      </c>
      <c r="B441" s="23" t="s">
        <v>366</v>
      </c>
      <c r="C441" s="28">
        <v>46037</v>
      </c>
      <c r="D441" s="30" t="s">
        <v>372</v>
      </c>
      <c r="E441" s="28" t="s">
        <v>389</v>
      </c>
      <c r="F441" s="28" t="s">
        <v>368</v>
      </c>
      <c r="G441" s="28">
        <v>46066</v>
      </c>
      <c r="H441" s="23" t="s">
        <v>5</v>
      </c>
      <c r="I441" s="33"/>
      <c r="J441" s="23">
        <v>0</v>
      </c>
      <c r="K441" s="23">
        <v>1</v>
      </c>
      <c r="L441" s="35">
        <v>1</v>
      </c>
      <c r="M441" s="23">
        <v>122</v>
      </c>
      <c r="N441" s="23">
        <v>0</v>
      </c>
      <c r="O441" s="49">
        <v>1</v>
      </c>
      <c r="P441" s="45" t="s">
        <v>375</v>
      </c>
      <c r="Q441" s="23" t="s">
        <v>160</v>
      </c>
      <c r="R441" s="23" t="s">
        <v>376</v>
      </c>
      <c r="S441" s="23" t="s">
        <v>9</v>
      </c>
      <c r="T441" s="23">
        <f>SUMIFS($J$1:INDEX(J:J,ROW()-1),$I$1:INDEX(I:I,ROW()-1),"&lt;&gt;Totals:")</f>
        <v>211</v>
      </c>
      <c r="U441" s="22">
        <f>SUMIFS($M$1:INDEX(M:M,ROW()),$I$1:INDEX(I:I,ROW()),"&lt;&gt;*Totals:*")</f>
        <v>6243</v>
      </c>
    </row>
    <row r="442" spans="1:21" ht="12.75" customHeight="1" x14ac:dyDescent="0.25">
      <c r="A442" s="47" t="s">
        <v>15</v>
      </c>
      <c r="B442" s="23" t="s">
        <v>382</v>
      </c>
      <c r="C442" s="28">
        <v>46042</v>
      </c>
      <c r="D442" s="30" t="s">
        <v>372</v>
      </c>
      <c r="E442" s="28" t="s">
        <v>383</v>
      </c>
      <c r="F442" s="28" t="s">
        <v>384</v>
      </c>
      <c r="G442" s="28">
        <v>46071</v>
      </c>
      <c r="H442" s="23" t="s">
        <v>5</v>
      </c>
      <c r="I442" s="33" t="s">
        <v>14</v>
      </c>
      <c r="J442" s="23">
        <v>1</v>
      </c>
      <c r="K442" s="23">
        <v>1</v>
      </c>
      <c r="L442" s="35">
        <v>0</v>
      </c>
      <c r="M442" s="23">
        <v>1</v>
      </c>
      <c r="N442" s="23">
        <v>1</v>
      </c>
      <c r="O442" s="49">
        <v>0</v>
      </c>
      <c r="P442" s="45" t="s">
        <v>375</v>
      </c>
      <c r="Q442" s="23" t="s">
        <v>160</v>
      </c>
      <c r="R442" s="23" t="s">
        <v>376</v>
      </c>
      <c r="S442" s="23" t="s">
        <v>9</v>
      </c>
      <c r="T442" s="23">
        <f>SUMIFS($J$1:INDEX(J:J,ROW()-1),$I$1:INDEX(I:I,ROW()-1),"&lt;&gt;Totals:")</f>
        <v>211</v>
      </c>
      <c r="U442" s="22">
        <f>SUMIFS($M$1:INDEX(M:M,ROW()),$I$1:INDEX(I:I,ROW()),"&lt;&gt;*Totals:*")</f>
        <v>6244</v>
      </c>
    </row>
    <row r="443" spans="1:21" ht="12.75" customHeight="1" x14ac:dyDescent="0.25">
      <c r="A443" s="47" t="s">
        <v>10</v>
      </c>
      <c r="B443" s="23" t="s">
        <v>382</v>
      </c>
      <c r="C443" s="28">
        <v>46042</v>
      </c>
      <c r="D443" s="30" t="s">
        <v>372</v>
      </c>
      <c r="E443" s="28" t="s">
        <v>367</v>
      </c>
      <c r="F443" s="28" t="s">
        <v>360</v>
      </c>
      <c r="G443" s="28">
        <v>46071</v>
      </c>
      <c r="H443" s="23" t="s">
        <v>5</v>
      </c>
      <c r="I443" s="33"/>
      <c r="J443" s="23">
        <v>0</v>
      </c>
      <c r="K443" s="23">
        <v>1</v>
      </c>
      <c r="L443" s="35">
        <v>1</v>
      </c>
      <c r="M443" s="23">
        <v>3</v>
      </c>
      <c r="N443" s="23">
        <v>0</v>
      </c>
      <c r="O443" s="49">
        <v>1</v>
      </c>
      <c r="P443" s="45" t="s">
        <v>375</v>
      </c>
      <c r="Q443" s="23" t="s">
        <v>160</v>
      </c>
      <c r="R443" s="23" t="s">
        <v>376</v>
      </c>
      <c r="S443" s="23" t="s">
        <v>9</v>
      </c>
      <c r="T443" s="23">
        <f>SUMIFS($J$1:INDEX(J:J,ROW()-1),$I$1:INDEX(I:I,ROW()-1),"&lt;&gt;Totals:")</f>
        <v>212</v>
      </c>
      <c r="U443" s="22">
        <f>SUMIFS($M$1:INDEX(M:M,ROW()),$I$1:INDEX(I:I,ROW()),"&lt;&gt;*Totals:*")</f>
        <v>6247</v>
      </c>
    </row>
    <row r="444" spans="1:21" ht="12.75" customHeight="1" x14ac:dyDescent="0.25">
      <c r="A444" s="47" t="s">
        <v>15</v>
      </c>
      <c r="B444" s="23" t="s">
        <v>382</v>
      </c>
      <c r="C444" s="28">
        <v>46043</v>
      </c>
      <c r="D444" s="30" t="s">
        <v>372</v>
      </c>
      <c r="E444" s="28" t="s">
        <v>383</v>
      </c>
      <c r="F444" s="28" t="s">
        <v>384</v>
      </c>
      <c r="G444" s="28">
        <v>46072</v>
      </c>
      <c r="H444" s="23" t="s">
        <v>5</v>
      </c>
      <c r="I444" s="33" t="s">
        <v>14</v>
      </c>
      <c r="J444" s="23">
        <v>1</v>
      </c>
      <c r="K444" s="23">
        <v>1</v>
      </c>
      <c r="L444" s="35">
        <v>0</v>
      </c>
      <c r="M444" s="23">
        <v>1</v>
      </c>
      <c r="N444" s="23">
        <v>1</v>
      </c>
      <c r="O444" s="49">
        <v>0</v>
      </c>
      <c r="P444" s="45" t="s">
        <v>375</v>
      </c>
      <c r="Q444" s="23" t="s">
        <v>160</v>
      </c>
      <c r="R444" s="23" t="s">
        <v>376</v>
      </c>
      <c r="S444" s="23" t="s">
        <v>9</v>
      </c>
      <c r="T444" s="23">
        <f>SUMIFS($J$1:INDEX(J:J,ROW()-1),$I$1:INDEX(I:I,ROW()-1),"&lt;&gt;Totals:")</f>
        <v>212</v>
      </c>
      <c r="U444" s="22">
        <f>SUMIFS($M$1:INDEX(M:M,ROW()),$I$1:INDEX(I:I,ROW()),"&lt;&gt;*Totals:*")</f>
        <v>6248</v>
      </c>
    </row>
    <row r="445" spans="1:21" ht="12.75" customHeight="1" x14ac:dyDescent="0.25">
      <c r="A445" s="47" t="s">
        <v>10</v>
      </c>
      <c r="B445" s="23" t="s">
        <v>382</v>
      </c>
      <c r="C445" s="28">
        <v>46047</v>
      </c>
      <c r="D445" s="30" t="s">
        <v>372</v>
      </c>
      <c r="E445" s="28" t="s">
        <v>367</v>
      </c>
      <c r="F445" s="28" t="s">
        <v>360</v>
      </c>
      <c r="G445" s="28">
        <v>46076</v>
      </c>
      <c r="H445" s="23" t="s">
        <v>5</v>
      </c>
      <c r="I445" s="33"/>
      <c r="J445" s="23">
        <v>0</v>
      </c>
      <c r="K445" s="23">
        <v>1</v>
      </c>
      <c r="L445" s="35">
        <v>1</v>
      </c>
      <c r="M445" s="23">
        <v>3</v>
      </c>
      <c r="N445" s="23">
        <v>0</v>
      </c>
      <c r="O445" s="49">
        <v>1</v>
      </c>
      <c r="P445" s="45" t="s">
        <v>375</v>
      </c>
      <c r="Q445" s="23" t="s">
        <v>160</v>
      </c>
      <c r="R445" s="23" t="s">
        <v>376</v>
      </c>
      <c r="S445" s="23" t="s">
        <v>9</v>
      </c>
      <c r="T445" s="23">
        <f>SUMIFS($J$1:INDEX(J:J,ROW()-1),$I$1:INDEX(I:I,ROW()-1),"&lt;&gt;Totals:")</f>
        <v>213</v>
      </c>
      <c r="U445" s="22">
        <f>SUMIFS($M$1:INDEX(M:M,ROW()),$I$1:INDEX(I:I,ROW()),"&lt;&gt;*Totals:*")</f>
        <v>6251</v>
      </c>
    </row>
    <row r="446" spans="1:21" ht="12.75" customHeight="1" x14ac:dyDescent="0.25">
      <c r="A446" s="47" t="s">
        <v>15</v>
      </c>
      <c r="B446" s="23" t="s">
        <v>382</v>
      </c>
      <c r="C446" s="28">
        <v>46047</v>
      </c>
      <c r="D446" s="30" t="s">
        <v>372</v>
      </c>
      <c r="E446" s="28" t="s">
        <v>383</v>
      </c>
      <c r="F446" s="28" t="s">
        <v>384</v>
      </c>
      <c r="G446" s="28">
        <v>46076</v>
      </c>
      <c r="H446" s="23" t="s">
        <v>5</v>
      </c>
      <c r="I446" s="33"/>
      <c r="J446" s="23">
        <v>0</v>
      </c>
      <c r="K446" s="23">
        <v>1</v>
      </c>
      <c r="L446" s="35">
        <v>1</v>
      </c>
      <c r="M446" s="23">
        <v>1</v>
      </c>
      <c r="N446" s="23">
        <v>0</v>
      </c>
      <c r="O446" s="49">
        <v>1</v>
      </c>
      <c r="P446" s="45" t="s">
        <v>375</v>
      </c>
      <c r="Q446" s="23" t="s">
        <v>160</v>
      </c>
      <c r="R446" s="23" t="s">
        <v>376</v>
      </c>
      <c r="S446" s="23" t="s">
        <v>9</v>
      </c>
      <c r="T446" s="23">
        <f>SUMIFS($J$1:INDEX(J:J,ROW()-1),$I$1:INDEX(I:I,ROW()-1),"&lt;&gt;Totals:")</f>
        <v>213</v>
      </c>
      <c r="U446" s="22">
        <f>SUMIFS($M$1:INDEX(M:M,ROW()),$I$1:INDEX(I:I,ROW()),"&lt;&gt;*Totals:*")</f>
        <v>6252</v>
      </c>
    </row>
    <row r="447" spans="1:21" ht="12.75" customHeight="1" thickBot="1" x14ac:dyDescent="0.3">
      <c r="A447" s="51" t="s">
        <v>0</v>
      </c>
      <c r="B447" s="20" t="s">
        <v>366</v>
      </c>
      <c r="C447" s="25">
        <v>46053</v>
      </c>
      <c r="D447" s="27" t="s">
        <v>372</v>
      </c>
      <c r="E447" s="25" t="s">
        <v>367</v>
      </c>
      <c r="F447" s="25" t="s">
        <v>368</v>
      </c>
      <c r="G447" s="25">
        <v>46082</v>
      </c>
      <c r="H447" s="20" t="s">
        <v>5</v>
      </c>
      <c r="I447" s="32"/>
      <c r="J447" s="20">
        <v>0</v>
      </c>
      <c r="K447" s="20">
        <v>1</v>
      </c>
      <c r="L447" s="34">
        <v>1</v>
      </c>
      <c r="M447" s="20">
        <v>6</v>
      </c>
      <c r="N447" s="20">
        <v>0</v>
      </c>
      <c r="O447" s="54">
        <v>1</v>
      </c>
      <c r="P447" s="45" t="s">
        <v>375</v>
      </c>
      <c r="Q447" s="23" t="s">
        <v>160</v>
      </c>
      <c r="R447" s="23" t="s">
        <v>376</v>
      </c>
      <c r="S447" s="23" t="s">
        <v>9</v>
      </c>
      <c r="T447" s="23">
        <f>SUMIFS($J$1:INDEX(J:J,ROW()-1),$I$1:INDEX(I:I,ROW()-1),"&lt;&gt;Totals:")</f>
        <v>213</v>
      </c>
      <c r="U447" s="22">
        <f>SUMIFS($M$1:INDEX(M:M,ROW()),$I$1:INDEX(I:I,ROW()),"&lt;&gt;*Totals:*")</f>
        <v>6258</v>
      </c>
    </row>
    <row r="448" spans="1:21" ht="17.25" customHeight="1" x14ac:dyDescent="0.25">
      <c r="A448" s="60"/>
      <c r="B448" s="50"/>
      <c r="C448" s="55"/>
      <c r="D448" s="56"/>
      <c r="E448" s="56"/>
      <c r="F448" s="57"/>
      <c r="G448" s="57"/>
      <c r="H448" s="57"/>
      <c r="I448" s="58" t="s">
        <v>1087</v>
      </c>
      <c r="J448" s="57">
        <f>SUM(J435:J447)</f>
        <v>5</v>
      </c>
      <c r="K448" s="57">
        <f>SUM(K435:K447)</f>
        <v>13</v>
      </c>
      <c r="L448" s="59">
        <f>(SUM(K435:K447) - SUM(J435:J447)) / SUM(K435:K447)</f>
        <v>0.61538461538461542</v>
      </c>
      <c r="M448" s="57">
        <f>SUM(M435:M447)</f>
        <v>326</v>
      </c>
      <c r="N448" s="56">
        <f>SUM(N435:N447)</f>
        <v>59</v>
      </c>
      <c r="O448" s="61">
        <f>(SUM(M435:M447) - SUM(N435:N447)) / SUM(M435:M447)</f>
        <v>0.81901840490797551</v>
      </c>
      <c r="P448" s="52"/>
      <c r="Q448" s="53"/>
      <c r="R448" s="52"/>
      <c r="S448" s="52"/>
      <c r="T448" s="52"/>
      <c r="U448" s="52"/>
    </row>
    <row r="449" spans="1:21" x14ac:dyDescent="0.25">
      <c r="A449" s="70"/>
      <c r="B449" s="64"/>
      <c r="C449" s="64"/>
      <c r="D449" s="64"/>
      <c r="E449" s="64"/>
      <c r="F449" s="64"/>
      <c r="G449" s="64"/>
      <c r="H449" s="64"/>
      <c r="I449" s="65" t="s">
        <v>1088</v>
      </c>
      <c r="J449" s="64"/>
      <c r="K449" s="64"/>
      <c r="L449" s="65" t="s">
        <v>1089</v>
      </c>
      <c r="M449" s="64"/>
      <c r="N449" s="64"/>
      <c r="O449" s="72"/>
      <c r="P449" s="62"/>
      <c r="Q449" s="62"/>
      <c r="R449" s="62"/>
      <c r="S449" s="62"/>
      <c r="T449" s="62"/>
      <c r="U449" s="62"/>
    </row>
    <row r="450" spans="1:21" ht="15.75" thickBot="1" x14ac:dyDescent="0.3">
      <c r="A450" s="71"/>
      <c r="B450" s="66"/>
      <c r="C450" s="67"/>
      <c r="D450" s="66"/>
      <c r="E450" s="66"/>
      <c r="F450" s="66"/>
      <c r="G450" s="67"/>
      <c r="H450" s="66"/>
      <c r="I450" s="68">
        <v>213</v>
      </c>
      <c r="J450" s="66"/>
      <c r="K450" s="66"/>
      <c r="L450" s="69">
        <v>6258</v>
      </c>
      <c r="M450" s="66"/>
      <c r="N450" s="66"/>
      <c r="O450" s="73"/>
      <c r="P450" s="63"/>
      <c r="Q450" s="63"/>
      <c r="R450" s="63"/>
      <c r="S450" s="63"/>
      <c r="T450" s="63"/>
      <c r="U450" s="63"/>
    </row>
    <row r="451" spans="1:21" ht="15.75" thickBot="1" x14ac:dyDescent="0.3">
      <c r="C451" s="1"/>
      <c r="G451" s="1"/>
    </row>
    <row r="452" spans="1:21" x14ac:dyDescent="0.25">
      <c r="A452" s="9"/>
      <c r="B452" s="10"/>
      <c r="C452" s="11"/>
      <c r="D452" s="11"/>
      <c r="E452" s="11"/>
      <c r="F452" s="11"/>
      <c r="G452" s="11"/>
      <c r="H452" s="12"/>
      <c r="I452" s="11"/>
      <c r="J452" s="13"/>
      <c r="K452" s="13"/>
      <c r="L452" s="13"/>
      <c r="M452" s="13"/>
      <c r="N452" s="11"/>
      <c r="O452" s="14"/>
      <c r="P452" s="4"/>
      <c r="Q452" s="5"/>
      <c r="R452" s="4"/>
      <c r="S452" s="4"/>
      <c r="T452" s="4"/>
      <c r="U452" s="4"/>
    </row>
    <row r="453" spans="1:21" x14ac:dyDescent="0.25">
      <c r="A453" s="6" t="s">
        <v>1091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15"/>
      <c r="P453" s="3"/>
      <c r="Q453" s="3"/>
      <c r="R453" s="3"/>
      <c r="S453" s="3"/>
      <c r="T453" s="3"/>
      <c r="U453" s="3"/>
    </row>
    <row r="454" spans="1:21" x14ac:dyDescent="0.25">
      <c r="A454" s="7" t="s">
        <v>182</v>
      </c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5"/>
      <c r="P454" s="3"/>
      <c r="Q454" s="3"/>
      <c r="R454" s="3"/>
      <c r="S454" s="3"/>
      <c r="T454" s="3"/>
      <c r="U454" s="3"/>
    </row>
    <row r="455" spans="1:21" ht="15.75" thickBot="1" x14ac:dyDescent="0.3">
      <c r="A455" s="8"/>
      <c r="B455" s="8"/>
      <c r="C455" s="74"/>
      <c r="D455" s="8"/>
      <c r="E455" s="8"/>
      <c r="F455" s="8"/>
      <c r="G455" s="74"/>
      <c r="H455" s="8"/>
      <c r="I455" s="8"/>
      <c r="J455" s="8"/>
      <c r="K455" s="8"/>
      <c r="L455" s="8"/>
      <c r="M455" s="8"/>
      <c r="N455" s="8"/>
      <c r="O455" s="16"/>
      <c r="P455" s="3"/>
      <c r="Q455" s="3"/>
      <c r="R455" s="3"/>
      <c r="S455" s="3"/>
      <c r="T455" s="3"/>
      <c r="U455" s="3"/>
    </row>
    <row r="456" spans="1:21" ht="17.25" customHeight="1" thickBot="1" x14ac:dyDescent="0.3">
      <c r="A456" s="19" t="s">
        <v>1068</v>
      </c>
      <c r="B456" s="24" t="s">
        <v>1069</v>
      </c>
      <c r="C456" s="26" t="s">
        <v>1070</v>
      </c>
      <c r="D456" s="29" t="s">
        <v>1071</v>
      </c>
      <c r="E456" s="26" t="s">
        <v>1072</v>
      </c>
      <c r="F456" s="31" t="s">
        <v>1073</v>
      </c>
      <c r="G456" s="31" t="s">
        <v>1074</v>
      </c>
      <c r="H456" s="31" t="s">
        <v>1075</v>
      </c>
      <c r="I456" s="29" t="s">
        <v>14</v>
      </c>
      <c r="J456" s="29" t="s">
        <v>1076</v>
      </c>
      <c r="K456" s="29" t="s">
        <v>1077</v>
      </c>
      <c r="L456" s="29" t="s">
        <v>1078</v>
      </c>
      <c r="M456" s="29" t="s">
        <v>1079</v>
      </c>
      <c r="N456" s="29" t="s">
        <v>1080</v>
      </c>
      <c r="O456" s="36" t="s">
        <v>1081</v>
      </c>
      <c r="P456" s="37" t="s">
        <v>1082</v>
      </c>
      <c r="Q456" s="38" t="s">
        <v>1083</v>
      </c>
      <c r="R456" s="38" t="s">
        <v>1084</v>
      </c>
      <c r="S456" s="38" t="s">
        <v>1085</v>
      </c>
      <c r="T456" s="38" t="s">
        <v>1086</v>
      </c>
      <c r="U456" s="39" t="s">
        <v>1086</v>
      </c>
    </row>
    <row r="457" spans="1:21" ht="12.75" customHeight="1" x14ac:dyDescent="0.25">
      <c r="A457" s="46" t="s">
        <v>17</v>
      </c>
      <c r="B457" s="40" t="s">
        <v>390</v>
      </c>
      <c r="C457" s="41">
        <v>46055</v>
      </c>
      <c r="D457" s="42" t="s">
        <v>391</v>
      </c>
      <c r="E457" s="41" t="s">
        <v>387</v>
      </c>
      <c r="F457" s="41" t="s">
        <v>392</v>
      </c>
      <c r="G457" s="41">
        <v>46084</v>
      </c>
      <c r="H457" s="40" t="s">
        <v>5</v>
      </c>
      <c r="I457" s="43" t="s">
        <v>14</v>
      </c>
      <c r="J457" s="40">
        <v>1</v>
      </c>
      <c r="K457" s="40">
        <v>1</v>
      </c>
      <c r="L457" s="44">
        <v>0</v>
      </c>
      <c r="M457" s="40">
        <v>25</v>
      </c>
      <c r="N457" s="40">
        <v>25</v>
      </c>
      <c r="O457" s="48">
        <v>0</v>
      </c>
      <c r="P457" s="45" t="s">
        <v>375</v>
      </c>
      <c r="Q457" s="23" t="s">
        <v>182</v>
      </c>
      <c r="R457" s="23" t="s">
        <v>393</v>
      </c>
      <c r="S457" s="23" t="s">
        <v>9</v>
      </c>
      <c r="T457" s="23">
        <f>SUMIFS($J$1:INDEX(J:J,ROW()-1),$I$1:INDEX(I:I,ROW()-1),"&lt;&gt;Totals:")</f>
        <v>213</v>
      </c>
      <c r="U457" s="22">
        <f>SUMIFS($M$1:INDEX(M:M,ROW()),$I$1:INDEX(I:I,ROW()),"&lt;&gt;*Totals:*")</f>
        <v>6283</v>
      </c>
    </row>
    <row r="458" spans="1:21" ht="12.75" customHeight="1" x14ac:dyDescent="0.25">
      <c r="A458" s="47" t="s">
        <v>15</v>
      </c>
      <c r="B458" s="23" t="s">
        <v>382</v>
      </c>
      <c r="C458" s="28">
        <v>46061</v>
      </c>
      <c r="D458" s="30" t="s">
        <v>391</v>
      </c>
      <c r="E458" s="28" t="s">
        <v>383</v>
      </c>
      <c r="F458" s="28" t="s">
        <v>384</v>
      </c>
      <c r="G458" s="28">
        <v>46090</v>
      </c>
      <c r="H458" s="23" t="s">
        <v>5</v>
      </c>
      <c r="I458" s="33"/>
      <c r="J458" s="23">
        <v>0</v>
      </c>
      <c r="K458" s="23">
        <v>1</v>
      </c>
      <c r="L458" s="35">
        <v>1</v>
      </c>
      <c r="M458" s="23">
        <v>1</v>
      </c>
      <c r="N458" s="23">
        <v>0</v>
      </c>
      <c r="O458" s="49">
        <v>1</v>
      </c>
      <c r="P458" s="45" t="s">
        <v>375</v>
      </c>
      <c r="Q458" s="23" t="s">
        <v>182</v>
      </c>
      <c r="R458" s="23" t="s">
        <v>393</v>
      </c>
      <c r="S458" s="23" t="s">
        <v>9</v>
      </c>
      <c r="T458" s="23">
        <f>SUMIFS($J$1:INDEX(J:J,ROW()-1),$I$1:INDEX(I:I,ROW()-1),"&lt;&gt;Totals:")</f>
        <v>214</v>
      </c>
      <c r="U458" s="22">
        <f>SUMIFS($M$1:INDEX(M:M,ROW()),$I$1:INDEX(I:I,ROW()),"&lt;&gt;*Totals:*")</f>
        <v>6284</v>
      </c>
    </row>
    <row r="459" spans="1:21" ht="12.75" customHeight="1" x14ac:dyDescent="0.25">
      <c r="A459" s="47" t="s">
        <v>10</v>
      </c>
      <c r="B459" s="23" t="s">
        <v>382</v>
      </c>
      <c r="C459" s="28">
        <v>46061</v>
      </c>
      <c r="D459" s="30" t="s">
        <v>391</v>
      </c>
      <c r="E459" s="28" t="s">
        <v>367</v>
      </c>
      <c r="F459" s="28" t="s">
        <v>360</v>
      </c>
      <c r="G459" s="28">
        <v>46090</v>
      </c>
      <c r="H459" s="23" t="s">
        <v>5</v>
      </c>
      <c r="I459" s="33"/>
      <c r="J459" s="23">
        <v>0</v>
      </c>
      <c r="K459" s="23">
        <v>1</v>
      </c>
      <c r="L459" s="35">
        <v>1</v>
      </c>
      <c r="M459" s="23">
        <v>2</v>
      </c>
      <c r="N459" s="23">
        <v>0</v>
      </c>
      <c r="O459" s="49">
        <v>1</v>
      </c>
      <c r="P459" s="45" t="s">
        <v>375</v>
      </c>
      <c r="Q459" s="23" t="s">
        <v>182</v>
      </c>
      <c r="R459" s="23" t="s">
        <v>393</v>
      </c>
      <c r="S459" s="23" t="s">
        <v>9</v>
      </c>
      <c r="T459" s="23">
        <f>SUMIFS($J$1:INDEX(J:J,ROW()-1),$I$1:INDEX(I:I,ROW()-1),"&lt;&gt;Totals:")</f>
        <v>214</v>
      </c>
      <c r="U459" s="22">
        <f>SUMIFS($M$1:INDEX(M:M,ROW()),$I$1:INDEX(I:I,ROW()),"&lt;&gt;*Totals:*")</f>
        <v>6286</v>
      </c>
    </row>
    <row r="460" spans="1:21" ht="12.75" customHeight="1" x14ac:dyDescent="0.25">
      <c r="A460" s="47" t="s">
        <v>10</v>
      </c>
      <c r="B460" s="23" t="s">
        <v>394</v>
      </c>
      <c r="C460" s="28">
        <v>46064</v>
      </c>
      <c r="D460" s="30" t="s">
        <v>391</v>
      </c>
      <c r="E460" s="28" t="s">
        <v>395</v>
      </c>
      <c r="F460" s="28" t="s">
        <v>396</v>
      </c>
      <c r="G460" s="28">
        <v>46093</v>
      </c>
      <c r="H460" s="23" t="s">
        <v>5</v>
      </c>
      <c r="I460" s="33" t="s">
        <v>14</v>
      </c>
      <c r="J460" s="23">
        <v>1</v>
      </c>
      <c r="K460" s="23">
        <v>1</v>
      </c>
      <c r="L460" s="35">
        <v>0</v>
      </c>
      <c r="M460" s="23">
        <v>98</v>
      </c>
      <c r="N460" s="23">
        <v>98</v>
      </c>
      <c r="O460" s="49">
        <v>0</v>
      </c>
      <c r="P460" s="45" t="s">
        <v>375</v>
      </c>
      <c r="Q460" s="23" t="s">
        <v>182</v>
      </c>
      <c r="R460" s="23" t="s">
        <v>393</v>
      </c>
      <c r="S460" s="23" t="s">
        <v>9</v>
      </c>
      <c r="T460" s="23">
        <f>SUMIFS($J$1:INDEX(J:J,ROW()-1),$I$1:INDEX(I:I,ROW()-1),"&lt;&gt;Totals:")</f>
        <v>214</v>
      </c>
      <c r="U460" s="22">
        <f>SUMIFS($M$1:INDEX(M:M,ROW()),$I$1:INDEX(I:I,ROW()),"&lt;&gt;*Totals:*")</f>
        <v>6384</v>
      </c>
    </row>
    <row r="461" spans="1:21" ht="12.75" customHeight="1" x14ac:dyDescent="0.25">
      <c r="A461" s="47" t="s">
        <v>40</v>
      </c>
      <c r="B461" s="23" t="s">
        <v>397</v>
      </c>
      <c r="C461" s="28">
        <v>46064</v>
      </c>
      <c r="D461" s="30" t="s">
        <v>391</v>
      </c>
      <c r="E461" s="28" t="s">
        <v>387</v>
      </c>
      <c r="F461" s="28" t="s">
        <v>367</v>
      </c>
      <c r="G461" s="28">
        <v>46093</v>
      </c>
      <c r="H461" s="23" t="s">
        <v>5</v>
      </c>
      <c r="I461" s="33" t="s">
        <v>14</v>
      </c>
      <c r="J461" s="23">
        <v>1</v>
      </c>
      <c r="K461" s="23">
        <v>1</v>
      </c>
      <c r="L461" s="35">
        <v>0</v>
      </c>
      <c r="M461" s="23">
        <v>14</v>
      </c>
      <c r="N461" s="23">
        <v>14</v>
      </c>
      <c r="O461" s="49">
        <v>0</v>
      </c>
      <c r="P461" s="45" t="s">
        <v>375</v>
      </c>
      <c r="Q461" s="23" t="s">
        <v>182</v>
      </c>
      <c r="R461" s="23" t="s">
        <v>393</v>
      </c>
      <c r="S461" s="23" t="s">
        <v>9</v>
      </c>
      <c r="T461" s="23">
        <f>SUMIFS($J$1:INDEX(J:J,ROW()-1),$I$1:INDEX(I:I,ROW()-1),"&lt;&gt;Totals:")</f>
        <v>215</v>
      </c>
      <c r="U461" s="22">
        <f>SUMIFS($M$1:INDEX(M:M,ROW()),$I$1:INDEX(I:I,ROW()),"&lt;&gt;*Totals:*")</f>
        <v>6398</v>
      </c>
    </row>
    <row r="462" spans="1:21" ht="12.75" customHeight="1" x14ac:dyDescent="0.25">
      <c r="A462" s="47" t="s">
        <v>15</v>
      </c>
      <c r="B462" s="23" t="s">
        <v>394</v>
      </c>
      <c r="C462" s="28">
        <v>46064</v>
      </c>
      <c r="D462" s="30" t="s">
        <v>391</v>
      </c>
      <c r="E462" s="28" t="s">
        <v>398</v>
      </c>
      <c r="F462" s="28" t="s">
        <v>399</v>
      </c>
      <c r="G462" s="28">
        <v>46093</v>
      </c>
      <c r="H462" s="23" t="s">
        <v>5</v>
      </c>
      <c r="I462" s="33" t="s">
        <v>14</v>
      </c>
      <c r="J462" s="23">
        <v>1</v>
      </c>
      <c r="K462" s="23">
        <v>1</v>
      </c>
      <c r="L462" s="35">
        <v>0</v>
      </c>
      <c r="M462" s="23">
        <v>31</v>
      </c>
      <c r="N462" s="23">
        <v>31</v>
      </c>
      <c r="O462" s="49">
        <v>0</v>
      </c>
      <c r="P462" s="45" t="s">
        <v>375</v>
      </c>
      <c r="Q462" s="23" t="s">
        <v>182</v>
      </c>
      <c r="R462" s="23" t="s">
        <v>393</v>
      </c>
      <c r="S462" s="23" t="s">
        <v>9</v>
      </c>
      <c r="T462" s="23">
        <f>SUMIFS($J$1:INDEX(J:J,ROW()-1),$I$1:INDEX(I:I,ROW()-1),"&lt;&gt;Totals:")</f>
        <v>216</v>
      </c>
      <c r="U462" s="22">
        <f>SUMIFS($M$1:INDEX(M:M,ROW()),$I$1:INDEX(I:I,ROW()),"&lt;&gt;*Totals:*")</f>
        <v>6429</v>
      </c>
    </row>
    <row r="463" spans="1:21" ht="12.75" customHeight="1" x14ac:dyDescent="0.25">
      <c r="A463" s="47" t="s">
        <v>36</v>
      </c>
      <c r="B463" s="23" t="s">
        <v>400</v>
      </c>
      <c r="C463" s="28">
        <v>46064</v>
      </c>
      <c r="D463" s="30" t="s">
        <v>391</v>
      </c>
      <c r="E463" s="28" t="s">
        <v>387</v>
      </c>
      <c r="F463" s="28" t="s">
        <v>373</v>
      </c>
      <c r="G463" s="28">
        <v>46093</v>
      </c>
      <c r="H463" s="23" t="s">
        <v>5</v>
      </c>
      <c r="I463" s="33" t="s">
        <v>14</v>
      </c>
      <c r="J463" s="23">
        <v>1</v>
      </c>
      <c r="K463" s="23">
        <v>1</v>
      </c>
      <c r="L463" s="35">
        <v>0</v>
      </c>
      <c r="M463" s="23">
        <v>5</v>
      </c>
      <c r="N463" s="23">
        <v>5</v>
      </c>
      <c r="O463" s="49">
        <v>0</v>
      </c>
      <c r="P463" s="45" t="s">
        <v>375</v>
      </c>
      <c r="Q463" s="23" t="s">
        <v>182</v>
      </c>
      <c r="R463" s="23" t="s">
        <v>393</v>
      </c>
      <c r="S463" s="23" t="s">
        <v>9</v>
      </c>
      <c r="T463" s="23">
        <f>SUMIFS($J$1:INDEX(J:J,ROW()-1),$I$1:INDEX(I:I,ROW()-1),"&lt;&gt;Totals:")</f>
        <v>217</v>
      </c>
      <c r="U463" s="22">
        <f>SUMIFS($M$1:INDEX(M:M,ROW()),$I$1:INDEX(I:I,ROW()),"&lt;&gt;*Totals:*")</f>
        <v>6434</v>
      </c>
    </row>
    <row r="464" spans="1:21" ht="12.75" customHeight="1" x14ac:dyDescent="0.25">
      <c r="A464" s="47" t="s">
        <v>0</v>
      </c>
      <c r="B464" s="23" t="s">
        <v>386</v>
      </c>
      <c r="C464" s="28">
        <v>46066</v>
      </c>
      <c r="D464" s="30" t="s">
        <v>391</v>
      </c>
      <c r="E464" s="28" t="s">
        <v>401</v>
      </c>
      <c r="F464" s="28" t="s">
        <v>388</v>
      </c>
      <c r="G464" s="28">
        <v>46095</v>
      </c>
      <c r="H464" s="23" t="s">
        <v>5</v>
      </c>
      <c r="I464" s="33"/>
      <c r="J464" s="23">
        <v>0</v>
      </c>
      <c r="K464" s="23">
        <v>1</v>
      </c>
      <c r="L464" s="35">
        <v>1</v>
      </c>
      <c r="M464" s="23">
        <v>136</v>
      </c>
      <c r="N464" s="23">
        <v>0</v>
      </c>
      <c r="O464" s="49">
        <v>1</v>
      </c>
      <c r="P464" s="45" t="s">
        <v>375</v>
      </c>
      <c r="Q464" s="23" t="s">
        <v>182</v>
      </c>
      <c r="R464" s="23" t="s">
        <v>393</v>
      </c>
      <c r="S464" s="23" t="s">
        <v>9</v>
      </c>
      <c r="T464" s="23">
        <f>SUMIFS($J$1:INDEX(J:J,ROW()-1),$I$1:INDEX(I:I,ROW()-1),"&lt;&gt;Totals:")</f>
        <v>218</v>
      </c>
      <c r="U464" s="22">
        <f>SUMIFS($M$1:INDEX(M:M,ROW()),$I$1:INDEX(I:I,ROW()),"&lt;&gt;*Totals:*")</f>
        <v>6570</v>
      </c>
    </row>
    <row r="465" spans="1:21" ht="12.75" customHeight="1" x14ac:dyDescent="0.25">
      <c r="A465" s="47" t="s">
        <v>10</v>
      </c>
      <c r="B465" s="23" t="s">
        <v>394</v>
      </c>
      <c r="C465" s="28">
        <v>46068</v>
      </c>
      <c r="D465" s="30" t="s">
        <v>391</v>
      </c>
      <c r="E465" s="28" t="s">
        <v>395</v>
      </c>
      <c r="F465" s="28" t="s">
        <v>396</v>
      </c>
      <c r="G465" s="28">
        <v>46097</v>
      </c>
      <c r="H465" s="23" t="s">
        <v>5</v>
      </c>
      <c r="I465" s="33" t="s">
        <v>14</v>
      </c>
      <c r="J465" s="23">
        <v>1</v>
      </c>
      <c r="K465" s="23">
        <v>1</v>
      </c>
      <c r="L465" s="35">
        <v>0</v>
      </c>
      <c r="M465" s="23">
        <v>5</v>
      </c>
      <c r="N465" s="23">
        <v>5</v>
      </c>
      <c r="O465" s="49">
        <v>0</v>
      </c>
      <c r="P465" s="45" t="s">
        <v>375</v>
      </c>
      <c r="Q465" s="23" t="s">
        <v>182</v>
      </c>
      <c r="R465" s="23" t="s">
        <v>393</v>
      </c>
      <c r="S465" s="23" t="s">
        <v>9</v>
      </c>
      <c r="T465" s="23">
        <f>SUMIFS($J$1:INDEX(J:J,ROW()-1),$I$1:INDEX(I:I,ROW()-1),"&lt;&gt;Totals:")</f>
        <v>218</v>
      </c>
      <c r="U465" s="22">
        <f>SUMIFS($M$1:INDEX(M:M,ROW()),$I$1:INDEX(I:I,ROW()),"&lt;&gt;*Totals:*")</f>
        <v>6575</v>
      </c>
    </row>
    <row r="466" spans="1:21" ht="12.75" customHeight="1" x14ac:dyDescent="0.25">
      <c r="A466" s="47" t="s">
        <v>15</v>
      </c>
      <c r="B466" s="23" t="s">
        <v>394</v>
      </c>
      <c r="C466" s="28">
        <v>46068</v>
      </c>
      <c r="D466" s="30" t="s">
        <v>391</v>
      </c>
      <c r="E466" s="28" t="s">
        <v>398</v>
      </c>
      <c r="F466" s="28" t="s">
        <v>399</v>
      </c>
      <c r="G466" s="28">
        <v>46097</v>
      </c>
      <c r="H466" s="23" t="s">
        <v>5</v>
      </c>
      <c r="I466" s="33" t="s">
        <v>14</v>
      </c>
      <c r="J466" s="23">
        <v>1</v>
      </c>
      <c r="K466" s="23">
        <v>1</v>
      </c>
      <c r="L466" s="35">
        <v>0</v>
      </c>
      <c r="M466" s="23">
        <v>2</v>
      </c>
      <c r="N466" s="23">
        <v>2</v>
      </c>
      <c r="O466" s="49">
        <v>0</v>
      </c>
      <c r="P466" s="45" t="s">
        <v>375</v>
      </c>
      <c r="Q466" s="23" t="s">
        <v>182</v>
      </c>
      <c r="R466" s="23" t="s">
        <v>393</v>
      </c>
      <c r="S466" s="23" t="s">
        <v>9</v>
      </c>
      <c r="T466" s="23">
        <f>SUMIFS($J$1:INDEX(J:J,ROW()-1),$I$1:INDEX(I:I,ROW()-1),"&lt;&gt;Totals:")</f>
        <v>219</v>
      </c>
      <c r="U466" s="22">
        <f>SUMIFS($M$1:INDEX(M:M,ROW()),$I$1:INDEX(I:I,ROW()),"&lt;&gt;*Totals:*")</f>
        <v>6577</v>
      </c>
    </row>
    <row r="467" spans="1:21" ht="12.75" customHeight="1" x14ac:dyDescent="0.25">
      <c r="A467" s="47" t="s">
        <v>0</v>
      </c>
      <c r="B467" s="23" t="s">
        <v>386</v>
      </c>
      <c r="C467" s="28">
        <v>46068</v>
      </c>
      <c r="D467" s="30" t="s">
        <v>391</v>
      </c>
      <c r="E467" s="28" t="s">
        <v>387</v>
      </c>
      <c r="F467" s="28" t="s">
        <v>388</v>
      </c>
      <c r="G467" s="28">
        <v>46097</v>
      </c>
      <c r="H467" s="23" t="s">
        <v>5</v>
      </c>
      <c r="I467" s="33" t="s">
        <v>14</v>
      </c>
      <c r="J467" s="23">
        <v>1</v>
      </c>
      <c r="K467" s="23">
        <v>1</v>
      </c>
      <c r="L467" s="35">
        <v>0</v>
      </c>
      <c r="M467" s="23">
        <v>3</v>
      </c>
      <c r="N467" s="23">
        <v>3</v>
      </c>
      <c r="O467" s="49">
        <v>0</v>
      </c>
      <c r="P467" s="45" t="s">
        <v>375</v>
      </c>
      <c r="Q467" s="23" t="s">
        <v>182</v>
      </c>
      <c r="R467" s="23" t="s">
        <v>393</v>
      </c>
      <c r="S467" s="23" t="s">
        <v>9</v>
      </c>
      <c r="T467" s="23">
        <f>SUMIFS($J$1:INDEX(J:J,ROW()-1),$I$1:INDEX(I:I,ROW()-1),"&lt;&gt;Totals:")</f>
        <v>220</v>
      </c>
      <c r="U467" s="22">
        <f>SUMIFS($M$1:INDEX(M:M,ROW()),$I$1:INDEX(I:I,ROW()),"&lt;&gt;*Totals:*")</f>
        <v>6580</v>
      </c>
    </row>
    <row r="468" spans="1:21" ht="12.75" customHeight="1" x14ac:dyDescent="0.25">
      <c r="A468" s="47" t="s">
        <v>10</v>
      </c>
      <c r="B468" s="23" t="s">
        <v>394</v>
      </c>
      <c r="C468" s="28">
        <v>46070</v>
      </c>
      <c r="D468" s="30" t="s">
        <v>391</v>
      </c>
      <c r="E468" s="28" t="s">
        <v>395</v>
      </c>
      <c r="F468" s="28" t="s">
        <v>396</v>
      </c>
      <c r="G468" s="28">
        <v>46099</v>
      </c>
      <c r="H468" s="23" t="s">
        <v>5</v>
      </c>
      <c r="I468" s="33" t="s">
        <v>14</v>
      </c>
      <c r="J468" s="23">
        <v>1</v>
      </c>
      <c r="K468" s="23">
        <v>1</v>
      </c>
      <c r="L468" s="35">
        <v>0</v>
      </c>
      <c r="M468" s="23">
        <v>2</v>
      </c>
      <c r="N468" s="23">
        <v>2</v>
      </c>
      <c r="O468" s="49">
        <v>0</v>
      </c>
      <c r="P468" s="45" t="s">
        <v>375</v>
      </c>
      <c r="Q468" s="23" t="s">
        <v>182</v>
      </c>
      <c r="R468" s="23" t="s">
        <v>393</v>
      </c>
      <c r="S468" s="23" t="s">
        <v>9</v>
      </c>
      <c r="T468" s="23">
        <f>SUMIFS($J$1:INDEX(J:J,ROW()-1),$I$1:INDEX(I:I,ROW()-1),"&lt;&gt;Totals:")</f>
        <v>221</v>
      </c>
      <c r="U468" s="22">
        <f>SUMIFS($M$1:INDEX(M:M,ROW()),$I$1:INDEX(I:I,ROW()),"&lt;&gt;*Totals:*")</f>
        <v>6582</v>
      </c>
    </row>
    <row r="469" spans="1:21" ht="12.75" customHeight="1" thickBot="1" x14ac:dyDescent="0.3">
      <c r="A469" s="51" t="s">
        <v>0</v>
      </c>
      <c r="B469" s="20" t="s">
        <v>386</v>
      </c>
      <c r="C469" s="25">
        <v>46070</v>
      </c>
      <c r="D469" s="27" t="s">
        <v>391</v>
      </c>
      <c r="E469" s="25" t="s">
        <v>387</v>
      </c>
      <c r="F469" s="25" t="s">
        <v>388</v>
      </c>
      <c r="G469" s="25">
        <v>46099</v>
      </c>
      <c r="H469" s="20" t="s">
        <v>5</v>
      </c>
      <c r="I469" s="32" t="s">
        <v>14</v>
      </c>
      <c r="J469" s="20">
        <v>1</v>
      </c>
      <c r="K469" s="20">
        <v>1</v>
      </c>
      <c r="L469" s="34">
        <v>0</v>
      </c>
      <c r="M469" s="20">
        <v>4</v>
      </c>
      <c r="N469" s="20">
        <v>4</v>
      </c>
      <c r="O469" s="54">
        <v>0</v>
      </c>
      <c r="P469" s="45" t="s">
        <v>375</v>
      </c>
      <c r="Q469" s="23" t="s">
        <v>182</v>
      </c>
      <c r="R469" s="23" t="s">
        <v>393</v>
      </c>
      <c r="S469" s="23" t="s">
        <v>9</v>
      </c>
      <c r="T469" s="23">
        <f>SUMIFS($J$1:INDEX(J:J,ROW()-1),$I$1:INDEX(I:I,ROW()-1),"&lt;&gt;Totals:")</f>
        <v>222</v>
      </c>
      <c r="U469" s="22">
        <f>SUMIFS($M$1:INDEX(M:M,ROW()),$I$1:INDEX(I:I,ROW()),"&lt;&gt;*Totals:*")</f>
        <v>6586</v>
      </c>
    </row>
    <row r="470" spans="1:21" ht="17.25" customHeight="1" x14ac:dyDescent="0.25">
      <c r="A470" s="60"/>
      <c r="B470" s="50"/>
      <c r="C470" s="55"/>
      <c r="D470" s="56"/>
      <c r="E470" s="56"/>
      <c r="F470" s="57"/>
      <c r="G470" s="57"/>
      <c r="H470" s="57"/>
      <c r="I470" s="58" t="s">
        <v>1087</v>
      </c>
      <c r="J470" s="57">
        <f>SUM(J457:J469)</f>
        <v>10</v>
      </c>
      <c r="K470" s="57">
        <f>SUM(K457:K469)</f>
        <v>13</v>
      </c>
      <c r="L470" s="59">
        <f>(SUM(K457:K469) - SUM(J457:J469)) / SUM(K457:K469)</f>
        <v>0.23076923076923078</v>
      </c>
      <c r="M470" s="57">
        <f>SUM(M457:M469)</f>
        <v>328</v>
      </c>
      <c r="N470" s="56">
        <f>SUM(N457:N469)</f>
        <v>189</v>
      </c>
      <c r="O470" s="61">
        <f>(SUM(M457:M469) - SUM(N457:N469)) / SUM(M457:M469)</f>
        <v>0.42378048780487804</v>
      </c>
      <c r="P470" s="52"/>
      <c r="Q470" s="53"/>
      <c r="R470" s="52"/>
      <c r="S470" s="52"/>
      <c r="T470" s="52"/>
      <c r="U470" s="52"/>
    </row>
    <row r="471" spans="1:21" x14ac:dyDescent="0.25">
      <c r="A471" s="70"/>
      <c r="B471" s="64"/>
      <c r="C471" s="64"/>
      <c r="D471" s="64"/>
      <c r="E471" s="64"/>
      <c r="F471" s="64"/>
      <c r="G471" s="64"/>
      <c r="H471" s="64"/>
      <c r="I471" s="65" t="s">
        <v>1088</v>
      </c>
      <c r="J471" s="64"/>
      <c r="K471" s="64"/>
      <c r="L471" s="65" t="s">
        <v>1089</v>
      </c>
      <c r="M471" s="64"/>
      <c r="N471" s="64"/>
      <c r="O471" s="72"/>
      <c r="P471" s="62"/>
      <c r="Q471" s="62"/>
      <c r="R471" s="62"/>
      <c r="S471" s="62"/>
      <c r="T471" s="62"/>
      <c r="U471" s="62"/>
    </row>
    <row r="472" spans="1:21" ht="15.75" thickBot="1" x14ac:dyDescent="0.3">
      <c r="A472" s="71"/>
      <c r="B472" s="66"/>
      <c r="C472" s="67"/>
      <c r="D472" s="66"/>
      <c r="E472" s="66"/>
      <c r="F472" s="66"/>
      <c r="G472" s="67"/>
      <c r="H472" s="66"/>
      <c r="I472" s="68">
        <v>222</v>
      </c>
      <c r="J472" s="66"/>
      <c r="K472" s="66"/>
      <c r="L472" s="69">
        <v>6586</v>
      </c>
      <c r="M472" s="66"/>
      <c r="N472" s="66"/>
      <c r="O472" s="73"/>
      <c r="P472" s="63"/>
      <c r="Q472" s="63"/>
      <c r="R472" s="63"/>
      <c r="S472" s="63"/>
      <c r="T472" s="63"/>
      <c r="U472" s="63"/>
    </row>
    <row r="473" spans="1:21" ht="15.75" thickBot="1" x14ac:dyDescent="0.3">
      <c r="C473" s="1"/>
      <c r="G473" s="1"/>
    </row>
    <row r="474" spans="1:21" x14ac:dyDescent="0.25">
      <c r="A474" s="9"/>
      <c r="B474" s="10"/>
      <c r="C474" s="11"/>
      <c r="D474" s="11"/>
      <c r="E474" s="11"/>
      <c r="F474" s="11"/>
      <c r="G474" s="11"/>
      <c r="H474" s="12"/>
      <c r="I474" s="11"/>
      <c r="J474" s="13"/>
      <c r="K474" s="13"/>
      <c r="L474" s="13"/>
      <c r="M474" s="13"/>
      <c r="N474" s="11"/>
      <c r="O474" s="14"/>
      <c r="P474" s="4"/>
      <c r="Q474" s="5"/>
      <c r="R474" s="4"/>
      <c r="S474" s="4"/>
      <c r="T474" s="4"/>
      <c r="U474" s="4"/>
    </row>
    <row r="475" spans="1:21" x14ac:dyDescent="0.25">
      <c r="A475" s="6" t="s">
        <v>1091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15"/>
      <c r="P475" s="3"/>
      <c r="Q475" s="3"/>
      <c r="R475" s="3"/>
      <c r="S475" s="3"/>
      <c r="T475" s="3"/>
      <c r="U475" s="3"/>
    </row>
    <row r="476" spans="1:21" x14ac:dyDescent="0.25">
      <c r="A476" s="7" t="s">
        <v>201</v>
      </c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15"/>
      <c r="P476" s="3"/>
      <c r="Q476" s="3"/>
      <c r="R476" s="3"/>
      <c r="S476" s="3"/>
      <c r="T476" s="3"/>
      <c r="U476" s="3"/>
    </row>
    <row r="477" spans="1:21" ht="15.75" thickBot="1" x14ac:dyDescent="0.3">
      <c r="A477" s="8"/>
      <c r="B477" s="8"/>
      <c r="C477" s="74"/>
      <c r="D477" s="8"/>
      <c r="E477" s="8"/>
      <c r="F477" s="8"/>
      <c r="G477" s="74"/>
      <c r="H477" s="8"/>
      <c r="I477" s="8"/>
      <c r="J477" s="8"/>
      <c r="K477" s="8"/>
      <c r="L477" s="8"/>
      <c r="M477" s="8"/>
      <c r="N477" s="8"/>
      <c r="O477" s="16"/>
      <c r="P477" s="3"/>
      <c r="Q477" s="3"/>
      <c r="R477" s="3"/>
      <c r="S477" s="3"/>
      <c r="T477" s="3"/>
      <c r="U477" s="3"/>
    </row>
    <row r="478" spans="1:21" ht="17.25" customHeight="1" thickBot="1" x14ac:dyDescent="0.3">
      <c r="A478" s="19" t="s">
        <v>1068</v>
      </c>
      <c r="B478" s="24" t="s">
        <v>1069</v>
      </c>
      <c r="C478" s="26" t="s">
        <v>1070</v>
      </c>
      <c r="D478" s="29" t="s">
        <v>1071</v>
      </c>
      <c r="E478" s="26" t="s">
        <v>1072</v>
      </c>
      <c r="F478" s="31" t="s">
        <v>1073</v>
      </c>
      <c r="G478" s="31" t="s">
        <v>1074</v>
      </c>
      <c r="H478" s="31" t="s">
        <v>1075</v>
      </c>
      <c r="I478" s="29" t="s">
        <v>14</v>
      </c>
      <c r="J478" s="29" t="s">
        <v>1076</v>
      </c>
      <c r="K478" s="29" t="s">
        <v>1077</v>
      </c>
      <c r="L478" s="29" t="s">
        <v>1078</v>
      </c>
      <c r="M478" s="29" t="s">
        <v>1079</v>
      </c>
      <c r="N478" s="29" t="s">
        <v>1080</v>
      </c>
      <c r="O478" s="36" t="s">
        <v>1081</v>
      </c>
      <c r="P478" s="37" t="s">
        <v>1082</v>
      </c>
      <c r="Q478" s="38" t="s">
        <v>1083</v>
      </c>
      <c r="R478" s="38" t="s">
        <v>1084</v>
      </c>
      <c r="S478" s="38" t="s">
        <v>1085</v>
      </c>
      <c r="T478" s="38" t="s">
        <v>1086</v>
      </c>
      <c r="U478" s="39" t="s">
        <v>1086</v>
      </c>
    </row>
    <row r="479" spans="1:21" ht="12.75" customHeight="1" x14ac:dyDescent="0.25">
      <c r="A479" s="46" t="s">
        <v>17</v>
      </c>
      <c r="B479" s="40" t="s">
        <v>402</v>
      </c>
      <c r="C479" s="41">
        <v>46083</v>
      </c>
      <c r="D479" s="42" t="s">
        <v>403</v>
      </c>
      <c r="E479" s="41" t="s">
        <v>404</v>
      </c>
      <c r="F479" s="41" t="s">
        <v>405</v>
      </c>
      <c r="G479" s="41">
        <v>46112</v>
      </c>
      <c r="H479" s="40" t="s">
        <v>5</v>
      </c>
      <c r="I479" s="43" t="s">
        <v>14</v>
      </c>
      <c r="J479" s="40">
        <v>1</v>
      </c>
      <c r="K479" s="40">
        <v>1</v>
      </c>
      <c r="L479" s="44">
        <v>0</v>
      </c>
      <c r="M479" s="40">
        <v>22</v>
      </c>
      <c r="N479" s="40">
        <v>22</v>
      </c>
      <c r="O479" s="48">
        <v>0</v>
      </c>
      <c r="P479" s="45" t="s">
        <v>375</v>
      </c>
      <c r="Q479" s="23" t="s">
        <v>201</v>
      </c>
      <c r="R479" s="23" t="s">
        <v>406</v>
      </c>
      <c r="S479" s="23" t="s">
        <v>9</v>
      </c>
      <c r="T479" s="23">
        <f>SUMIFS($J$1:INDEX(J:J,ROW()-1),$I$1:INDEX(I:I,ROW()-1),"&lt;&gt;Totals:")</f>
        <v>223</v>
      </c>
      <c r="U479" s="22">
        <f>SUMIFS($M$1:INDEX(M:M,ROW()),$I$1:INDEX(I:I,ROW()),"&lt;&gt;*Totals:*")</f>
        <v>6608</v>
      </c>
    </row>
    <row r="480" spans="1:21" ht="12.75" customHeight="1" x14ac:dyDescent="0.25">
      <c r="A480" s="47" t="s">
        <v>17</v>
      </c>
      <c r="B480" s="23" t="s">
        <v>407</v>
      </c>
      <c r="C480" s="28">
        <v>46084</v>
      </c>
      <c r="D480" s="30" t="s">
        <v>403</v>
      </c>
      <c r="E480" s="28" t="s">
        <v>404</v>
      </c>
      <c r="F480" s="28" t="s">
        <v>408</v>
      </c>
      <c r="G480" s="28">
        <v>46113</v>
      </c>
      <c r="H480" s="23" t="s">
        <v>5</v>
      </c>
      <c r="I480" s="33" t="s">
        <v>14</v>
      </c>
      <c r="J480" s="23">
        <v>1</v>
      </c>
      <c r="K480" s="23">
        <v>1</v>
      </c>
      <c r="L480" s="35">
        <v>0</v>
      </c>
      <c r="M480" s="23">
        <v>1</v>
      </c>
      <c r="N480" s="23">
        <v>1</v>
      </c>
      <c r="O480" s="49">
        <v>0</v>
      </c>
      <c r="P480" s="45" t="s">
        <v>375</v>
      </c>
      <c r="Q480" s="23" t="s">
        <v>201</v>
      </c>
      <c r="R480" s="23" t="s">
        <v>406</v>
      </c>
      <c r="S480" s="23" t="s">
        <v>9</v>
      </c>
      <c r="T480" s="23">
        <f>SUMIFS($J$1:INDEX(J:J,ROW()-1),$I$1:INDEX(I:I,ROW()-1),"&lt;&gt;Totals:")</f>
        <v>224</v>
      </c>
      <c r="U480" s="22">
        <f>SUMIFS($M$1:INDEX(M:M,ROW()),$I$1:INDEX(I:I,ROW()),"&lt;&gt;*Totals:*")</f>
        <v>6609</v>
      </c>
    </row>
    <row r="481" spans="1:21" ht="12.75" customHeight="1" x14ac:dyDescent="0.25">
      <c r="A481" s="47" t="s">
        <v>17</v>
      </c>
      <c r="B481" s="23" t="s">
        <v>407</v>
      </c>
      <c r="C481" s="28">
        <v>46090</v>
      </c>
      <c r="D481" s="30" t="s">
        <v>403</v>
      </c>
      <c r="E481" s="28" t="s">
        <v>404</v>
      </c>
      <c r="F481" s="28" t="s">
        <v>408</v>
      </c>
      <c r="G481" s="28">
        <v>46119</v>
      </c>
      <c r="H481" s="23" t="s">
        <v>5</v>
      </c>
      <c r="I481" s="33" t="s">
        <v>14</v>
      </c>
      <c r="J481" s="23">
        <v>1</v>
      </c>
      <c r="K481" s="23">
        <v>1</v>
      </c>
      <c r="L481" s="35">
        <v>0</v>
      </c>
      <c r="M481" s="23">
        <v>1</v>
      </c>
      <c r="N481" s="23">
        <v>1</v>
      </c>
      <c r="O481" s="49">
        <v>0</v>
      </c>
      <c r="P481" s="45" t="s">
        <v>375</v>
      </c>
      <c r="Q481" s="23" t="s">
        <v>201</v>
      </c>
      <c r="R481" s="23" t="s">
        <v>406</v>
      </c>
      <c r="S481" s="23" t="s">
        <v>9</v>
      </c>
      <c r="T481" s="23">
        <f>SUMIFS($J$1:INDEX(J:J,ROW()-1),$I$1:INDEX(I:I,ROW()-1),"&lt;&gt;Totals:")</f>
        <v>225</v>
      </c>
      <c r="U481" s="22">
        <f>SUMIFS($M$1:INDEX(M:M,ROW()),$I$1:INDEX(I:I,ROW()),"&lt;&gt;*Totals:*")</f>
        <v>6610</v>
      </c>
    </row>
    <row r="482" spans="1:21" ht="12.75" customHeight="1" x14ac:dyDescent="0.25">
      <c r="A482" s="47" t="s">
        <v>40</v>
      </c>
      <c r="B482" s="23" t="s">
        <v>409</v>
      </c>
      <c r="C482" s="28">
        <v>46093</v>
      </c>
      <c r="D482" s="30" t="s">
        <v>403</v>
      </c>
      <c r="E482" s="28" t="s">
        <v>404</v>
      </c>
      <c r="F482" s="28" t="s">
        <v>410</v>
      </c>
      <c r="G482" s="28">
        <v>46122</v>
      </c>
      <c r="H482" s="23" t="s">
        <v>5</v>
      </c>
      <c r="I482" s="33" t="s">
        <v>14</v>
      </c>
      <c r="J482" s="23">
        <v>1</v>
      </c>
      <c r="K482" s="23">
        <v>1</v>
      </c>
      <c r="L482" s="35">
        <v>0</v>
      </c>
      <c r="M482" s="23">
        <v>15</v>
      </c>
      <c r="N482" s="23">
        <v>15</v>
      </c>
      <c r="O482" s="49">
        <v>0</v>
      </c>
      <c r="P482" s="45" t="s">
        <v>375</v>
      </c>
      <c r="Q482" s="23" t="s">
        <v>201</v>
      </c>
      <c r="R482" s="23" t="s">
        <v>406</v>
      </c>
      <c r="S482" s="23" t="s">
        <v>9</v>
      </c>
      <c r="T482" s="23">
        <f>SUMIFS($J$1:INDEX(J:J,ROW()-1),$I$1:INDEX(I:I,ROW()-1),"&lt;&gt;Totals:")</f>
        <v>226</v>
      </c>
      <c r="U482" s="22">
        <f>SUMIFS($M$1:INDEX(M:M,ROW()),$I$1:INDEX(I:I,ROW()),"&lt;&gt;*Totals:*")</f>
        <v>6625</v>
      </c>
    </row>
    <row r="483" spans="1:21" ht="12.75" customHeight="1" x14ac:dyDescent="0.25">
      <c r="A483" s="47" t="s">
        <v>15</v>
      </c>
      <c r="B483" s="23" t="s">
        <v>411</v>
      </c>
      <c r="C483" s="28">
        <v>46093</v>
      </c>
      <c r="D483" s="30" t="s">
        <v>403</v>
      </c>
      <c r="E483" s="28" t="s">
        <v>412</v>
      </c>
      <c r="F483" s="28" t="s">
        <v>413</v>
      </c>
      <c r="G483" s="28">
        <v>46122</v>
      </c>
      <c r="H483" s="23" t="s">
        <v>5</v>
      </c>
      <c r="I483" s="33" t="s">
        <v>14</v>
      </c>
      <c r="J483" s="23">
        <v>1</v>
      </c>
      <c r="K483" s="23">
        <v>1</v>
      </c>
      <c r="L483" s="35">
        <v>0</v>
      </c>
      <c r="M483" s="23">
        <v>33</v>
      </c>
      <c r="N483" s="23">
        <v>33</v>
      </c>
      <c r="O483" s="49">
        <v>0</v>
      </c>
      <c r="P483" s="45" t="s">
        <v>375</v>
      </c>
      <c r="Q483" s="23" t="s">
        <v>201</v>
      </c>
      <c r="R483" s="23" t="s">
        <v>406</v>
      </c>
      <c r="S483" s="23" t="s">
        <v>9</v>
      </c>
      <c r="T483" s="23">
        <f>SUMIFS($J$1:INDEX(J:J,ROW()-1),$I$1:INDEX(I:I,ROW()-1),"&lt;&gt;Totals:")</f>
        <v>227</v>
      </c>
      <c r="U483" s="22">
        <f>SUMIFS($M$1:INDEX(M:M,ROW()),$I$1:INDEX(I:I,ROW()),"&lt;&gt;*Totals:*")</f>
        <v>6658</v>
      </c>
    </row>
    <row r="484" spans="1:21" ht="12.75" customHeight="1" x14ac:dyDescent="0.25">
      <c r="A484" s="47" t="s">
        <v>17</v>
      </c>
      <c r="B484" s="23" t="s">
        <v>407</v>
      </c>
      <c r="C484" s="28">
        <v>46093</v>
      </c>
      <c r="D484" s="30" t="s">
        <v>403</v>
      </c>
      <c r="E484" s="28" t="s">
        <v>404</v>
      </c>
      <c r="F484" s="28" t="s">
        <v>408</v>
      </c>
      <c r="G484" s="28">
        <v>46122</v>
      </c>
      <c r="H484" s="23" t="s">
        <v>5</v>
      </c>
      <c r="I484" s="33" t="s">
        <v>14</v>
      </c>
      <c r="J484" s="23">
        <v>1</v>
      </c>
      <c r="K484" s="23">
        <v>1</v>
      </c>
      <c r="L484" s="35">
        <v>0</v>
      </c>
      <c r="M484" s="23">
        <v>2</v>
      </c>
      <c r="N484" s="23">
        <v>2</v>
      </c>
      <c r="O484" s="49">
        <v>0</v>
      </c>
      <c r="P484" s="45" t="s">
        <v>375</v>
      </c>
      <c r="Q484" s="23" t="s">
        <v>201</v>
      </c>
      <c r="R484" s="23" t="s">
        <v>406</v>
      </c>
      <c r="S484" s="23" t="s">
        <v>9</v>
      </c>
      <c r="T484" s="23">
        <f>SUMIFS($J$1:INDEX(J:J,ROW()-1),$I$1:INDEX(I:I,ROW()-1),"&lt;&gt;Totals:")</f>
        <v>228</v>
      </c>
      <c r="U484" s="22">
        <f>SUMIFS($M$1:INDEX(M:M,ROW()),$I$1:INDEX(I:I,ROW()),"&lt;&gt;*Totals:*")</f>
        <v>6660</v>
      </c>
    </row>
    <row r="485" spans="1:21" ht="12.75" customHeight="1" x14ac:dyDescent="0.25">
      <c r="A485" s="47" t="s">
        <v>10</v>
      </c>
      <c r="B485" s="23" t="s">
        <v>411</v>
      </c>
      <c r="C485" s="28">
        <v>46093</v>
      </c>
      <c r="D485" s="30" t="s">
        <v>403</v>
      </c>
      <c r="E485" s="28" t="s">
        <v>412</v>
      </c>
      <c r="F485" s="28" t="s">
        <v>414</v>
      </c>
      <c r="G485" s="28">
        <v>46122</v>
      </c>
      <c r="H485" s="23" t="s">
        <v>5</v>
      </c>
      <c r="I485" s="33" t="s">
        <v>14</v>
      </c>
      <c r="J485" s="23">
        <v>1</v>
      </c>
      <c r="K485" s="23">
        <v>1</v>
      </c>
      <c r="L485" s="35">
        <v>0</v>
      </c>
      <c r="M485" s="23">
        <v>99</v>
      </c>
      <c r="N485" s="23">
        <v>99</v>
      </c>
      <c r="O485" s="49">
        <v>0</v>
      </c>
      <c r="P485" s="45" t="s">
        <v>375</v>
      </c>
      <c r="Q485" s="23" t="s">
        <v>201</v>
      </c>
      <c r="R485" s="23" t="s">
        <v>406</v>
      </c>
      <c r="S485" s="23" t="s">
        <v>9</v>
      </c>
      <c r="T485" s="23">
        <f>SUMIFS($J$1:INDEX(J:J,ROW()-1),$I$1:INDEX(I:I,ROW()-1),"&lt;&gt;Totals:")</f>
        <v>229</v>
      </c>
      <c r="U485" s="22">
        <f>SUMIFS($M$1:INDEX(M:M,ROW()),$I$1:INDEX(I:I,ROW()),"&lt;&gt;*Totals:*")</f>
        <v>6759</v>
      </c>
    </row>
    <row r="486" spans="1:21" ht="12.75" customHeight="1" x14ac:dyDescent="0.25">
      <c r="A486" s="47" t="s">
        <v>36</v>
      </c>
      <c r="B486" s="23" t="s">
        <v>415</v>
      </c>
      <c r="C486" s="28">
        <v>46093</v>
      </c>
      <c r="D486" s="30" t="s">
        <v>403</v>
      </c>
      <c r="E486" s="28" t="s">
        <v>404</v>
      </c>
      <c r="F486" s="28" t="s">
        <v>416</v>
      </c>
      <c r="G486" s="28">
        <v>46122</v>
      </c>
      <c r="H486" s="23" t="s">
        <v>5</v>
      </c>
      <c r="I486" s="33" t="s">
        <v>14</v>
      </c>
      <c r="J486" s="23">
        <v>1</v>
      </c>
      <c r="K486" s="23">
        <v>1</v>
      </c>
      <c r="L486" s="35">
        <v>0</v>
      </c>
      <c r="M486" s="23">
        <v>3</v>
      </c>
      <c r="N486" s="23">
        <v>3</v>
      </c>
      <c r="O486" s="49">
        <v>0</v>
      </c>
      <c r="P486" s="45" t="s">
        <v>375</v>
      </c>
      <c r="Q486" s="23" t="s">
        <v>201</v>
      </c>
      <c r="R486" s="23" t="s">
        <v>406</v>
      </c>
      <c r="S486" s="23" t="s">
        <v>9</v>
      </c>
      <c r="T486" s="23">
        <f>SUMIFS($J$1:INDEX(J:J,ROW()-1),$I$1:INDEX(I:I,ROW()-1),"&lt;&gt;Totals:")</f>
        <v>230</v>
      </c>
      <c r="U486" s="22">
        <f>SUMIFS($M$1:INDEX(M:M,ROW()),$I$1:INDEX(I:I,ROW()),"&lt;&gt;*Totals:*")</f>
        <v>6762</v>
      </c>
    </row>
    <row r="487" spans="1:21" ht="12.75" customHeight="1" x14ac:dyDescent="0.25">
      <c r="A487" s="47" t="s">
        <v>17</v>
      </c>
      <c r="B487" s="23" t="s">
        <v>407</v>
      </c>
      <c r="C487" s="28">
        <v>46094</v>
      </c>
      <c r="D487" s="30" t="s">
        <v>403</v>
      </c>
      <c r="E487" s="28" t="s">
        <v>404</v>
      </c>
      <c r="F487" s="28" t="s">
        <v>408</v>
      </c>
      <c r="G487" s="28">
        <v>46123</v>
      </c>
      <c r="H487" s="23" t="s">
        <v>5</v>
      </c>
      <c r="I487" s="33" t="s">
        <v>14</v>
      </c>
      <c r="J487" s="23">
        <v>1</v>
      </c>
      <c r="K487" s="23">
        <v>1</v>
      </c>
      <c r="L487" s="35">
        <v>0</v>
      </c>
      <c r="M487" s="23">
        <v>1</v>
      </c>
      <c r="N487" s="23">
        <v>1</v>
      </c>
      <c r="O487" s="49">
        <v>0</v>
      </c>
      <c r="P487" s="45" t="s">
        <v>375</v>
      </c>
      <c r="Q487" s="23" t="s">
        <v>201</v>
      </c>
      <c r="R487" s="23" t="s">
        <v>406</v>
      </c>
      <c r="S487" s="23" t="s">
        <v>9</v>
      </c>
      <c r="T487" s="23">
        <f>SUMIFS($J$1:INDEX(J:J,ROW()-1),$I$1:INDEX(I:I,ROW()-1),"&lt;&gt;Totals:")</f>
        <v>231</v>
      </c>
      <c r="U487" s="22">
        <f>SUMIFS($M$1:INDEX(M:M,ROW()),$I$1:INDEX(I:I,ROW()),"&lt;&gt;*Totals:*")</f>
        <v>6763</v>
      </c>
    </row>
    <row r="488" spans="1:21" ht="12.75" customHeight="1" x14ac:dyDescent="0.25">
      <c r="A488" s="47" t="s">
        <v>0</v>
      </c>
      <c r="B488" s="23" t="s">
        <v>417</v>
      </c>
      <c r="C488" s="28">
        <v>46095</v>
      </c>
      <c r="D488" s="30" t="s">
        <v>403</v>
      </c>
      <c r="E488" s="28" t="s">
        <v>418</v>
      </c>
      <c r="F488" s="28" t="s">
        <v>419</v>
      </c>
      <c r="G488" s="28">
        <v>46124</v>
      </c>
      <c r="H488" s="23" t="s">
        <v>5</v>
      </c>
      <c r="I488" s="33"/>
      <c r="J488" s="23">
        <v>0</v>
      </c>
      <c r="K488" s="23">
        <v>1</v>
      </c>
      <c r="L488" s="35">
        <v>1</v>
      </c>
      <c r="M488" s="23">
        <v>121</v>
      </c>
      <c r="N488" s="23">
        <v>0</v>
      </c>
      <c r="O488" s="49">
        <v>1</v>
      </c>
      <c r="P488" s="45" t="s">
        <v>375</v>
      </c>
      <c r="Q488" s="23" t="s">
        <v>201</v>
      </c>
      <c r="R488" s="23" t="s">
        <v>406</v>
      </c>
      <c r="S488" s="23" t="s">
        <v>9</v>
      </c>
      <c r="T488" s="23">
        <f>SUMIFS($J$1:INDEX(J:J,ROW()-1),$I$1:INDEX(I:I,ROW()-1),"&lt;&gt;Totals:")</f>
        <v>232</v>
      </c>
      <c r="U488" s="22">
        <f>SUMIFS($M$1:INDEX(M:M,ROW()),$I$1:INDEX(I:I,ROW()),"&lt;&gt;*Totals:*")</f>
        <v>6884</v>
      </c>
    </row>
    <row r="489" spans="1:21" ht="12.75" customHeight="1" x14ac:dyDescent="0.25">
      <c r="A489" s="47" t="s">
        <v>10</v>
      </c>
      <c r="B489" s="23" t="s">
        <v>411</v>
      </c>
      <c r="C489" s="28">
        <v>46096</v>
      </c>
      <c r="D489" s="30" t="s">
        <v>403</v>
      </c>
      <c r="E489" s="28" t="s">
        <v>412</v>
      </c>
      <c r="F489" s="28" t="s">
        <v>414</v>
      </c>
      <c r="G489" s="28">
        <v>46125</v>
      </c>
      <c r="H489" s="23" t="s">
        <v>5</v>
      </c>
      <c r="I489" s="33" t="s">
        <v>14</v>
      </c>
      <c r="J489" s="23">
        <v>1</v>
      </c>
      <c r="K489" s="23">
        <v>1</v>
      </c>
      <c r="L489" s="35">
        <v>0</v>
      </c>
      <c r="M489" s="23">
        <v>2</v>
      </c>
      <c r="N489" s="23">
        <v>2</v>
      </c>
      <c r="O489" s="49">
        <v>0</v>
      </c>
      <c r="P489" s="45" t="s">
        <v>375</v>
      </c>
      <c r="Q489" s="23" t="s">
        <v>201</v>
      </c>
      <c r="R489" s="23" t="s">
        <v>406</v>
      </c>
      <c r="S489" s="23" t="s">
        <v>9</v>
      </c>
      <c r="T489" s="23">
        <f>SUMIFS($J$1:INDEX(J:J,ROW()-1),$I$1:INDEX(I:I,ROW()-1),"&lt;&gt;Totals:")</f>
        <v>232</v>
      </c>
      <c r="U489" s="22">
        <f>SUMIFS($M$1:INDEX(M:M,ROW()),$I$1:INDEX(I:I,ROW()),"&lt;&gt;*Totals:*")</f>
        <v>6886</v>
      </c>
    </row>
    <row r="490" spans="1:21" ht="12.75" customHeight="1" x14ac:dyDescent="0.25">
      <c r="A490" s="47" t="s">
        <v>0</v>
      </c>
      <c r="B490" s="23" t="s">
        <v>417</v>
      </c>
      <c r="C490" s="28">
        <v>46096</v>
      </c>
      <c r="D490" s="30" t="s">
        <v>403</v>
      </c>
      <c r="E490" s="28" t="s">
        <v>404</v>
      </c>
      <c r="F490" s="28" t="s">
        <v>419</v>
      </c>
      <c r="G490" s="28">
        <v>46125</v>
      </c>
      <c r="H490" s="23" t="s">
        <v>5</v>
      </c>
      <c r="I490" s="33" t="s">
        <v>14</v>
      </c>
      <c r="J490" s="23">
        <v>1</v>
      </c>
      <c r="K490" s="23">
        <v>1</v>
      </c>
      <c r="L490" s="35">
        <v>0</v>
      </c>
      <c r="M490" s="23">
        <v>17</v>
      </c>
      <c r="N490" s="23">
        <v>17</v>
      </c>
      <c r="O490" s="49">
        <v>0</v>
      </c>
      <c r="P490" s="45" t="s">
        <v>375</v>
      </c>
      <c r="Q490" s="23" t="s">
        <v>201</v>
      </c>
      <c r="R490" s="23" t="s">
        <v>406</v>
      </c>
      <c r="S490" s="23" t="s">
        <v>9</v>
      </c>
      <c r="T490" s="23">
        <f>SUMIFS($J$1:INDEX(J:J,ROW()-1),$I$1:INDEX(I:I,ROW()-1),"&lt;&gt;Totals:")</f>
        <v>233</v>
      </c>
      <c r="U490" s="22">
        <f>SUMIFS($M$1:INDEX(M:M,ROW()),$I$1:INDEX(I:I,ROW()),"&lt;&gt;*Totals:*")</f>
        <v>6903</v>
      </c>
    </row>
    <row r="491" spans="1:21" ht="12.75" customHeight="1" x14ac:dyDescent="0.25">
      <c r="A491" s="47" t="s">
        <v>15</v>
      </c>
      <c r="B491" s="23" t="s">
        <v>411</v>
      </c>
      <c r="C491" s="28">
        <v>46096</v>
      </c>
      <c r="D491" s="30" t="s">
        <v>403</v>
      </c>
      <c r="E491" s="28" t="s">
        <v>412</v>
      </c>
      <c r="F491" s="28" t="s">
        <v>413</v>
      </c>
      <c r="G491" s="28">
        <v>46125</v>
      </c>
      <c r="H491" s="23" t="s">
        <v>5</v>
      </c>
      <c r="I491" s="33" t="s">
        <v>14</v>
      </c>
      <c r="J491" s="23">
        <v>1</v>
      </c>
      <c r="K491" s="23">
        <v>1</v>
      </c>
      <c r="L491" s="35">
        <v>0</v>
      </c>
      <c r="M491" s="23">
        <v>1</v>
      </c>
      <c r="N491" s="23">
        <v>1</v>
      </c>
      <c r="O491" s="49">
        <v>0</v>
      </c>
      <c r="P491" s="45" t="s">
        <v>375</v>
      </c>
      <c r="Q491" s="23" t="s">
        <v>201</v>
      </c>
      <c r="R491" s="23" t="s">
        <v>406</v>
      </c>
      <c r="S491" s="23" t="s">
        <v>9</v>
      </c>
      <c r="T491" s="23">
        <f>SUMIFS($J$1:INDEX(J:J,ROW()-1),$I$1:INDEX(I:I,ROW()-1),"&lt;&gt;Totals:")</f>
        <v>234</v>
      </c>
      <c r="U491" s="22">
        <f>SUMIFS($M$1:INDEX(M:M,ROW()),$I$1:INDEX(I:I,ROW()),"&lt;&gt;*Totals:*")</f>
        <v>6904</v>
      </c>
    </row>
    <row r="492" spans="1:21" ht="12.75" customHeight="1" x14ac:dyDescent="0.25">
      <c r="A492" s="47" t="s">
        <v>17</v>
      </c>
      <c r="B492" s="23" t="s">
        <v>407</v>
      </c>
      <c r="C492" s="28">
        <v>46097</v>
      </c>
      <c r="D492" s="30" t="s">
        <v>403</v>
      </c>
      <c r="E492" s="28" t="s">
        <v>404</v>
      </c>
      <c r="F492" s="28" t="s">
        <v>408</v>
      </c>
      <c r="G492" s="28">
        <v>46126</v>
      </c>
      <c r="H492" s="23" t="s">
        <v>5</v>
      </c>
      <c r="I492" s="33" t="s">
        <v>14</v>
      </c>
      <c r="J492" s="23">
        <v>1</v>
      </c>
      <c r="K492" s="23">
        <v>1</v>
      </c>
      <c r="L492" s="35">
        <v>0</v>
      </c>
      <c r="M492" s="23">
        <v>1</v>
      </c>
      <c r="N492" s="23">
        <v>1</v>
      </c>
      <c r="O492" s="49">
        <v>0</v>
      </c>
      <c r="P492" s="45" t="s">
        <v>375</v>
      </c>
      <c r="Q492" s="23" t="s">
        <v>201</v>
      </c>
      <c r="R492" s="23" t="s">
        <v>406</v>
      </c>
      <c r="S492" s="23" t="s">
        <v>9</v>
      </c>
      <c r="T492" s="23">
        <f>SUMIFS($J$1:INDEX(J:J,ROW()-1),$I$1:INDEX(I:I,ROW()-1),"&lt;&gt;Totals:")</f>
        <v>235</v>
      </c>
      <c r="U492" s="22">
        <f>SUMIFS($M$1:INDEX(M:M,ROW()),$I$1:INDEX(I:I,ROW()),"&lt;&gt;*Totals:*")</f>
        <v>6905</v>
      </c>
    </row>
    <row r="493" spans="1:21" ht="12.75" customHeight="1" x14ac:dyDescent="0.25">
      <c r="A493" s="47" t="s">
        <v>36</v>
      </c>
      <c r="B493" s="23" t="s">
        <v>415</v>
      </c>
      <c r="C493" s="28">
        <v>46098</v>
      </c>
      <c r="D493" s="30" t="s">
        <v>403</v>
      </c>
      <c r="E493" s="28" t="s">
        <v>404</v>
      </c>
      <c r="F493" s="28" t="s">
        <v>416</v>
      </c>
      <c r="G493" s="28">
        <v>46127</v>
      </c>
      <c r="H493" s="23" t="s">
        <v>5</v>
      </c>
      <c r="I493" s="33" t="s">
        <v>14</v>
      </c>
      <c r="J493" s="23">
        <v>1</v>
      </c>
      <c r="K493" s="23">
        <v>1</v>
      </c>
      <c r="L493" s="35">
        <v>0</v>
      </c>
      <c r="M493" s="23">
        <v>2</v>
      </c>
      <c r="N493" s="23">
        <v>2</v>
      </c>
      <c r="O493" s="49">
        <v>0</v>
      </c>
      <c r="P493" s="45" t="s">
        <v>375</v>
      </c>
      <c r="Q493" s="23" t="s">
        <v>201</v>
      </c>
      <c r="R493" s="23" t="s">
        <v>406</v>
      </c>
      <c r="S493" s="23" t="s">
        <v>9</v>
      </c>
      <c r="T493" s="23">
        <f>SUMIFS($J$1:INDEX(J:J,ROW()-1),$I$1:INDEX(I:I,ROW()-1),"&lt;&gt;Totals:")</f>
        <v>236</v>
      </c>
      <c r="U493" s="22">
        <f>SUMIFS($M$1:INDEX(M:M,ROW()),$I$1:INDEX(I:I,ROW()),"&lt;&gt;*Totals:*")</f>
        <v>6907</v>
      </c>
    </row>
    <row r="494" spans="1:21" ht="12.75" customHeight="1" x14ac:dyDescent="0.25">
      <c r="A494" s="47" t="s">
        <v>0</v>
      </c>
      <c r="B494" s="23" t="s">
        <v>420</v>
      </c>
      <c r="C494" s="28">
        <v>46100</v>
      </c>
      <c r="D494" s="30" t="s">
        <v>403</v>
      </c>
      <c r="E494" s="28" t="s">
        <v>404</v>
      </c>
      <c r="F494" s="28" t="s">
        <v>395</v>
      </c>
      <c r="G494" s="28">
        <v>46129</v>
      </c>
      <c r="H494" s="23" t="s">
        <v>5</v>
      </c>
      <c r="I494" s="33" t="s">
        <v>14</v>
      </c>
      <c r="J494" s="23">
        <v>1</v>
      </c>
      <c r="K494" s="23">
        <v>1</v>
      </c>
      <c r="L494" s="35">
        <v>0</v>
      </c>
      <c r="M494" s="23">
        <v>4</v>
      </c>
      <c r="N494" s="23">
        <v>4</v>
      </c>
      <c r="O494" s="49">
        <v>0</v>
      </c>
      <c r="P494" s="45" t="s">
        <v>375</v>
      </c>
      <c r="Q494" s="23" t="s">
        <v>201</v>
      </c>
      <c r="R494" s="23" t="s">
        <v>406</v>
      </c>
      <c r="S494" s="23" t="s">
        <v>9</v>
      </c>
      <c r="T494" s="23">
        <f>SUMIFS($J$1:INDEX(J:J,ROW()-1),$I$1:INDEX(I:I,ROW()-1),"&lt;&gt;Totals:")</f>
        <v>237</v>
      </c>
      <c r="U494" s="22">
        <f>SUMIFS($M$1:INDEX(M:M,ROW()),$I$1:INDEX(I:I,ROW()),"&lt;&gt;*Totals:*")</f>
        <v>6911</v>
      </c>
    </row>
    <row r="495" spans="1:21" ht="12.75" customHeight="1" x14ac:dyDescent="0.25">
      <c r="A495" s="47" t="s">
        <v>10</v>
      </c>
      <c r="B495" s="23" t="s">
        <v>411</v>
      </c>
      <c r="C495" s="28">
        <v>46103</v>
      </c>
      <c r="D495" s="30" t="s">
        <v>403</v>
      </c>
      <c r="E495" s="28" t="s">
        <v>412</v>
      </c>
      <c r="F495" s="28" t="s">
        <v>414</v>
      </c>
      <c r="G495" s="28">
        <v>46132</v>
      </c>
      <c r="H495" s="23" t="s">
        <v>5</v>
      </c>
      <c r="I495" s="33" t="s">
        <v>14</v>
      </c>
      <c r="J495" s="23">
        <v>1</v>
      </c>
      <c r="K495" s="23">
        <v>1</v>
      </c>
      <c r="L495" s="35">
        <v>0</v>
      </c>
      <c r="M495" s="23">
        <v>2</v>
      </c>
      <c r="N495" s="23">
        <v>2</v>
      </c>
      <c r="O495" s="49">
        <v>0</v>
      </c>
      <c r="P495" s="45" t="s">
        <v>375</v>
      </c>
      <c r="Q495" s="23" t="s">
        <v>201</v>
      </c>
      <c r="R495" s="23" t="s">
        <v>406</v>
      </c>
      <c r="S495" s="23" t="s">
        <v>9</v>
      </c>
      <c r="T495" s="23">
        <f>SUMIFS($J$1:INDEX(J:J,ROW()-1),$I$1:INDEX(I:I,ROW()-1),"&lt;&gt;Totals:")</f>
        <v>238</v>
      </c>
      <c r="U495" s="22">
        <f>SUMIFS($M$1:INDEX(M:M,ROW()),$I$1:INDEX(I:I,ROW()),"&lt;&gt;*Totals:*")</f>
        <v>6913</v>
      </c>
    </row>
    <row r="496" spans="1:21" ht="12.75" customHeight="1" x14ac:dyDescent="0.25">
      <c r="A496" s="47" t="s">
        <v>0</v>
      </c>
      <c r="B496" s="23" t="s">
        <v>417</v>
      </c>
      <c r="C496" s="28">
        <v>46106</v>
      </c>
      <c r="D496" s="30" t="s">
        <v>403</v>
      </c>
      <c r="E496" s="28" t="s">
        <v>404</v>
      </c>
      <c r="F496" s="28" t="s">
        <v>419</v>
      </c>
      <c r="G496" s="28">
        <v>46135</v>
      </c>
      <c r="H496" s="23" t="s">
        <v>5</v>
      </c>
      <c r="I496" s="33"/>
      <c r="J496" s="23">
        <v>0</v>
      </c>
      <c r="K496" s="23">
        <v>1</v>
      </c>
      <c r="L496" s="35">
        <v>1</v>
      </c>
      <c r="M496" s="23">
        <v>4</v>
      </c>
      <c r="N496" s="23">
        <v>0</v>
      </c>
      <c r="O496" s="49">
        <v>1</v>
      </c>
      <c r="P496" s="45" t="s">
        <v>375</v>
      </c>
      <c r="Q496" s="23" t="s">
        <v>201</v>
      </c>
      <c r="R496" s="23" t="s">
        <v>406</v>
      </c>
      <c r="S496" s="23" t="s">
        <v>9</v>
      </c>
      <c r="T496" s="23">
        <f>SUMIFS($J$1:INDEX(J:J,ROW()-1),$I$1:INDEX(I:I,ROW()-1),"&lt;&gt;Totals:")</f>
        <v>239</v>
      </c>
      <c r="U496" s="22">
        <f>SUMIFS($M$1:INDEX(M:M,ROW()),$I$1:INDEX(I:I,ROW()),"&lt;&gt;*Totals:*")</f>
        <v>6917</v>
      </c>
    </row>
    <row r="497" spans="1:21" ht="12.75" customHeight="1" x14ac:dyDescent="0.25">
      <c r="A497" s="47" t="s">
        <v>10</v>
      </c>
      <c r="B497" s="23" t="s">
        <v>411</v>
      </c>
      <c r="C497" s="28">
        <v>46106</v>
      </c>
      <c r="D497" s="30" t="s">
        <v>403</v>
      </c>
      <c r="E497" s="28" t="s">
        <v>412</v>
      </c>
      <c r="F497" s="28" t="s">
        <v>414</v>
      </c>
      <c r="G497" s="28">
        <v>46135</v>
      </c>
      <c r="H497" s="23" t="s">
        <v>5</v>
      </c>
      <c r="I497" s="33"/>
      <c r="J497" s="23">
        <v>0</v>
      </c>
      <c r="K497" s="23">
        <v>1</v>
      </c>
      <c r="L497" s="35">
        <v>1</v>
      </c>
      <c r="M497" s="23">
        <v>2</v>
      </c>
      <c r="N497" s="23">
        <v>0</v>
      </c>
      <c r="O497" s="49">
        <v>1</v>
      </c>
      <c r="P497" s="45" t="s">
        <v>375</v>
      </c>
      <c r="Q497" s="23" t="s">
        <v>201</v>
      </c>
      <c r="R497" s="23" t="s">
        <v>406</v>
      </c>
      <c r="S497" s="23" t="s">
        <v>9</v>
      </c>
      <c r="T497" s="23">
        <f>SUMIFS($J$1:INDEX(J:J,ROW()-1),$I$1:INDEX(I:I,ROW()-1),"&lt;&gt;Totals:")</f>
        <v>239</v>
      </c>
      <c r="U497" s="22">
        <f>SUMIFS($M$1:INDEX(M:M,ROW()),$I$1:INDEX(I:I,ROW()),"&lt;&gt;*Totals:*")</f>
        <v>6919</v>
      </c>
    </row>
    <row r="498" spans="1:21" ht="12.75" customHeight="1" x14ac:dyDescent="0.25">
      <c r="A498" s="47" t="s">
        <v>15</v>
      </c>
      <c r="B498" s="23" t="s">
        <v>411</v>
      </c>
      <c r="C498" s="28">
        <v>46106</v>
      </c>
      <c r="D498" s="30" t="s">
        <v>403</v>
      </c>
      <c r="E498" s="28" t="s">
        <v>412</v>
      </c>
      <c r="F498" s="28" t="s">
        <v>413</v>
      </c>
      <c r="G498" s="28">
        <v>46135</v>
      </c>
      <c r="H498" s="23" t="s">
        <v>5</v>
      </c>
      <c r="I498" s="33"/>
      <c r="J498" s="23">
        <v>0</v>
      </c>
      <c r="K498" s="23">
        <v>1</v>
      </c>
      <c r="L498" s="35">
        <v>1</v>
      </c>
      <c r="M498" s="23">
        <v>1</v>
      </c>
      <c r="N498" s="23">
        <v>0</v>
      </c>
      <c r="O498" s="49">
        <v>1</v>
      </c>
      <c r="P498" s="45" t="s">
        <v>375</v>
      </c>
      <c r="Q498" s="23" t="s">
        <v>201</v>
      </c>
      <c r="R498" s="23" t="s">
        <v>406</v>
      </c>
      <c r="S498" s="23" t="s">
        <v>9</v>
      </c>
      <c r="T498" s="23">
        <f>SUMIFS($J$1:INDEX(J:J,ROW()-1),$I$1:INDEX(I:I,ROW()-1),"&lt;&gt;Totals:")</f>
        <v>239</v>
      </c>
      <c r="U498" s="22">
        <f>SUMIFS($M$1:INDEX(M:M,ROW()),$I$1:INDEX(I:I,ROW()),"&lt;&gt;*Totals:*")</f>
        <v>6920</v>
      </c>
    </row>
    <row r="499" spans="1:21" ht="12.75" customHeight="1" x14ac:dyDescent="0.25">
      <c r="A499" s="47" t="s">
        <v>0</v>
      </c>
      <c r="B499" s="23" t="s">
        <v>417</v>
      </c>
      <c r="C499" s="28">
        <v>46110</v>
      </c>
      <c r="D499" s="30" t="s">
        <v>403</v>
      </c>
      <c r="E499" s="28" t="s">
        <v>404</v>
      </c>
      <c r="F499" s="28" t="s">
        <v>419</v>
      </c>
      <c r="G499" s="28">
        <v>46139</v>
      </c>
      <c r="H499" s="23" t="s">
        <v>5</v>
      </c>
      <c r="I499" s="33"/>
      <c r="J499" s="23">
        <v>0</v>
      </c>
      <c r="K499" s="23">
        <v>1</v>
      </c>
      <c r="L499" s="35">
        <v>1</v>
      </c>
      <c r="M499" s="23">
        <v>4</v>
      </c>
      <c r="N499" s="23">
        <v>0</v>
      </c>
      <c r="O499" s="49">
        <v>1</v>
      </c>
      <c r="P499" s="45" t="s">
        <v>375</v>
      </c>
      <c r="Q499" s="23" t="s">
        <v>201</v>
      </c>
      <c r="R499" s="23" t="s">
        <v>406</v>
      </c>
      <c r="S499" s="23" t="s">
        <v>9</v>
      </c>
      <c r="T499" s="23">
        <f>SUMIFS($J$1:INDEX(J:J,ROW()-1),$I$1:INDEX(I:I,ROW()-1),"&lt;&gt;Totals:")</f>
        <v>239</v>
      </c>
      <c r="U499" s="22">
        <f>SUMIFS($M$1:INDEX(M:M,ROW()),$I$1:INDEX(I:I,ROW()),"&lt;&gt;*Totals:*")</f>
        <v>6924</v>
      </c>
    </row>
    <row r="500" spans="1:21" ht="12.75" customHeight="1" x14ac:dyDescent="0.25">
      <c r="A500" s="47" t="s">
        <v>10</v>
      </c>
      <c r="B500" s="23" t="s">
        <v>411</v>
      </c>
      <c r="C500" s="28">
        <v>46111</v>
      </c>
      <c r="D500" s="30" t="s">
        <v>403</v>
      </c>
      <c r="E500" s="28" t="s">
        <v>412</v>
      </c>
      <c r="F500" s="28" t="s">
        <v>414</v>
      </c>
      <c r="G500" s="28">
        <v>46140</v>
      </c>
      <c r="H500" s="23" t="s">
        <v>5</v>
      </c>
      <c r="I500" s="33"/>
      <c r="J500" s="23">
        <v>0</v>
      </c>
      <c r="K500" s="23">
        <v>1</v>
      </c>
      <c r="L500" s="35">
        <v>1</v>
      </c>
      <c r="M500" s="23">
        <v>2</v>
      </c>
      <c r="N500" s="23">
        <v>0</v>
      </c>
      <c r="O500" s="49">
        <v>1</v>
      </c>
      <c r="P500" s="45" t="s">
        <v>375</v>
      </c>
      <c r="Q500" s="23" t="s">
        <v>201</v>
      </c>
      <c r="R500" s="23" t="s">
        <v>406</v>
      </c>
      <c r="S500" s="23" t="s">
        <v>9</v>
      </c>
      <c r="T500" s="23">
        <f>SUMIFS($J$1:INDEX(J:J,ROW()-1),$I$1:INDEX(I:I,ROW()-1),"&lt;&gt;Totals:")</f>
        <v>239</v>
      </c>
      <c r="U500" s="22">
        <f>SUMIFS($M$1:INDEX(M:M,ROW()),$I$1:INDEX(I:I,ROW()),"&lt;&gt;*Totals:*")</f>
        <v>6926</v>
      </c>
    </row>
    <row r="501" spans="1:21" ht="12.75" customHeight="1" x14ac:dyDescent="0.25">
      <c r="A501" s="47" t="s">
        <v>15</v>
      </c>
      <c r="B501" s="23" t="s">
        <v>411</v>
      </c>
      <c r="C501" s="28">
        <v>46111</v>
      </c>
      <c r="D501" s="30" t="s">
        <v>403</v>
      </c>
      <c r="E501" s="28" t="s">
        <v>412</v>
      </c>
      <c r="F501" s="28" t="s">
        <v>413</v>
      </c>
      <c r="G501" s="28">
        <v>46140</v>
      </c>
      <c r="H501" s="23" t="s">
        <v>5</v>
      </c>
      <c r="I501" s="33"/>
      <c r="J501" s="23">
        <v>0</v>
      </c>
      <c r="K501" s="23">
        <v>1</v>
      </c>
      <c r="L501" s="35">
        <v>1</v>
      </c>
      <c r="M501" s="23">
        <v>1</v>
      </c>
      <c r="N501" s="23">
        <v>0</v>
      </c>
      <c r="O501" s="49">
        <v>1</v>
      </c>
      <c r="P501" s="45" t="s">
        <v>375</v>
      </c>
      <c r="Q501" s="23" t="s">
        <v>201</v>
      </c>
      <c r="R501" s="23" t="s">
        <v>406</v>
      </c>
      <c r="S501" s="23" t="s">
        <v>9</v>
      </c>
      <c r="T501" s="23">
        <f>SUMIFS($J$1:INDEX(J:J,ROW()-1),$I$1:INDEX(I:I,ROW()-1),"&lt;&gt;Totals:")</f>
        <v>239</v>
      </c>
      <c r="U501" s="22">
        <f>SUMIFS($M$1:INDEX(M:M,ROW()),$I$1:INDEX(I:I,ROW()),"&lt;&gt;*Totals:*")</f>
        <v>6927</v>
      </c>
    </row>
    <row r="502" spans="1:21" ht="12.75" customHeight="1" x14ac:dyDescent="0.25">
      <c r="A502" s="47" t="s">
        <v>10</v>
      </c>
      <c r="B502" s="23" t="s">
        <v>421</v>
      </c>
      <c r="C502" s="28">
        <v>46112</v>
      </c>
      <c r="D502" s="30" t="s">
        <v>403</v>
      </c>
      <c r="E502" s="28" t="s">
        <v>404</v>
      </c>
      <c r="F502" s="28" t="s">
        <v>422</v>
      </c>
      <c r="G502" s="28">
        <v>46141</v>
      </c>
      <c r="H502" s="23" t="s">
        <v>5</v>
      </c>
      <c r="I502" s="33"/>
      <c r="J502" s="23">
        <v>0</v>
      </c>
      <c r="K502" s="23">
        <v>1</v>
      </c>
      <c r="L502" s="35">
        <v>1</v>
      </c>
      <c r="M502" s="23">
        <v>2</v>
      </c>
      <c r="N502" s="23">
        <v>0</v>
      </c>
      <c r="O502" s="49">
        <v>1</v>
      </c>
      <c r="P502" s="45" t="s">
        <v>375</v>
      </c>
      <c r="Q502" s="23" t="s">
        <v>201</v>
      </c>
      <c r="R502" s="23" t="s">
        <v>406</v>
      </c>
      <c r="S502" s="23" t="s">
        <v>9</v>
      </c>
      <c r="T502" s="23">
        <f>SUMIFS($J$1:INDEX(J:J,ROW()-1),$I$1:INDEX(I:I,ROW()-1),"&lt;&gt;Totals:")</f>
        <v>239</v>
      </c>
      <c r="U502" s="22">
        <f>SUMIFS($M$1:INDEX(M:M,ROW()),$I$1:INDEX(I:I,ROW()),"&lt;&gt;*Totals:*")</f>
        <v>6929</v>
      </c>
    </row>
    <row r="503" spans="1:21" ht="12.75" customHeight="1" thickBot="1" x14ac:dyDescent="0.3">
      <c r="A503" s="51" t="s">
        <v>15</v>
      </c>
      <c r="B503" s="20" t="s">
        <v>421</v>
      </c>
      <c r="C503" s="25">
        <v>46112</v>
      </c>
      <c r="D503" s="27" t="s">
        <v>403</v>
      </c>
      <c r="E503" s="25" t="s">
        <v>412</v>
      </c>
      <c r="F503" s="25" t="s">
        <v>422</v>
      </c>
      <c r="G503" s="25">
        <v>46141</v>
      </c>
      <c r="H503" s="20" t="s">
        <v>5</v>
      </c>
      <c r="I503" s="32"/>
      <c r="J503" s="20">
        <v>0</v>
      </c>
      <c r="K503" s="20">
        <v>1</v>
      </c>
      <c r="L503" s="34">
        <v>1</v>
      </c>
      <c r="M503" s="20">
        <v>1</v>
      </c>
      <c r="N503" s="20">
        <v>0</v>
      </c>
      <c r="O503" s="54">
        <v>1</v>
      </c>
      <c r="P503" s="45" t="s">
        <v>375</v>
      </c>
      <c r="Q503" s="23" t="s">
        <v>201</v>
      </c>
      <c r="R503" s="23" t="s">
        <v>406</v>
      </c>
      <c r="S503" s="23" t="s">
        <v>9</v>
      </c>
      <c r="T503" s="23">
        <f>SUMIFS($J$1:INDEX(J:J,ROW()-1),$I$1:INDEX(I:I,ROW()-1),"&lt;&gt;Totals:")</f>
        <v>239</v>
      </c>
      <c r="U503" s="22">
        <f>SUMIFS($M$1:INDEX(M:M,ROW()),$I$1:INDEX(I:I,ROW()),"&lt;&gt;*Totals:*")</f>
        <v>6930</v>
      </c>
    </row>
    <row r="504" spans="1:21" ht="17.25" customHeight="1" x14ac:dyDescent="0.25">
      <c r="A504" s="60"/>
      <c r="B504" s="50"/>
      <c r="C504" s="55"/>
      <c r="D504" s="56"/>
      <c r="E504" s="56"/>
      <c r="F504" s="57"/>
      <c r="G504" s="57"/>
      <c r="H504" s="57"/>
      <c r="I504" s="58" t="s">
        <v>1087</v>
      </c>
      <c r="J504" s="57">
        <f>SUM(J479:J503)</f>
        <v>16</v>
      </c>
      <c r="K504" s="57">
        <f>SUM(K479:K503)</f>
        <v>25</v>
      </c>
      <c r="L504" s="59">
        <f>(SUM(K479:K503) - SUM(J479:J503)) / SUM(K479:K503)</f>
        <v>0.36</v>
      </c>
      <c r="M504" s="57">
        <f>SUM(M479:M503)</f>
        <v>344</v>
      </c>
      <c r="N504" s="56">
        <f>SUM(N479:N503)</f>
        <v>206</v>
      </c>
      <c r="O504" s="61">
        <f>(SUM(M479:M503) - SUM(N479:N503)) / SUM(M479:M503)</f>
        <v>0.40116279069767441</v>
      </c>
      <c r="P504" s="52"/>
      <c r="Q504" s="53"/>
      <c r="R504" s="52"/>
      <c r="S504" s="52"/>
      <c r="T504" s="52"/>
      <c r="U504" s="52"/>
    </row>
    <row r="505" spans="1:21" x14ac:dyDescent="0.25">
      <c r="A505" s="70"/>
      <c r="B505" s="64"/>
      <c r="C505" s="64"/>
      <c r="D505" s="64"/>
      <c r="E505" s="64"/>
      <c r="F505" s="64"/>
      <c r="G505" s="64"/>
      <c r="H505" s="64"/>
      <c r="I505" s="65" t="s">
        <v>1088</v>
      </c>
      <c r="J505" s="64"/>
      <c r="K505" s="64"/>
      <c r="L505" s="65" t="s">
        <v>1089</v>
      </c>
      <c r="M505" s="64"/>
      <c r="N505" s="64"/>
      <c r="O505" s="72"/>
      <c r="P505" s="62"/>
      <c r="Q505" s="62"/>
      <c r="R505" s="62"/>
      <c r="S505" s="62"/>
      <c r="T505" s="62"/>
      <c r="U505" s="62"/>
    </row>
    <row r="506" spans="1:21" ht="15.75" thickBot="1" x14ac:dyDescent="0.3">
      <c r="A506" s="71"/>
      <c r="B506" s="66"/>
      <c r="C506" s="67"/>
      <c r="D506" s="66"/>
      <c r="E506" s="66"/>
      <c r="F506" s="66"/>
      <c r="G506" s="67"/>
      <c r="H506" s="66"/>
      <c r="I506" s="68">
        <v>239</v>
      </c>
      <c r="J506" s="66"/>
      <c r="K506" s="66"/>
      <c r="L506" s="69">
        <v>6930</v>
      </c>
      <c r="M506" s="66"/>
      <c r="N506" s="66"/>
      <c r="O506" s="73"/>
      <c r="P506" s="63"/>
      <c r="Q506" s="63"/>
      <c r="R506" s="63"/>
      <c r="S506" s="63"/>
      <c r="T506" s="63"/>
      <c r="U506" s="63"/>
    </row>
    <row r="507" spans="1:21" ht="15.75" thickBot="1" x14ac:dyDescent="0.3">
      <c r="C507" s="1"/>
      <c r="G507" s="1"/>
    </row>
    <row r="508" spans="1:21" x14ac:dyDescent="0.25">
      <c r="A508" s="9"/>
      <c r="B508" s="10"/>
      <c r="C508" s="11"/>
      <c r="D508" s="11"/>
      <c r="E508" s="11"/>
      <c r="F508" s="11"/>
      <c r="G508" s="11"/>
      <c r="H508" s="12"/>
      <c r="I508" s="11"/>
      <c r="J508" s="13"/>
      <c r="K508" s="13"/>
      <c r="L508" s="13"/>
      <c r="M508" s="13"/>
      <c r="N508" s="11"/>
      <c r="O508" s="14"/>
      <c r="P508" s="4"/>
      <c r="Q508" s="5"/>
      <c r="R508" s="4"/>
      <c r="S508" s="4"/>
      <c r="T508" s="4"/>
      <c r="U508" s="4"/>
    </row>
    <row r="509" spans="1:21" x14ac:dyDescent="0.25">
      <c r="A509" s="6" t="s">
        <v>1091</v>
      </c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15"/>
      <c r="P509" s="3"/>
      <c r="Q509" s="3"/>
      <c r="R509" s="3"/>
      <c r="S509" s="3"/>
      <c r="T509" s="3"/>
      <c r="U509" s="3"/>
    </row>
    <row r="510" spans="1:21" x14ac:dyDescent="0.25">
      <c r="A510" s="7" t="s">
        <v>218</v>
      </c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15"/>
      <c r="P510" s="3"/>
      <c r="Q510" s="3"/>
      <c r="R510" s="3"/>
      <c r="S510" s="3"/>
      <c r="T510" s="3"/>
      <c r="U510" s="3"/>
    </row>
    <row r="511" spans="1:21" ht="15.75" thickBot="1" x14ac:dyDescent="0.3">
      <c r="A511" s="8"/>
      <c r="B511" s="8"/>
      <c r="C511" s="74"/>
      <c r="D511" s="8"/>
      <c r="E511" s="8"/>
      <c r="F511" s="8"/>
      <c r="G511" s="74"/>
      <c r="H511" s="8"/>
      <c r="I511" s="8"/>
      <c r="J511" s="8"/>
      <c r="K511" s="8"/>
      <c r="L511" s="8"/>
      <c r="M511" s="8"/>
      <c r="N511" s="8"/>
      <c r="O511" s="16"/>
      <c r="P511" s="3"/>
      <c r="Q511" s="3"/>
      <c r="R511" s="3"/>
      <c r="S511" s="3"/>
      <c r="T511" s="3"/>
      <c r="U511" s="3"/>
    </row>
    <row r="512" spans="1:21" ht="17.25" customHeight="1" thickBot="1" x14ac:dyDescent="0.3">
      <c r="A512" s="19" t="s">
        <v>1068</v>
      </c>
      <c r="B512" s="24" t="s">
        <v>1069</v>
      </c>
      <c r="C512" s="26" t="s">
        <v>1070</v>
      </c>
      <c r="D512" s="29" t="s">
        <v>1071</v>
      </c>
      <c r="E512" s="26" t="s">
        <v>1072</v>
      </c>
      <c r="F512" s="31" t="s">
        <v>1073</v>
      </c>
      <c r="G512" s="31" t="s">
        <v>1074</v>
      </c>
      <c r="H512" s="31" t="s">
        <v>1075</v>
      </c>
      <c r="I512" s="29" t="s">
        <v>14</v>
      </c>
      <c r="J512" s="29" t="s">
        <v>1076</v>
      </c>
      <c r="K512" s="29" t="s">
        <v>1077</v>
      </c>
      <c r="L512" s="29" t="s">
        <v>1078</v>
      </c>
      <c r="M512" s="29" t="s">
        <v>1079</v>
      </c>
      <c r="N512" s="29" t="s">
        <v>1080</v>
      </c>
      <c r="O512" s="36" t="s">
        <v>1081</v>
      </c>
      <c r="P512" s="37" t="s">
        <v>1082</v>
      </c>
      <c r="Q512" s="38" t="s">
        <v>1083</v>
      </c>
      <c r="R512" s="38" t="s">
        <v>1084</v>
      </c>
      <c r="S512" s="38" t="s">
        <v>1085</v>
      </c>
      <c r="T512" s="38" t="s">
        <v>1086</v>
      </c>
      <c r="U512" s="39" t="s">
        <v>1086</v>
      </c>
    </row>
    <row r="513" spans="1:21" ht="12.75" customHeight="1" x14ac:dyDescent="0.25">
      <c r="A513" s="46" t="s">
        <v>17</v>
      </c>
      <c r="B513" s="40" t="s">
        <v>423</v>
      </c>
      <c r="C513" s="41">
        <v>46113</v>
      </c>
      <c r="D513" s="42" t="s">
        <v>424</v>
      </c>
      <c r="E513" s="41" t="s">
        <v>425</v>
      </c>
      <c r="F513" s="41" t="s">
        <v>426</v>
      </c>
      <c r="G513" s="41">
        <v>46142</v>
      </c>
      <c r="H513" s="40" t="s">
        <v>5</v>
      </c>
      <c r="I513" s="43" t="s">
        <v>14</v>
      </c>
      <c r="J513" s="40">
        <v>1</v>
      </c>
      <c r="K513" s="40">
        <v>1</v>
      </c>
      <c r="L513" s="44">
        <v>0</v>
      </c>
      <c r="M513" s="40">
        <v>19</v>
      </c>
      <c r="N513" s="40">
        <v>19</v>
      </c>
      <c r="O513" s="48">
        <v>0</v>
      </c>
      <c r="P513" s="45" t="s">
        <v>375</v>
      </c>
      <c r="Q513" s="23" t="s">
        <v>218</v>
      </c>
      <c r="R513" s="23" t="s">
        <v>427</v>
      </c>
      <c r="S513" s="23" t="s">
        <v>9</v>
      </c>
      <c r="T513" s="23">
        <f>SUMIFS($J$1:INDEX(J:J,ROW()-1),$I$1:INDEX(I:I,ROW()-1),"&lt;&gt;Totals:")</f>
        <v>239</v>
      </c>
      <c r="U513" s="22">
        <f>SUMIFS($M$1:INDEX(M:M,ROW()),$I$1:INDEX(I:I,ROW()),"&lt;&gt;*Totals:*")</f>
        <v>6949</v>
      </c>
    </row>
    <row r="514" spans="1:21" ht="12.75" customHeight="1" x14ac:dyDescent="0.25">
      <c r="A514" s="47" t="s">
        <v>10</v>
      </c>
      <c r="B514" s="23" t="s">
        <v>411</v>
      </c>
      <c r="C514" s="28">
        <v>46120</v>
      </c>
      <c r="D514" s="30" t="s">
        <v>424</v>
      </c>
      <c r="E514" s="28" t="s">
        <v>412</v>
      </c>
      <c r="F514" s="28" t="s">
        <v>414</v>
      </c>
      <c r="G514" s="28">
        <v>46149</v>
      </c>
      <c r="H514" s="23" t="s">
        <v>5</v>
      </c>
      <c r="I514" s="33"/>
      <c r="J514" s="23">
        <v>0</v>
      </c>
      <c r="K514" s="23">
        <v>1</v>
      </c>
      <c r="L514" s="35">
        <v>1</v>
      </c>
      <c r="M514" s="23">
        <v>2</v>
      </c>
      <c r="N514" s="23">
        <v>0</v>
      </c>
      <c r="O514" s="49">
        <v>1</v>
      </c>
      <c r="P514" s="45" t="s">
        <v>375</v>
      </c>
      <c r="Q514" s="23" t="s">
        <v>218</v>
      </c>
      <c r="R514" s="23" t="s">
        <v>427</v>
      </c>
      <c r="S514" s="23" t="s">
        <v>9</v>
      </c>
      <c r="T514" s="23">
        <f>SUMIFS($J$1:INDEX(J:J,ROW()-1),$I$1:INDEX(I:I,ROW()-1),"&lt;&gt;Totals:")</f>
        <v>240</v>
      </c>
      <c r="U514" s="22">
        <f>SUMIFS($M$1:INDEX(M:M,ROW()),$I$1:INDEX(I:I,ROW()),"&lt;&gt;*Totals:*")</f>
        <v>6951</v>
      </c>
    </row>
    <row r="515" spans="1:21" ht="12.75" customHeight="1" x14ac:dyDescent="0.25">
      <c r="A515" s="47" t="s">
        <v>15</v>
      </c>
      <c r="B515" s="23" t="s">
        <v>411</v>
      </c>
      <c r="C515" s="28">
        <v>46120</v>
      </c>
      <c r="D515" s="30" t="s">
        <v>424</v>
      </c>
      <c r="E515" s="28" t="s">
        <v>412</v>
      </c>
      <c r="F515" s="28" t="s">
        <v>413</v>
      </c>
      <c r="G515" s="28">
        <v>46149</v>
      </c>
      <c r="H515" s="23" t="s">
        <v>5</v>
      </c>
      <c r="I515" s="33"/>
      <c r="J515" s="23">
        <v>0</v>
      </c>
      <c r="K515" s="23">
        <v>1</v>
      </c>
      <c r="L515" s="35">
        <v>1</v>
      </c>
      <c r="M515" s="23">
        <v>3</v>
      </c>
      <c r="N515" s="23">
        <v>0</v>
      </c>
      <c r="O515" s="49">
        <v>1</v>
      </c>
      <c r="P515" s="45" t="s">
        <v>375</v>
      </c>
      <c r="Q515" s="23" t="s">
        <v>218</v>
      </c>
      <c r="R515" s="23" t="s">
        <v>427</v>
      </c>
      <c r="S515" s="23" t="s">
        <v>9</v>
      </c>
      <c r="T515" s="23">
        <f>SUMIFS($J$1:INDEX(J:J,ROW()-1),$I$1:INDEX(I:I,ROW()-1),"&lt;&gt;Totals:")</f>
        <v>240</v>
      </c>
      <c r="U515" s="22">
        <f>SUMIFS($M$1:INDEX(M:M,ROW()),$I$1:INDEX(I:I,ROW()),"&lt;&gt;*Totals:*")</f>
        <v>6954</v>
      </c>
    </row>
    <row r="516" spans="1:21" ht="12.75" customHeight="1" x14ac:dyDescent="0.25">
      <c r="A516" s="47" t="s">
        <v>40</v>
      </c>
      <c r="B516" s="23" t="s">
        <v>428</v>
      </c>
      <c r="C516" s="28">
        <v>46123</v>
      </c>
      <c r="D516" s="30" t="s">
        <v>424</v>
      </c>
      <c r="E516" s="28" t="s">
        <v>429</v>
      </c>
      <c r="F516" s="28" t="s">
        <v>430</v>
      </c>
      <c r="G516" s="28">
        <v>46152</v>
      </c>
      <c r="H516" s="23" t="s">
        <v>5</v>
      </c>
      <c r="I516" s="33" t="s">
        <v>14</v>
      </c>
      <c r="J516" s="23">
        <v>1</v>
      </c>
      <c r="K516" s="23">
        <v>1</v>
      </c>
      <c r="L516" s="35">
        <v>0</v>
      </c>
      <c r="M516" s="23">
        <v>12</v>
      </c>
      <c r="N516" s="23">
        <v>12</v>
      </c>
      <c r="O516" s="49">
        <v>0</v>
      </c>
      <c r="P516" s="45" t="s">
        <v>375</v>
      </c>
      <c r="Q516" s="23" t="s">
        <v>218</v>
      </c>
      <c r="R516" s="23" t="s">
        <v>427</v>
      </c>
      <c r="S516" s="23" t="s">
        <v>9</v>
      </c>
      <c r="T516" s="23">
        <f>SUMIFS($J$1:INDEX(J:J,ROW()-1),$I$1:INDEX(I:I,ROW()-1),"&lt;&gt;Totals:")</f>
        <v>240</v>
      </c>
      <c r="U516" s="22">
        <f>SUMIFS($M$1:INDEX(M:M,ROW()),$I$1:INDEX(I:I,ROW()),"&lt;&gt;*Totals:*")</f>
        <v>6966</v>
      </c>
    </row>
    <row r="517" spans="1:21" ht="12.75" customHeight="1" x14ac:dyDescent="0.25">
      <c r="A517" s="47" t="s">
        <v>10</v>
      </c>
      <c r="B517" s="23" t="s">
        <v>431</v>
      </c>
      <c r="C517" s="28">
        <v>46123</v>
      </c>
      <c r="D517" s="30" t="s">
        <v>424</v>
      </c>
      <c r="E517" s="28" t="s">
        <v>432</v>
      </c>
      <c r="F517" s="28" t="s">
        <v>433</v>
      </c>
      <c r="G517" s="28">
        <v>46152</v>
      </c>
      <c r="H517" s="23" t="s">
        <v>5</v>
      </c>
      <c r="I517" s="33" t="s">
        <v>14</v>
      </c>
      <c r="J517" s="23">
        <v>1</v>
      </c>
      <c r="K517" s="23">
        <v>1</v>
      </c>
      <c r="L517" s="35">
        <v>0</v>
      </c>
      <c r="M517" s="23">
        <v>4</v>
      </c>
      <c r="N517" s="23">
        <v>4</v>
      </c>
      <c r="O517" s="49">
        <v>0</v>
      </c>
      <c r="P517" s="45" t="s">
        <v>375</v>
      </c>
      <c r="Q517" s="23" t="s">
        <v>218</v>
      </c>
      <c r="R517" s="23" t="s">
        <v>427</v>
      </c>
      <c r="S517" s="23" t="s">
        <v>9</v>
      </c>
      <c r="T517" s="23">
        <f>SUMIFS($J$1:INDEX(J:J,ROW()-1),$I$1:INDEX(I:I,ROW()-1),"&lt;&gt;Totals:")</f>
        <v>241</v>
      </c>
      <c r="U517" s="22">
        <f>SUMIFS($M$1:INDEX(M:M,ROW()),$I$1:INDEX(I:I,ROW()),"&lt;&gt;*Totals:*")</f>
        <v>6970</v>
      </c>
    </row>
    <row r="518" spans="1:21" ht="12.75" customHeight="1" x14ac:dyDescent="0.25">
      <c r="A518" s="47" t="s">
        <v>36</v>
      </c>
      <c r="B518" s="23" t="s">
        <v>434</v>
      </c>
      <c r="C518" s="28">
        <v>46123</v>
      </c>
      <c r="D518" s="30" t="s">
        <v>424</v>
      </c>
      <c r="E518" s="28" t="s">
        <v>435</v>
      </c>
      <c r="F518" s="28" t="s">
        <v>436</v>
      </c>
      <c r="G518" s="28">
        <v>46152</v>
      </c>
      <c r="H518" s="23" t="s">
        <v>5</v>
      </c>
      <c r="I518" s="33"/>
      <c r="J518" s="23">
        <v>0</v>
      </c>
      <c r="K518" s="23">
        <v>1</v>
      </c>
      <c r="L518" s="35">
        <v>1</v>
      </c>
      <c r="M518" s="23">
        <v>5</v>
      </c>
      <c r="N518" s="23">
        <v>0</v>
      </c>
      <c r="O518" s="49">
        <v>1</v>
      </c>
      <c r="P518" s="45" t="s">
        <v>375</v>
      </c>
      <c r="Q518" s="23" t="s">
        <v>218</v>
      </c>
      <c r="R518" s="23" t="s">
        <v>427</v>
      </c>
      <c r="S518" s="23" t="s">
        <v>9</v>
      </c>
      <c r="T518" s="23">
        <f>SUMIFS($J$1:INDEX(J:J,ROW()-1),$I$1:INDEX(I:I,ROW()-1),"&lt;&gt;Totals:")</f>
        <v>242</v>
      </c>
      <c r="U518" s="22">
        <f>SUMIFS($M$1:INDEX(M:M,ROW()),$I$1:INDEX(I:I,ROW()),"&lt;&gt;*Totals:*")</f>
        <v>6975</v>
      </c>
    </row>
    <row r="519" spans="1:21" ht="12.75" customHeight="1" x14ac:dyDescent="0.25">
      <c r="A519" s="47" t="s">
        <v>10</v>
      </c>
      <c r="B519" s="23" t="s">
        <v>437</v>
      </c>
      <c r="C519" s="28">
        <v>46123</v>
      </c>
      <c r="D519" s="30" t="s">
        <v>424</v>
      </c>
      <c r="E519" s="28" t="s">
        <v>438</v>
      </c>
      <c r="F519" s="28" t="s">
        <v>439</v>
      </c>
      <c r="G519" s="28">
        <v>46152</v>
      </c>
      <c r="H519" s="23" t="s">
        <v>5</v>
      </c>
      <c r="I519" s="33"/>
      <c r="J519" s="23">
        <v>0</v>
      </c>
      <c r="K519" s="23">
        <v>1</v>
      </c>
      <c r="L519" s="35">
        <v>1</v>
      </c>
      <c r="M519" s="23">
        <v>118</v>
      </c>
      <c r="N519" s="23">
        <v>0</v>
      </c>
      <c r="O519" s="49">
        <v>1</v>
      </c>
      <c r="P519" s="45" t="s">
        <v>375</v>
      </c>
      <c r="Q519" s="23" t="s">
        <v>218</v>
      </c>
      <c r="R519" s="23" t="s">
        <v>427</v>
      </c>
      <c r="S519" s="23" t="s">
        <v>9</v>
      </c>
      <c r="T519" s="23">
        <f>SUMIFS($J$1:INDEX(J:J,ROW()-1),$I$1:INDEX(I:I,ROW()-1),"&lt;&gt;Totals:")</f>
        <v>242</v>
      </c>
      <c r="U519" s="22">
        <f>SUMIFS($M$1:INDEX(M:M,ROW()),$I$1:INDEX(I:I,ROW()),"&lt;&gt;*Totals:*")</f>
        <v>7093</v>
      </c>
    </row>
    <row r="520" spans="1:21" ht="12.75" customHeight="1" x14ac:dyDescent="0.25">
      <c r="A520" s="47" t="s">
        <v>15</v>
      </c>
      <c r="B520" s="23" t="s">
        <v>437</v>
      </c>
      <c r="C520" s="28">
        <v>46123</v>
      </c>
      <c r="D520" s="30" t="s">
        <v>424</v>
      </c>
      <c r="E520" s="28" t="s">
        <v>425</v>
      </c>
      <c r="F520" s="28" t="s">
        <v>439</v>
      </c>
      <c r="G520" s="28">
        <v>46152</v>
      </c>
      <c r="H520" s="23" t="s">
        <v>5</v>
      </c>
      <c r="I520" s="33" t="s">
        <v>14</v>
      </c>
      <c r="J520" s="23">
        <v>1</v>
      </c>
      <c r="K520" s="23">
        <v>1</v>
      </c>
      <c r="L520" s="35">
        <v>0</v>
      </c>
      <c r="M520" s="23">
        <v>34</v>
      </c>
      <c r="N520" s="23">
        <v>34</v>
      </c>
      <c r="O520" s="49">
        <v>0</v>
      </c>
      <c r="P520" s="45" t="s">
        <v>375</v>
      </c>
      <c r="Q520" s="23" t="s">
        <v>218</v>
      </c>
      <c r="R520" s="23" t="s">
        <v>427</v>
      </c>
      <c r="S520" s="23" t="s">
        <v>9</v>
      </c>
      <c r="T520" s="23">
        <f>SUMIFS($J$1:INDEX(J:J,ROW()-1),$I$1:INDEX(I:I,ROW()-1),"&lt;&gt;Totals:")</f>
        <v>242</v>
      </c>
      <c r="U520" s="22">
        <f>SUMIFS($M$1:INDEX(M:M,ROW()),$I$1:INDEX(I:I,ROW()),"&lt;&gt;*Totals:*")</f>
        <v>7127</v>
      </c>
    </row>
    <row r="521" spans="1:21" ht="12.75" customHeight="1" x14ac:dyDescent="0.25">
      <c r="A521" s="47" t="s">
        <v>15</v>
      </c>
      <c r="B521" s="23" t="s">
        <v>431</v>
      </c>
      <c r="C521" s="28">
        <v>46123</v>
      </c>
      <c r="D521" s="30" t="s">
        <v>424</v>
      </c>
      <c r="E521" s="28" t="s">
        <v>440</v>
      </c>
      <c r="F521" s="28" t="s">
        <v>433</v>
      </c>
      <c r="G521" s="28">
        <v>46152</v>
      </c>
      <c r="H521" s="23" t="s">
        <v>5</v>
      </c>
      <c r="I521" s="33" t="s">
        <v>14</v>
      </c>
      <c r="J521" s="23">
        <v>1</v>
      </c>
      <c r="K521" s="23">
        <v>1</v>
      </c>
      <c r="L521" s="35">
        <v>0</v>
      </c>
      <c r="M521" s="23">
        <v>2</v>
      </c>
      <c r="N521" s="23">
        <v>2</v>
      </c>
      <c r="O521" s="49">
        <v>0</v>
      </c>
      <c r="P521" s="45" t="s">
        <v>375</v>
      </c>
      <c r="Q521" s="23" t="s">
        <v>218</v>
      </c>
      <c r="R521" s="23" t="s">
        <v>427</v>
      </c>
      <c r="S521" s="23" t="s">
        <v>9</v>
      </c>
      <c r="T521" s="23">
        <f>SUMIFS($J$1:INDEX(J:J,ROW()-1),$I$1:INDEX(I:I,ROW()-1),"&lt;&gt;Totals:")</f>
        <v>243</v>
      </c>
      <c r="U521" s="22">
        <f>SUMIFS($M$1:INDEX(M:M,ROW()),$I$1:INDEX(I:I,ROW()),"&lt;&gt;*Totals:*")</f>
        <v>7129</v>
      </c>
    </row>
    <row r="522" spans="1:21" ht="12.75" customHeight="1" x14ac:dyDescent="0.25">
      <c r="A522" s="47" t="s">
        <v>0</v>
      </c>
      <c r="B522" s="23" t="s">
        <v>441</v>
      </c>
      <c r="C522" s="28">
        <v>46125</v>
      </c>
      <c r="D522" s="30" t="s">
        <v>424</v>
      </c>
      <c r="E522" s="28" t="s">
        <v>435</v>
      </c>
      <c r="F522" s="28" t="s">
        <v>426</v>
      </c>
      <c r="G522" s="28">
        <v>46154</v>
      </c>
      <c r="H522" s="23" t="s">
        <v>5</v>
      </c>
      <c r="I522" s="33"/>
      <c r="J522" s="23">
        <v>0</v>
      </c>
      <c r="K522" s="23">
        <v>1</v>
      </c>
      <c r="L522" s="35">
        <v>1</v>
      </c>
      <c r="M522" s="23">
        <v>132</v>
      </c>
      <c r="N522" s="23">
        <v>0</v>
      </c>
      <c r="O522" s="49">
        <v>1</v>
      </c>
      <c r="P522" s="45" t="s">
        <v>375</v>
      </c>
      <c r="Q522" s="23" t="s">
        <v>218</v>
      </c>
      <c r="R522" s="23" t="s">
        <v>427</v>
      </c>
      <c r="S522" s="23" t="s">
        <v>9</v>
      </c>
      <c r="T522" s="23">
        <f>SUMIFS($J$1:INDEX(J:J,ROW()-1),$I$1:INDEX(I:I,ROW()-1),"&lt;&gt;Totals:")</f>
        <v>244</v>
      </c>
      <c r="U522" s="22">
        <f>SUMIFS($M$1:INDEX(M:M,ROW()),$I$1:INDEX(I:I,ROW()),"&lt;&gt;*Totals:*")</f>
        <v>7261</v>
      </c>
    </row>
    <row r="523" spans="1:21" ht="12.75" customHeight="1" x14ac:dyDescent="0.25">
      <c r="A523" s="47" t="s">
        <v>17</v>
      </c>
      <c r="B523" s="23" t="s">
        <v>423</v>
      </c>
      <c r="C523" s="28">
        <v>46129</v>
      </c>
      <c r="D523" s="30" t="s">
        <v>424</v>
      </c>
      <c r="E523" s="28" t="s">
        <v>425</v>
      </c>
      <c r="F523" s="28" t="s">
        <v>426</v>
      </c>
      <c r="G523" s="28">
        <v>46158</v>
      </c>
      <c r="H523" s="23" t="s">
        <v>5</v>
      </c>
      <c r="I523" s="33"/>
      <c r="J523" s="23">
        <v>0</v>
      </c>
      <c r="K523" s="23">
        <v>1</v>
      </c>
      <c r="L523" s="35">
        <v>1</v>
      </c>
      <c r="M523" s="23">
        <v>1</v>
      </c>
      <c r="N523" s="23">
        <v>0</v>
      </c>
      <c r="O523" s="49">
        <v>1</v>
      </c>
      <c r="P523" s="45" t="s">
        <v>375</v>
      </c>
      <c r="Q523" s="23" t="s">
        <v>218</v>
      </c>
      <c r="R523" s="23" t="s">
        <v>427</v>
      </c>
      <c r="S523" s="23" t="s">
        <v>9</v>
      </c>
      <c r="T523" s="23">
        <f>SUMIFS($J$1:INDEX(J:J,ROW()-1),$I$1:INDEX(I:I,ROW()-1),"&lt;&gt;Totals:")</f>
        <v>244</v>
      </c>
      <c r="U523" s="22">
        <f>SUMIFS($M$1:INDEX(M:M,ROW()),$I$1:INDEX(I:I,ROW()),"&lt;&gt;*Totals:*")</f>
        <v>7262</v>
      </c>
    </row>
    <row r="524" spans="1:21" ht="12.75" customHeight="1" x14ac:dyDescent="0.25">
      <c r="A524" s="47" t="s">
        <v>0</v>
      </c>
      <c r="B524" s="23" t="s">
        <v>441</v>
      </c>
      <c r="C524" s="28">
        <v>46129</v>
      </c>
      <c r="D524" s="30" t="s">
        <v>424</v>
      </c>
      <c r="E524" s="28" t="s">
        <v>435</v>
      </c>
      <c r="F524" s="28" t="s">
        <v>426</v>
      </c>
      <c r="G524" s="28">
        <v>46158</v>
      </c>
      <c r="H524" s="23" t="s">
        <v>5</v>
      </c>
      <c r="I524" s="33"/>
      <c r="J524" s="23">
        <v>0</v>
      </c>
      <c r="K524" s="23">
        <v>1</v>
      </c>
      <c r="L524" s="35">
        <v>1</v>
      </c>
      <c r="M524" s="23">
        <v>8</v>
      </c>
      <c r="N524" s="23">
        <v>0</v>
      </c>
      <c r="O524" s="49">
        <v>1</v>
      </c>
      <c r="P524" s="45" t="s">
        <v>375</v>
      </c>
      <c r="Q524" s="23" t="s">
        <v>218</v>
      </c>
      <c r="R524" s="23" t="s">
        <v>427</v>
      </c>
      <c r="S524" s="23" t="s">
        <v>9</v>
      </c>
      <c r="T524" s="23">
        <f>SUMIFS($J$1:INDEX(J:J,ROW()-1),$I$1:INDEX(I:I,ROW()-1),"&lt;&gt;Totals:")</f>
        <v>244</v>
      </c>
      <c r="U524" s="22">
        <f>SUMIFS($M$1:INDEX(M:M,ROW()),$I$1:INDEX(I:I,ROW()),"&lt;&gt;*Totals:*")</f>
        <v>7270</v>
      </c>
    </row>
    <row r="525" spans="1:21" ht="12.75" customHeight="1" x14ac:dyDescent="0.25">
      <c r="A525" s="47" t="s">
        <v>10</v>
      </c>
      <c r="B525" s="23" t="s">
        <v>437</v>
      </c>
      <c r="C525" s="28">
        <v>46142</v>
      </c>
      <c r="D525" s="30" t="s">
        <v>424</v>
      </c>
      <c r="E525" s="28" t="s">
        <v>425</v>
      </c>
      <c r="F525" s="28" t="s">
        <v>439</v>
      </c>
      <c r="G525" s="28">
        <v>46171</v>
      </c>
      <c r="H525" s="23" t="s">
        <v>5</v>
      </c>
      <c r="I525" s="33"/>
      <c r="J525" s="23">
        <v>0</v>
      </c>
      <c r="K525" s="23">
        <v>1</v>
      </c>
      <c r="L525" s="35">
        <v>1</v>
      </c>
      <c r="M525" s="23">
        <v>4</v>
      </c>
      <c r="N525" s="23">
        <v>0</v>
      </c>
      <c r="O525" s="49">
        <v>1</v>
      </c>
      <c r="P525" s="45" t="s">
        <v>375</v>
      </c>
      <c r="Q525" s="23" t="s">
        <v>218</v>
      </c>
      <c r="R525" s="23" t="s">
        <v>427</v>
      </c>
      <c r="S525" s="23" t="s">
        <v>9</v>
      </c>
      <c r="T525" s="23">
        <f>SUMIFS($J$1:INDEX(J:J,ROW()-1),$I$1:INDEX(I:I,ROW()-1),"&lt;&gt;Totals:")</f>
        <v>244</v>
      </c>
      <c r="U525" s="22">
        <f>SUMIFS($M$1:INDEX(M:M,ROW()),$I$1:INDEX(I:I,ROW()),"&lt;&gt;*Totals:*")</f>
        <v>7274</v>
      </c>
    </row>
    <row r="526" spans="1:21" ht="12.75" customHeight="1" thickBot="1" x14ac:dyDescent="0.3">
      <c r="A526" s="51" t="s">
        <v>15</v>
      </c>
      <c r="B526" s="20" t="s">
        <v>437</v>
      </c>
      <c r="C526" s="25">
        <v>46142</v>
      </c>
      <c r="D526" s="27" t="s">
        <v>424</v>
      </c>
      <c r="E526" s="25" t="s">
        <v>425</v>
      </c>
      <c r="F526" s="25" t="s">
        <v>439</v>
      </c>
      <c r="G526" s="25">
        <v>46171</v>
      </c>
      <c r="H526" s="20" t="s">
        <v>5</v>
      </c>
      <c r="I526" s="32"/>
      <c r="J526" s="20">
        <v>0</v>
      </c>
      <c r="K526" s="20">
        <v>1</v>
      </c>
      <c r="L526" s="34">
        <v>1</v>
      </c>
      <c r="M526" s="20">
        <v>1</v>
      </c>
      <c r="N526" s="20">
        <v>0</v>
      </c>
      <c r="O526" s="54">
        <v>1</v>
      </c>
      <c r="P526" s="45" t="s">
        <v>375</v>
      </c>
      <c r="Q526" s="23" t="s">
        <v>218</v>
      </c>
      <c r="R526" s="23" t="s">
        <v>427</v>
      </c>
      <c r="S526" s="23" t="s">
        <v>9</v>
      </c>
      <c r="T526" s="23">
        <f>SUMIFS($J$1:INDEX(J:J,ROW()-1),$I$1:INDEX(I:I,ROW()-1),"&lt;&gt;Totals:")</f>
        <v>244</v>
      </c>
      <c r="U526" s="22">
        <f>SUMIFS($M$1:INDEX(M:M,ROW()),$I$1:INDEX(I:I,ROW()),"&lt;&gt;*Totals:*")</f>
        <v>7275</v>
      </c>
    </row>
    <row r="527" spans="1:21" ht="17.25" customHeight="1" x14ac:dyDescent="0.25">
      <c r="A527" s="60"/>
      <c r="B527" s="50"/>
      <c r="C527" s="55"/>
      <c r="D527" s="56"/>
      <c r="E527" s="56"/>
      <c r="F527" s="57"/>
      <c r="G527" s="57"/>
      <c r="H527" s="57"/>
      <c r="I527" s="58" t="s">
        <v>1087</v>
      </c>
      <c r="J527" s="57">
        <f>SUM(J513:J526)</f>
        <v>5</v>
      </c>
      <c r="K527" s="57">
        <f>SUM(K513:K526)</f>
        <v>14</v>
      </c>
      <c r="L527" s="59">
        <f>(SUM(K513:K526) - SUM(J513:J526)) / SUM(K513:K526)</f>
        <v>0.6428571428571429</v>
      </c>
      <c r="M527" s="57">
        <f>SUM(M513:M526)</f>
        <v>345</v>
      </c>
      <c r="N527" s="56">
        <f>SUM(N513:N526)</f>
        <v>71</v>
      </c>
      <c r="O527" s="61">
        <f>(SUM(M513:M526) - SUM(N513:N526)) / SUM(M513:M526)</f>
        <v>0.79420289855072468</v>
      </c>
      <c r="P527" s="52"/>
      <c r="Q527" s="53"/>
      <c r="R527" s="52"/>
      <c r="S527" s="52"/>
      <c r="T527" s="52"/>
      <c r="U527" s="52"/>
    </row>
    <row r="528" spans="1:21" x14ac:dyDescent="0.25">
      <c r="A528" s="70"/>
      <c r="B528" s="64"/>
      <c r="C528" s="64"/>
      <c r="D528" s="64"/>
      <c r="E528" s="64"/>
      <c r="F528" s="64"/>
      <c r="G528" s="64"/>
      <c r="H528" s="64"/>
      <c r="I528" s="65" t="s">
        <v>1088</v>
      </c>
      <c r="J528" s="64"/>
      <c r="K528" s="64"/>
      <c r="L528" s="65" t="s">
        <v>1089</v>
      </c>
      <c r="M528" s="64"/>
      <c r="N528" s="64"/>
      <c r="O528" s="72"/>
      <c r="P528" s="62"/>
      <c r="Q528" s="62"/>
      <c r="R528" s="62"/>
      <c r="S528" s="62"/>
      <c r="T528" s="62"/>
      <c r="U528" s="62"/>
    </row>
    <row r="529" spans="1:21" ht="15.75" thickBot="1" x14ac:dyDescent="0.3">
      <c r="A529" s="71"/>
      <c r="B529" s="66"/>
      <c r="C529" s="67"/>
      <c r="D529" s="66"/>
      <c r="E529" s="66"/>
      <c r="F529" s="66"/>
      <c r="G529" s="67"/>
      <c r="H529" s="66"/>
      <c r="I529" s="68">
        <v>244</v>
      </c>
      <c r="J529" s="66"/>
      <c r="K529" s="66"/>
      <c r="L529" s="69">
        <v>7275</v>
      </c>
      <c r="M529" s="66"/>
      <c r="N529" s="66"/>
      <c r="O529" s="73"/>
      <c r="P529" s="63"/>
      <c r="Q529" s="63"/>
      <c r="R529" s="63"/>
      <c r="S529" s="63"/>
      <c r="T529" s="63"/>
      <c r="U529" s="63"/>
    </row>
    <row r="530" spans="1:21" ht="15.75" thickBot="1" x14ac:dyDescent="0.3">
      <c r="C530" s="1"/>
      <c r="G530" s="1"/>
    </row>
    <row r="531" spans="1:21" x14ac:dyDescent="0.25">
      <c r="A531" s="9"/>
      <c r="B531" s="10"/>
      <c r="C531" s="11"/>
      <c r="D531" s="11"/>
      <c r="E531" s="11"/>
      <c r="F531" s="11"/>
      <c r="G531" s="11"/>
      <c r="H531" s="12"/>
      <c r="I531" s="11"/>
      <c r="J531" s="13"/>
      <c r="K531" s="13"/>
      <c r="L531" s="13"/>
      <c r="M531" s="13"/>
      <c r="N531" s="11"/>
      <c r="O531" s="14"/>
      <c r="P531" s="4"/>
      <c r="Q531" s="5"/>
      <c r="R531" s="4"/>
      <c r="S531" s="4"/>
      <c r="T531" s="4"/>
      <c r="U531" s="4"/>
    </row>
    <row r="532" spans="1:21" x14ac:dyDescent="0.25">
      <c r="A532" s="6" t="s">
        <v>1091</v>
      </c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15"/>
      <c r="P532" s="3"/>
      <c r="Q532" s="3"/>
      <c r="R532" s="3"/>
      <c r="S532" s="3"/>
      <c r="T532" s="3"/>
      <c r="U532" s="3"/>
    </row>
    <row r="533" spans="1:21" x14ac:dyDescent="0.25">
      <c r="A533" s="7" t="s">
        <v>239</v>
      </c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15"/>
      <c r="P533" s="3"/>
      <c r="Q533" s="3"/>
      <c r="R533" s="3"/>
      <c r="S533" s="3"/>
      <c r="T533" s="3"/>
      <c r="U533" s="3"/>
    </row>
    <row r="534" spans="1:21" ht="15.75" thickBot="1" x14ac:dyDescent="0.3">
      <c r="A534" s="8"/>
      <c r="B534" s="8"/>
      <c r="C534" s="74"/>
      <c r="D534" s="8"/>
      <c r="E534" s="8"/>
      <c r="F534" s="8"/>
      <c r="G534" s="74"/>
      <c r="H534" s="8"/>
      <c r="I534" s="8"/>
      <c r="J534" s="8"/>
      <c r="K534" s="8"/>
      <c r="L534" s="8"/>
      <c r="M534" s="8"/>
      <c r="N534" s="8"/>
      <c r="O534" s="16"/>
      <c r="P534" s="3"/>
      <c r="Q534" s="3"/>
      <c r="R534" s="3"/>
      <c r="S534" s="3"/>
      <c r="T534" s="3"/>
      <c r="U534" s="3"/>
    </row>
    <row r="535" spans="1:21" ht="17.25" customHeight="1" thickBot="1" x14ac:dyDescent="0.3">
      <c r="A535" s="19" t="s">
        <v>1068</v>
      </c>
      <c r="B535" s="24" t="s">
        <v>1069</v>
      </c>
      <c r="C535" s="26" t="s">
        <v>1070</v>
      </c>
      <c r="D535" s="29" t="s">
        <v>1071</v>
      </c>
      <c r="E535" s="26" t="s">
        <v>1072</v>
      </c>
      <c r="F535" s="31" t="s">
        <v>1073</v>
      </c>
      <c r="G535" s="31" t="s">
        <v>1074</v>
      </c>
      <c r="H535" s="31" t="s">
        <v>1075</v>
      </c>
      <c r="I535" s="29" t="s">
        <v>14</v>
      </c>
      <c r="J535" s="29" t="s">
        <v>1076</v>
      </c>
      <c r="K535" s="29" t="s">
        <v>1077</v>
      </c>
      <c r="L535" s="29" t="s">
        <v>1078</v>
      </c>
      <c r="M535" s="29" t="s">
        <v>1079</v>
      </c>
      <c r="N535" s="29" t="s">
        <v>1080</v>
      </c>
      <c r="O535" s="36" t="s">
        <v>1081</v>
      </c>
      <c r="P535" s="37" t="s">
        <v>1082</v>
      </c>
      <c r="Q535" s="38" t="s">
        <v>1083</v>
      </c>
      <c r="R535" s="38" t="s">
        <v>1084</v>
      </c>
      <c r="S535" s="38" t="s">
        <v>1085</v>
      </c>
      <c r="T535" s="38" t="s">
        <v>1086</v>
      </c>
      <c r="U535" s="39" t="s">
        <v>1086</v>
      </c>
    </row>
    <row r="536" spans="1:21" ht="12.75" customHeight="1" x14ac:dyDescent="0.25">
      <c r="A536" s="46" t="s">
        <v>17</v>
      </c>
      <c r="B536" s="40" t="s">
        <v>442</v>
      </c>
      <c r="C536" s="41">
        <v>46146</v>
      </c>
      <c r="D536" s="42" t="s">
        <v>443</v>
      </c>
      <c r="E536" s="41" t="s">
        <v>440</v>
      </c>
      <c r="F536" s="41" t="s">
        <v>444</v>
      </c>
      <c r="G536" s="41">
        <v>46175</v>
      </c>
      <c r="H536" s="40" t="s">
        <v>5</v>
      </c>
      <c r="I536" s="43" t="s">
        <v>14</v>
      </c>
      <c r="J536" s="40">
        <v>1</v>
      </c>
      <c r="K536" s="40">
        <v>1</v>
      </c>
      <c r="L536" s="44">
        <v>0</v>
      </c>
      <c r="M536" s="40">
        <v>30</v>
      </c>
      <c r="N536" s="40">
        <v>30</v>
      </c>
      <c r="O536" s="48">
        <v>0</v>
      </c>
      <c r="P536" s="45" t="s">
        <v>375</v>
      </c>
      <c r="Q536" s="23" t="s">
        <v>239</v>
      </c>
      <c r="R536" s="23" t="s">
        <v>445</v>
      </c>
      <c r="S536" s="23" t="s">
        <v>9</v>
      </c>
      <c r="T536" s="23">
        <f>SUMIFS($J$1:INDEX(J:J,ROW()-1),$I$1:INDEX(I:I,ROW()-1),"&lt;&gt;Totals:")</f>
        <v>244</v>
      </c>
      <c r="U536" s="22">
        <f>SUMIFS($M$1:INDEX(M:M,ROW()),$I$1:INDEX(I:I,ROW()),"&lt;&gt;*Totals:*")</f>
        <v>7305</v>
      </c>
    </row>
    <row r="537" spans="1:21" ht="12.75" customHeight="1" x14ac:dyDescent="0.25">
      <c r="A537" s="47" t="s">
        <v>40</v>
      </c>
      <c r="B537" s="23" t="s">
        <v>428</v>
      </c>
      <c r="C537" s="28">
        <v>46146</v>
      </c>
      <c r="D537" s="30" t="s">
        <v>443</v>
      </c>
      <c r="E537" s="28" t="s">
        <v>429</v>
      </c>
      <c r="F537" s="28" t="s">
        <v>430</v>
      </c>
      <c r="G537" s="28">
        <v>46175</v>
      </c>
      <c r="H537" s="23" t="s">
        <v>5</v>
      </c>
      <c r="I537" s="33"/>
      <c r="J537" s="23">
        <v>0</v>
      </c>
      <c r="K537" s="23">
        <v>1</v>
      </c>
      <c r="L537" s="35">
        <v>1</v>
      </c>
      <c r="M537" s="23">
        <v>4</v>
      </c>
      <c r="N537" s="23">
        <v>0</v>
      </c>
      <c r="O537" s="49">
        <v>1</v>
      </c>
      <c r="P537" s="45" t="s">
        <v>375</v>
      </c>
      <c r="Q537" s="23" t="s">
        <v>239</v>
      </c>
      <c r="R537" s="23" t="s">
        <v>445</v>
      </c>
      <c r="S537" s="23" t="s">
        <v>9</v>
      </c>
      <c r="T537" s="23">
        <f>SUMIFS($J$1:INDEX(J:J,ROW()-1),$I$1:INDEX(I:I,ROW()-1),"&lt;&gt;Totals:")</f>
        <v>245</v>
      </c>
      <c r="U537" s="22">
        <f>SUMIFS($M$1:INDEX(M:M,ROW()),$I$1:INDEX(I:I,ROW()),"&lt;&gt;*Totals:*")</f>
        <v>7309</v>
      </c>
    </row>
    <row r="538" spans="1:21" ht="12.75" customHeight="1" x14ac:dyDescent="0.25">
      <c r="A538" s="47" t="s">
        <v>17</v>
      </c>
      <c r="B538" s="23" t="s">
        <v>446</v>
      </c>
      <c r="C538" s="28">
        <v>46150</v>
      </c>
      <c r="D538" s="30" t="s">
        <v>443</v>
      </c>
      <c r="E538" s="28" t="s">
        <v>440</v>
      </c>
      <c r="F538" s="28" t="s">
        <v>435</v>
      </c>
      <c r="G538" s="28">
        <v>46179</v>
      </c>
      <c r="H538" s="23" t="s">
        <v>5</v>
      </c>
      <c r="I538" s="33" t="s">
        <v>14</v>
      </c>
      <c r="J538" s="23">
        <v>1</v>
      </c>
      <c r="K538" s="23">
        <v>1</v>
      </c>
      <c r="L538" s="35">
        <v>0</v>
      </c>
      <c r="M538" s="23">
        <v>1</v>
      </c>
      <c r="N538" s="23">
        <v>1</v>
      </c>
      <c r="O538" s="49">
        <v>0</v>
      </c>
      <c r="P538" s="45" t="s">
        <v>375</v>
      </c>
      <c r="Q538" s="23" t="s">
        <v>239</v>
      </c>
      <c r="R538" s="23" t="s">
        <v>445</v>
      </c>
      <c r="S538" s="23" t="s">
        <v>9</v>
      </c>
      <c r="T538" s="23">
        <f>SUMIFS($J$1:INDEX(J:J,ROW()-1),$I$1:INDEX(I:I,ROW()-1),"&lt;&gt;Totals:")</f>
        <v>245</v>
      </c>
      <c r="U538" s="22">
        <f>SUMIFS($M$1:INDEX(M:M,ROW()),$I$1:INDEX(I:I,ROW()),"&lt;&gt;*Totals:*")</f>
        <v>7310</v>
      </c>
    </row>
    <row r="539" spans="1:21" ht="12.75" customHeight="1" x14ac:dyDescent="0.25">
      <c r="A539" s="47" t="s">
        <v>40</v>
      </c>
      <c r="B539" s="23" t="s">
        <v>447</v>
      </c>
      <c r="C539" s="28">
        <v>46155</v>
      </c>
      <c r="D539" s="30" t="s">
        <v>443</v>
      </c>
      <c r="E539" s="28" t="s">
        <v>440</v>
      </c>
      <c r="F539" s="28" t="s">
        <v>448</v>
      </c>
      <c r="G539" s="28">
        <v>46184</v>
      </c>
      <c r="H539" s="23" t="s">
        <v>5</v>
      </c>
      <c r="I539" s="33" t="s">
        <v>14</v>
      </c>
      <c r="J539" s="23">
        <v>1</v>
      </c>
      <c r="K539" s="23">
        <v>1</v>
      </c>
      <c r="L539" s="35">
        <v>0</v>
      </c>
      <c r="M539" s="23">
        <v>11</v>
      </c>
      <c r="N539" s="23">
        <v>11</v>
      </c>
      <c r="O539" s="49">
        <v>0</v>
      </c>
      <c r="P539" s="45" t="s">
        <v>375</v>
      </c>
      <c r="Q539" s="23" t="s">
        <v>239</v>
      </c>
      <c r="R539" s="23" t="s">
        <v>445</v>
      </c>
      <c r="S539" s="23" t="s">
        <v>9</v>
      </c>
      <c r="T539" s="23">
        <f>SUMIFS($J$1:INDEX(J:J,ROW()-1),$I$1:INDEX(I:I,ROW()-1),"&lt;&gt;Totals:")</f>
        <v>246</v>
      </c>
      <c r="U539" s="22">
        <f>SUMIFS($M$1:INDEX(M:M,ROW()),$I$1:INDEX(I:I,ROW()),"&lt;&gt;*Totals:*")</f>
        <v>7321</v>
      </c>
    </row>
    <row r="540" spans="1:21" ht="12.75" customHeight="1" x14ac:dyDescent="0.25">
      <c r="A540" s="47" t="s">
        <v>15</v>
      </c>
      <c r="B540" s="23" t="s">
        <v>431</v>
      </c>
      <c r="C540" s="28">
        <v>46155</v>
      </c>
      <c r="D540" s="30" t="s">
        <v>443</v>
      </c>
      <c r="E540" s="28" t="s">
        <v>440</v>
      </c>
      <c r="F540" s="28" t="s">
        <v>433</v>
      </c>
      <c r="G540" s="28">
        <v>46184</v>
      </c>
      <c r="H540" s="23" t="s">
        <v>5</v>
      </c>
      <c r="I540" s="33" t="s">
        <v>14</v>
      </c>
      <c r="J540" s="23">
        <v>1</v>
      </c>
      <c r="K540" s="23">
        <v>1</v>
      </c>
      <c r="L540" s="35">
        <v>0</v>
      </c>
      <c r="M540" s="23">
        <v>33</v>
      </c>
      <c r="N540" s="23">
        <v>33</v>
      </c>
      <c r="O540" s="49">
        <v>0</v>
      </c>
      <c r="P540" s="45" t="s">
        <v>375</v>
      </c>
      <c r="Q540" s="23" t="s">
        <v>239</v>
      </c>
      <c r="R540" s="23" t="s">
        <v>445</v>
      </c>
      <c r="S540" s="23" t="s">
        <v>9</v>
      </c>
      <c r="T540" s="23">
        <f>SUMIFS($J$1:INDEX(J:J,ROW()-1),$I$1:INDEX(I:I,ROW()-1),"&lt;&gt;Totals:")</f>
        <v>247</v>
      </c>
      <c r="U540" s="22">
        <f>SUMIFS($M$1:INDEX(M:M,ROW()),$I$1:INDEX(I:I,ROW()),"&lt;&gt;*Totals:*")</f>
        <v>7354</v>
      </c>
    </row>
    <row r="541" spans="1:21" ht="12.75" customHeight="1" x14ac:dyDescent="0.25">
      <c r="A541" s="47" t="s">
        <v>10</v>
      </c>
      <c r="B541" s="23" t="s">
        <v>431</v>
      </c>
      <c r="C541" s="28">
        <v>46155</v>
      </c>
      <c r="D541" s="30" t="s">
        <v>443</v>
      </c>
      <c r="E541" s="28" t="s">
        <v>449</v>
      </c>
      <c r="F541" s="28" t="s">
        <v>433</v>
      </c>
      <c r="G541" s="28">
        <v>46184</v>
      </c>
      <c r="H541" s="23" t="s">
        <v>5</v>
      </c>
      <c r="I541" s="33"/>
      <c r="J541" s="23">
        <v>0</v>
      </c>
      <c r="K541" s="23">
        <v>1</v>
      </c>
      <c r="L541" s="35">
        <v>1</v>
      </c>
      <c r="M541" s="23">
        <v>104</v>
      </c>
      <c r="N541" s="23">
        <v>0</v>
      </c>
      <c r="O541" s="49">
        <v>1</v>
      </c>
      <c r="P541" s="45" t="s">
        <v>375</v>
      </c>
      <c r="Q541" s="23" t="s">
        <v>239</v>
      </c>
      <c r="R541" s="23" t="s">
        <v>445</v>
      </c>
      <c r="S541" s="23" t="s">
        <v>9</v>
      </c>
      <c r="T541" s="23">
        <f>SUMIFS($J$1:INDEX(J:J,ROW()-1),$I$1:INDEX(I:I,ROW()-1),"&lt;&gt;Totals:")</f>
        <v>248</v>
      </c>
      <c r="U541" s="22">
        <f>SUMIFS($M$1:INDEX(M:M,ROW()),$I$1:INDEX(I:I,ROW()),"&lt;&gt;*Totals:*")</f>
        <v>7458</v>
      </c>
    </row>
    <row r="542" spans="1:21" ht="12.75" customHeight="1" x14ac:dyDescent="0.25">
      <c r="A542" s="47" t="s">
        <v>0</v>
      </c>
      <c r="B542" s="23" t="s">
        <v>450</v>
      </c>
      <c r="C542" s="28">
        <v>46157</v>
      </c>
      <c r="D542" s="30" t="s">
        <v>443</v>
      </c>
      <c r="E542" s="28" t="s">
        <v>451</v>
      </c>
      <c r="F542" s="28" t="s">
        <v>452</v>
      </c>
      <c r="G542" s="28">
        <v>46186</v>
      </c>
      <c r="H542" s="23" t="s">
        <v>5</v>
      </c>
      <c r="I542" s="33"/>
      <c r="J542" s="23">
        <v>0</v>
      </c>
      <c r="K542" s="23">
        <v>1</v>
      </c>
      <c r="L542" s="35">
        <v>1</v>
      </c>
      <c r="M542" s="23">
        <v>106</v>
      </c>
      <c r="N542" s="23">
        <v>0</v>
      </c>
      <c r="O542" s="49">
        <v>1</v>
      </c>
      <c r="P542" s="45" t="s">
        <v>375</v>
      </c>
      <c r="Q542" s="23" t="s">
        <v>239</v>
      </c>
      <c r="R542" s="23" t="s">
        <v>445</v>
      </c>
      <c r="S542" s="23" t="s">
        <v>9</v>
      </c>
      <c r="T542" s="23">
        <f>SUMIFS($J$1:INDEX(J:J,ROW()-1),$I$1:INDEX(I:I,ROW()-1),"&lt;&gt;Totals:")</f>
        <v>248</v>
      </c>
      <c r="U542" s="22">
        <f>SUMIFS($M$1:INDEX(M:M,ROW()),$I$1:INDEX(I:I,ROW()),"&lt;&gt;*Totals:*")</f>
        <v>7564</v>
      </c>
    </row>
    <row r="543" spans="1:21" ht="12.75" customHeight="1" x14ac:dyDescent="0.25">
      <c r="A543" s="47" t="s">
        <v>36</v>
      </c>
      <c r="B543" s="23" t="s">
        <v>453</v>
      </c>
      <c r="C543" s="28">
        <v>46158</v>
      </c>
      <c r="D543" s="30" t="s">
        <v>443</v>
      </c>
      <c r="E543" s="28" t="s">
        <v>440</v>
      </c>
      <c r="F543" s="28" t="s">
        <v>454</v>
      </c>
      <c r="G543" s="28">
        <v>46187</v>
      </c>
      <c r="H543" s="23" t="s">
        <v>5</v>
      </c>
      <c r="I543" s="33" t="s">
        <v>14</v>
      </c>
      <c r="J543" s="23">
        <v>1</v>
      </c>
      <c r="K543" s="23">
        <v>1</v>
      </c>
      <c r="L543" s="35">
        <v>0</v>
      </c>
      <c r="M543" s="23">
        <v>5</v>
      </c>
      <c r="N543" s="23">
        <v>5</v>
      </c>
      <c r="O543" s="49">
        <v>0</v>
      </c>
      <c r="P543" s="45" t="s">
        <v>375</v>
      </c>
      <c r="Q543" s="23" t="s">
        <v>239</v>
      </c>
      <c r="R543" s="23" t="s">
        <v>445</v>
      </c>
      <c r="S543" s="23" t="s">
        <v>9</v>
      </c>
      <c r="T543" s="23">
        <f>SUMIFS($J$1:INDEX(J:J,ROW()-1),$I$1:INDEX(I:I,ROW()-1),"&lt;&gt;Totals:")</f>
        <v>248</v>
      </c>
      <c r="U543" s="22">
        <f>SUMIFS($M$1:INDEX(M:M,ROW()),$I$1:INDEX(I:I,ROW()),"&lt;&gt;*Totals:*")</f>
        <v>7569</v>
      </c>
    </row>
    <row r="544" spans="1:21" ht="12.75" customHeight="1" x14ac:dyDescent="0.25">
      <c r="A544" s="47" t="s">
        <v>10</v>
      </c>
      <c r="B544" s="23" t="s">
        <v>431</v>
      </c>
      <c r="C544" s="28">
        <v>46159</v>
      </c>
      <c r="D544" s="30" t="s">
        <v>443</v>
      </c>
      <c r="E544" s="28" t="s">
        <v>432</v>
      </c>
      <c r="F544" s="28" t="s">
        <v>433</v>
      </c>
      <c r="G544" s="28">
        <v>46188</v>
      </c>
      <c r="H544" s="23" t="s">
        <v>5</v>
      </c>
      <c r="I544" s="33" t="s">
        <v>14</v>
      </c>
      <c r="J544" s="23">
        <v>1</v>
      </c>
      <c r="K544" s="23">
        <v>1</v>
      </c>
      <c r="L544" s="35">
        <v>0</v>
      </c>
      <c r="M544" s="23">
        <v>11</v>
      </c>
      <c r="N544" s="23">
        <v>11</v>
      </c>
      <c r="O544" s="49">
        <v>0</v>
      </c>
      <c r="P544" s="45" t="s">
        <v>375</v>
      </c>
      <c r="Q544" s="23" t="s">
        <v>239</v>
      </c>
      <c r="R544" s="23" t="s">
        <v>445</v>
      </c>
      <c r="S544" s="23" t="s">
        <v>9</v>
      </c>
      <c r="T544" s="23">
        <f>SUMIFS($J$1:INDEX(J:J,ROW()-1),$I$1:INDEX(I:I,ROW()-1),"&lt;&gt;Totals:")</f>
        <v>249</v>
      </c>
      <c r="U544" s="22">
        <f>SUMIFS($M$1:INDEX(M:M,ROW()),$I$1:INDEX(I:I,ROW()),"&lt;&gt;*Totals:*")</f>
        <v>7580</v>
      </c>
    </row>
    <row r="545" spans="1:21" ht="12.75" customHeight="1" x14ac:dyDescent="0.25">
      <c r="A545" s="47" t="s">
        <v>0</v>
      </c>
      <c r="B545" s="23" t="s">
        <v>450</v>
      </c>
      <c r="C545" s="28">
        <v>46159</v>
      </c>
      <c r="D545" s="30" t="s">
        <v>443</v>
      </c>
      <c r="E545" s="28" t="s">
        <v>455</v>
      </c>
      <c r="F545" s="28" t="s">
        <v>452</v>
      </c>
      <c r="G545" s="28">
        <v>46188</v>
      </c>
      <c r="H545" s="23" t="s">
        <v>5</v>
      </c>
      <c r="I545" s="33" t="s">
        <v>14</v>
      </c>
      <c r="J545" s="23">
        <v>1</v>
      </c>
      <c r="K545" s="23">
        <v>1</v>
      </c>
      <c r="L545" s="35">
        <v>0</v>
      </c>
      <c r="M545" s="23">
        <v>12</v>
      </c>
      <c r="N545" s="23">
        <v>12</v>
      </c>
      <c r="O545" s="49">
        <v>0</v>
      </c>
      <c r="P545" s="45" t="s">
        <v>375</v>
      </c>
      <c r="Q545" s="23" t="s">
        <v>239</v>
      </c>
      <c r="R545" s="23" t="s">
        <v>445</v>
      </c>
      <c r="S545" s="23" t="s">
        <v>9</v>
      </c>
      <c r="T545" s="23">
        <f>SUMIFS($J$1:INDEX(J:J,ROW()-1),$I$1:INDEX(I:I,ROW()-1),"&lt;&gt;Totals:")</f>
        <v>250</v>
      </c>
      <c r="U545" s="22">
        <f>SUMIFS($M$1:INDEX(M:M,ROW()),$I$1:INDEX(I:I,ROW()),"&lt;&gt;*Totals:*")</f>
        <v>7592</v>
      </c>
    </row>
    <row r="546" spans="1:21" ht="12.75" customHeight="1" x14ac:dyDescent="0.25">
      <c r="A546" s="47" t="s">
        <v>15</v>
      </c>
      <c r="B546" s="23" t="s">
        <v>431</v>
      </c>
      <c r="C546" s="28">
        <v>46159</v>
      </c>
      <c r="D546" s="30" t="s">
        <v>443</v>
      </c>
      <c r="E546" s="28" t="s">
        <v>440</v>
      </c>
      <c r="F546" s="28" t="s">
        <v>433</v>
      </c>
      <c r="G546" s="28">
        <v>46188</v>
      </c>
      <c r="H546" s="23" t="s">
        <v>5</v>
      </c>
      <c r="I546" s="33" t="s">
        <v>14</v>
      </c>
      <c r="J546" s="23">
        <v>1</v>
      </c>
      <c r="K546" s="23">
        <v>1</v>
      </c>
      <c r="L546" s="35">
        <v>0</v>
      </c>
      <c r="M546" s="23">
        <v>1</v>
      </c>
      <c r="N546" s="23">
        <v>1</v>
      </c>
      <c r="O546" s="49">
        <v>0</v>
      </c>
      <c r="P546" s="45" t="s">
        <v>375</v>
      </c>
      <c r="Q546" s="23" t="s">
        <v>239</v>
      </c>
      <c r="R546" s="23" t="s">
        <v>445</v>
      </c>
      <c r="S546" s="23" t="s">
        <v>9</v>
      </c>
      <c r="T546" s="23">
        <f>SUMIFS($J$1:INDEX(J:J,ROW()-1),$I$1:INDEX(I:I,ROW()-1),"&lt;&gt;Totals:")</f>
        <v>251</v>
      </c>
      <c r="U546" s="22">
        <f>SUMIFS($M$1:INDEX(M:M,ROW()),$I$1:INDEX(I:I,ROW()),"&lt;&gt;*Totals:*")</f>
        <v>7593</v>
      </c>
    </row>
    <row r="547" spans="1:21" ht="12.75" customHeight="1" x14ac:dyDescent="0.25">
      <c r="A547" s="47" t="s">
        <v>0</v>
      </c>
      <c r="B547" s="23" t="s">
        <v>450</v>
      </c>
      <c r="C547" s="28">
        <v>46162</v>
      </c>
      <c r="D547" s="30" t="s">
        <v>443</v>
      </c>
      <c r="E547" s="28" t="s">
        <v>455</v>
      </c>
      <c r="F547" s="28" t="s">
        <v>452</v>
      </c>
      <c r="G547" s="28">
        <v>46191</v>
      </c>
      <c r="H547" s="23" t="s">
        <v>5</v>
      </c>
      <c r="I547" s="33" t="s">
        <v>14</v>
      </c>
      <c r="J547" s="23">
        <v>1</v>
      </c>
      <c r="K547" s="23">
        <v>1</v>
      </c>
      <c r="L547" s="35">
        <v>0</v>
      </c>
      <c r="M547" s="23">
        <v>3</v>
      </c>
      <c r="N547" s="23">
        <v>3</v>
      </c>
      <c r="O547" s="49">
        <v>0</v>
      </c>
      <c r="P547" s="45" t="s">
        <v>375</v>
      </c>
      <c r="Q547" s="23" t="s">
        <v>239</v>
      </c>
      <c r="R547" s="23" t="s">
        <v>445</v>
      </c>
      <c r="S547" s="23" t="s">
        <v>9</v>
      </c>
      <c r="T547" s="23">
        <f>SUMIFS($J$1:INDEX(J:J,ROW()-1),$I$1:INDEX(I:I,ROW()-1),"&lt;&gt;Totals:")</f>
        <v>252</v>
      </c>
      <c r="U547" s="22">
        <f>SUMIFS($M$1:INDEX(M:M,ROW()),$I$1:INDEX(I:I,ROW()),"&lt;&gt;*Totals:*")</f>
        <v>7596</v>
      </c>
    </row>
    <row r="548" spans="1:21" ht="12.75" customHeight="1" x14ac:dyDescent="0.25">
      <c r="A548" s="47" t="s">
        <v>40</v>
      </c>
      <c r="B548" s="23" t="s">
        <v>447</v>
      </c>
      <c r="C548" s="28">
        <v>46167</v>
      </c>
      <c r="D548" s="30" t="s">
        <v>443</v>
      </c>
      <c r="E548" s="28" t="s">
        <v>440</v>
      </c>
      <c r="F548" s="28" t="s">
        <v>448</v>
      </c>
      <c r="G548" s="28">
        <v>46196</v>
      </c>
      <c r="H548" s="23" t="s">
        <v>5</v>
      </c>
      <c r="I548" s="33" t="s">
        <v>14</v>
      </c>
      <c r="J548" s="23">
        <v>1</v>
      </c>
      <c r="K548" s="23">
        <v>1</v>
      </c>
      <c r="L548" s="35">
        <v>0</v>
      </c>
      <c r="M548" s="23">
        <v>3</v>
      </c>
      <c r="N548" s="23">
        <v>3</v>
      </c>
      <c r="O548" s="49">
        <v>0</v>
      </c>
      <c r="P548" s="45" t="s">
        <v>375</v>
      </c>
      <c r="Q548" s="23" t="s">
        <v>239</v>
      </c>
      <c r="R548" s="23" t="s">
        <v>445</v>
      </c>
      <c r="S548" s="23" t="s">
        <v>9</v>
      </c>
      <c r="T548" s="23">
        <f>SUMIFS($J$1:INDEX(J:J,ROW()-1),$I$1:INDEX(I:I,ROW()-1),"&lt;&gt;Totals:")</f>
        <v>253</v>
      </c>
      <c r="U548" s="22">
        <f>SUMIFS($M$1:INDEX(M:M,ROW()),$I$1:INDEX(I:I,ROW()),"&lt;&gt;*Totals:*")</f>
        <v>7599</v>
      </c>
    </row>
    <row r="549" spans="1:21" ht="12.75" customHeight="1" x14ac:dyDescent="0.25">
      <c r="A549" s="47" t="s">
        <v>15</v>
      </c>
      <c r="B549" s="23" t="s">
        <v>431</v>
      </c>
      <c r="C549" s="28">
        <v>46167</v>
      </c>
      <c r="D549" s="30" t="s">
        <v>443</v>
      </c>
      <c r="E549" s="28" t="s">
        <v>440</v>
      </c>
      <c r="F549" s="28" t="s">
        <v>433</v>
      </c>
      <c r="G549" s="28">
        <v>46196</v>
      </c>
      <c r="H549" s="23" t="s">
        <v>5</v>
      </c>
      <c r="I549" s="33" t="s">
        <v>14</v>
      </c>
      <c r="J549" s="23">
        <v>1</v>
      </c>
      <c r="K549" s="23">
        <v>1</v>
      </c>
      <c r="L549" s="35">
        <v>0</v>
      </c>
      <c r="M549" s="23">
        <v>1</v>
      </c>
      <c r="N549" s="23">
        <v>1</v>
      </c>
      <c r="O549" s="49">
        <v>0</v>
      </c>
      <c r="P549" s="45" t="s">
        <v>375</v>
      </c>
      <c r="Q549" s="23" t="s">
        <v>239</v>
      </c>
      <c r="R549" s="23" t="s">
        <v>445</v>
      </c>
      <c r="S549" s="23" t="s">
        <v>9</v>
      </c>
      <c r="T549" s="23">
        <f>SUMIFS($J$1:INDEX(J:J,ROW()-1),$I$1:INDEX(I:I,ROW()-1),"&lt;&gt;Totals:")</f>
        <v>254</v>
      </c>
      <c r="U549" s="22">
        <f>SUMIFS($M$1:INDEX(M:M,ROW()),$I$1:INDEX(I:I,ROW()),"&lt;&gt;*Totals:*")</f>
        <v>7600</v>
      </c>
    </row>
    <row r="550" spans="1:21" ht="12.75" customHeight="1" x14ac:dyDescent="0.25">
      <c r="A550" s="47" t="s">
        <v>0</v>
      </c>
      <c r="B550" s="23" t="s">
        <v>450</v>
      </c>
      <c r="C550" s="28">
        <v>46167</v>
      </c>
      <c r="D550" s="30" t="s">
        <v>443</v>
      </c>
      <c r="E550" s="28" t="s">
        <v>455</v>
      </c>
      <c r="F550" s="28" t="s">
        <v>452</v>
      </c>
      <c r="G550" s="28">
        <v>46196</v>
      </c>
      <c r="H550" s="23" t="s">
        <v>5</v>
      </c>
      <c r="I550" s="33" t="s">
        <v>14</v>
      </c>
      <c r="J550" s="23">
        <v>1</v>
      </c>
      <c r="K550" s="23">
        <v>1</v>
      </c>
      <c r="L550" s="35">
        <v>0</v>
      </c>
      <c r="M550" s="23">
        <v>4</v>
      </c>
      <c r="N550" s="23">
        <v>4</v>
      </c>
      <c r="O550" s="49">
        <v>0</v>
      </c>
      <c r="P550" s="45" t="s">
        <v>375</v>
      </c>
      <c r="Q550" s="23" t="s">
        <v>239</v>
      </c>
      <c r="R550" s="23" t="s">
        <v>445</v>
      </c>
      <c r="S550" s="23" t="s">
        <v>9</v>
      </c>
      <c r="T550" s="23">
        <f>SUMIFS($J$1:INDEX(J:J,ROW()-1),$I$1:INDEX(I:I,ROW()-1),"&lt;&gt;Totals:")</f>
        <v>255</v>
      </c>
      <c r="U550" s="22">
        <f>SUMIFS($M$1:INDEX(M:M,ROW()),$I$1:INDEX(I:I,ROW()),"&lt;&gt;*Totals:*")</f>
        <v>7604</v>
      </c>
    </row>
    <row r="551" spans="1:21" ht="12.75" customHeight="1" x14ac:dyDescent="0.25">
      <c r="A551" s="47" t="s">
        <v>10</v>
      </c>
      <c r="B551" s="23" t="s">
        <v>431</v>
      </c>
      <c r="C551" s="28">
        <v>46167</v>
      </c>
      <c r="D551" s="30" t="s">
        <v>443</v>
      </c>
      <c r="E551" s="28" t="s">
        <v>432</v>
      </c>
      <c r="F551" s="28" t="s">
        <v>433</v>
      </c>
      <c r="G551" s="28">
        <v>46196</v>
      </c>
      <c r="H551" s="23" t="s">
        <v>5</v>
      </c>
      <c r="I551" s="33" t="s">
        <v>14</v>
      </c>
      <c r="J551" s="23">
        <v>1</v>
      </c>
      <c r="K551" s="23">
        <v>1</v>
      </c>
      <c r="L551" s="35">
        <v>0</v>
      </c>
      <c r="M551" s="23">
        <v>17</v>
      </c>
      <c r="N551" s="23">
        <v>17</v>
      </c>
      <c r="O551" s="49">
        <v>0</v>
      </c>
      <c r="P551" s="45" t="s">
        <v>375</v>
      </c>
      <c r="Q551" s="23" t="s">
        <v>239</v>
      </c>
      <c r="R551" s="23" t="s">
        <v>445</v>
      </c>
      <c r="S551" s="23" t="s">
        <v>9</v>
      </c>
      <c r="T551" s="23">
        <f>SUMIFS($J$1:INDEX(J:J,ROW()-1),$I$1:INDEX(I:I,ROW()-1),"&lt;&gt;Totals:")</f>
        <v>256</v>
      </c>
      <c r="U551" s="22">
        <f>SUMIFS($M$1:INDEX(M:M,ROW()),$I$1:INDEX(I:I,ROW()),"&lt;&gt;*Totals:*")</f>
        <v>7621</v>
      </c>
    </row>
    <row r="552" spans="1:21" ht="12.75" customHeight="1" x14ac:dyDescent="0.25">
      <c r="A552" s="47" t="s">
        <v>0</v>
      </c>
      <c r="B552" s="23" t="s">
        <v>450</v>
      </c>
      <c r="C552" s="28">
        <v>46172</v>
      </c>
      <c r="D552" s="30" t="s">
        <v>443</v>
      </c>
      <c r="E552" s="28" t="s">
        <v>455</v>
      </c>
      <c r="F552" s="28" t="s">
        <v>452</v>
      </c>
      <c r="G552" s="28">
        <v>46201</v>
      </c>
      <c r="H552" s="23" t="s">
        <v>5</v>
      </c>
      <c r="I552" s="33" t="s">
        <v>14</v>
      </c>
      <c r="J552" s="23">
        <v>1</v>
      </c>
      <c r="K552" s="23">
        <v>1</v>
      </c>
      <c r="L552" s="35">
        <v>0</v>
      </c>
      <c r="M552" s="23">
        <v>3</v>
      </c>
      <c r="N552" s="23">
        <v>3</v>
      </c>
      <c r="O552" s="49">
        <v>0</v>
      </c>
      <c r="P552" s="45" t="s">
        <v>375</v>
      </c>
      <c r="Q552" s="23" t="s">
        <v>239</v>
      </c>
      <c r="R552" s="23" t="s">
        <v>445</v>
      </c>
      <c r="S552" s="23" t="s">
        <v>9</v>
      </c>
      <c r="T552" s="23">
        <f>SUMIFS($J$1:INDEX(J:J,ROW()-1),$I$1:INDEX(I:I,ROW()-1),"&lt;&gt;Totals:")</f>
        <v>257</v>
      </c>
      <c r="U552" s="22">
        <f>SUMIFS($M$1:INDEX(M:M,ROW()),$I$1:INDEX(I:I,ROW()),"&lt;&gt;*Totals:*")</f>
        <v>7624</v>
      </c>
    </row>
    <row r="553" spans="1:21" ht="12.75" customHeight="1" thickBot="1" x14ac:dyDescent="0.3">
      <c r="A553" s="51" t="s">
        <v>0</v>
      </c>
      <c r="B553" s="20" t="s">
        <v>450</v>
      </c>
      <c r="C553" s="25">
        <v>46173</v>
      </c>
      <c r="D553" s="27" t="s">
        <v>443</v>
      </c>
      <c r="E553" s="25" t="s">
        <v>455</v>
      </c>
      <c r="F553" s="25" t="s">
        <v>452</v>
      </c>
      <c r="G553" s="25">
        <v>46202</v>
      </c>
      <c r="H553" s="20" t="s">
        <v>5</v>
      </c>
      <c r="I553" s="32" t="s">
        <v>14</v>
      </c>
      <c r="J553" s="20">
        <v>1</v>
      </c>
      <c r="K553" s="20">
        <v>1</v>
      </c>
      <c r="L553" s="34">
        <v>0</v>
      </c>
      <c r="M553" s="20">
        <v>3</v>
      </c>
      <c r="N553" s="20">
        <v>3</v>
      </c>
      <c r="O553" s="54">
        <v>0</v>
      </c>
      <c r="P553" s="45" t="s">
        <v>375</v>
      </c>
      <c r="Q553" s="23" t="s">
        <v>239</v>
      </c>
      <c r="R553" s="23" t="s">
        <v>445</v>
      </c>
      <c r="S553" s="23" t="s">
        <v>9</v>
      </c>
      <c r="T553" s="23">
        <f>SUMIFS($J$1:INDEX(J:J,ROW()-1),$I$1:INDEX(I:I,ROW()-1),"&lt;&gt;Totals:")</f>
        <v>258</v>
      </c>
      <c r="U553" s="22">
        <f>SUMIFS($M$1:INDEX(M:M,ROW()),$I$1:INDEX(I:I,ROW()),"&lt;&gt;*Totals:*")</f>
        <v>7627</v>
      </c>
    </row>
    <row r="554" spans="1:21" ht="17.25" customHeight="1" x14ac:dyDescent="0.25">
      <c r="A554" s="60"/>
      <c r="B554" s="50"/>
      <c r="C554" s="55"/>
      <c r="D554" s="56"/>
      <c r="E554" s="56"/>
      <c r="F554" s="57"/>
      <c r="G554" s="57"/>
      <c r="H554" s="57"/>
      <c r="I554" s="58" t="s">
        <v>1087</v>
      </c>
      <c r="J554" s="57">
        <f>SUM(J536:J553)</f>
        <v>15</v>
      </c>
      <c r="K554" s="57">
        <f>SUM(K536:K553)</f>
        <v>18</v>
      </c>
      <c r="L554" s="59">
        <f>(SUM(K536:K553) - SUM(J536:J553)) / SUM(K536:K553)</f>
        <v>0.16666666666666666</v>
      </c>
      <c r="M554" s="57">
        <f>SUM(M536:M553)</f>
        <v>352</v>
      </c>
      <c r="N554" s="56">
        <f>SUM(N536:N553)</f>
        <v>138</v>
      </c>
      <c r="O554" s="61">
        <f>(SUM(M536:M553) - SUM(N536:N553)) / SUM(M536:M553)</f>
        <v>0.60795454545454541</v>
      </c>
      <c r="P554" s="52"/>
      <c r="Q554" s="53"/>
      <c r="R554" s="52"/>
      <c r="S554" s="52"/>
      <c r="T554" s="52"/>
      <c r="U554" s="52"/>
    </row>
    <row r="555" spans="1:21" x14ac:dyDescent="0.25">
      <c r="A555" s="70"/>
      <c r="B555" s="64"/>
      <c r="C555" s="64"/>
      <c r="D555" s="64"/>
      <c r="E555" s="64"/>
      <c r="F555" s="64"/>
      <c r="G555" s="64"/>
      <c r="H555" s="64"/>
      <c r="I555" s="65" t="s">
        <v>1088</v>
      </c>
      <c r="J555" s="64"/>
      <c r="K555" s="64"/>
      <c r="L555" s="65" t="s">
        <v>1089</v>
      </c>
      <c r="M555" s="64"/>
      <c r="N555" s="64"/>
      <c r="O555" s="72"/>
      <c r="P555" s="62"/>
      <c r="Q555" s="62"/>
      <c r="R555" s="62"/>
      <c r="S555" s="62"/>
      <c r="T555" s="62"/>
      <c r="U555" s="62"/>
    </row>
    <row r="556" spans="1:21" ht="15.75" thickBot="1" x14ac:dyDescent="0.3">
      <c r="A556" s="71"/>
      <c r="B556" s="66"/>
      <c r="C556" s="67"/>
      <c r="D556" s="66"/>
      <c r="E556" s="66"/>
      <c r="F556" s="66"/>
      <c r="G556" s="67"/>
      <c r="H556" s="66"/>
      <c r="I556" s="68">
        <v>258</v>
      </c>
      <c r="J556" s="66"/>
      <c r="K556" s="66"/>
      <c r="L556" s="69">
        <v>7627</v>
      </c>
      <c r="M556" s="66"/>
      <c r="N556" s="66"/>
      <c r="O556" s="73"/>
      <c r="P556" s="63"/>
      <c r="Q556" s="63"/>
      <c r="R556" s="63"/>
      <c r="S556" s="63"/>
      <c r="T556" s="63"/>
      <c r="U556" s="63"/>
    </row>
    <row r="557" spans="1:21" ht="15.75" thickBot="1" x14ac:dyDescent="0.3">
      <c r="C557" s="1"/>
      <c r="G557" s="1"/>
    </row>
    <row r="558" spans="1:21" x14ac:dyDescent="0.25">
      <c r="A558" s="9"/>
      <c r="B558" s="10"/>
      <c r="C558" s="11"/>
      <c r="D558" s="11"/>
      <c r="E558" s="11"/>
      <c r="F558" s="11"/>
      <c r="G558" s="11"/>
      <c r="H558" s="12"/>
      <c r="I558" s="11"/>
      <c r="J558" s="13"/>
      <c r="K558" s="13"/>
      <c r="L558" s="13"/>
      <c r="M558" s="13"/>
      <c r="N558" s="11"/>
      <c r="O558" s="14"/>
      <c r="P558" s="4"/>
      <c r="Q558" s="5"/>
      <c r="R558" s="4"/>
      <c r="S558" s="4"/>
      <c r="T558" s="4"/>
      <c r="U558" s="4"/>
    </row>
    <row r="559" spans="1:21" x14ac:dyDescent="0.25">
      <c r="A559" s="6" t="s">
        <v>1091</v>
      </c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15"/>
      <c r="P559" s="3"/>
      <c r="Q559" s="3"/>
      <c r="R559" s="3"/>
      <c r="S559" s="3"/>
      <c r="T559" s="3"/>
      <c r="U559" s="3"/>
    </row>
    <row r="560" spans="1:21" x14ac:dyDescent="0.25">
      <c r="A560" s="7" t="s">
        <v>254</v>
      </c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15"/>
      <c r="P560" s="3"/>
      <c r="Q560" s="3"/>
      <c r="R560" s="3"/>
      <c r="S560" s="3"/>
      <c r="T560" s="3"/>
      <c r="U560" s="3"/>
    </row>
    <row r="561" spans="1:21" ht="15.75" thickBot="1" x14ac:dyDescent="0.3">
      <c r="A561" s="8"/>
      <c r="B561" s="8"/>
      <c r="C561" s="74"/>
      <c r="D561" s="8"/>
      <c r="E561" s="8"/>
      <c r="F561" s="8"/>
      <c r="G561" s="74"/>
      <c r="H561" s="8"/>
      <c r="I561" s="8"/>
      <c r="J561" s="8"/>
      <c r="K561" s="8"/>
      <c r="L561" s="8"/>
      <c r="M561" s="8"/>
      <c r="N561" s="8"/>
      <c r="O561" s="16"/>
      <c r="P561" s="3"/>
      <c r="Q561" s="3"/>
      <c r="R561" s="3"/>
      <c r="S561" s="3"/>
      <c r="T561" s="3"/>
      <c r="U561" s="3"/>
    </row>
    <row r="562" spans="1:21" ht="17.25" customHeight="1" thickBot="1" x14ac:dyDescent="0.3">
      <c r="A562" s="19" t="s">
        <v>1068</v>
      </c>
      <c r="B562" s="24" t="s">
        <v>1069</v>
      </c>
      <c r="C562" s="26" t="s">
        <v>1070</v>
      </c>
      <c r="D562" s="29" t="s">
        <v>1071</v>
      </c>
      <c r="E562" s="26" t="s">
        <v>1072</v>
      </c>
      <c r="F562" s="31" t="s">
        <v>1073</v>
      </c>
      <c r="G562" s="31" t="s">
        <v>1074</v>
      </c>
      <c r="H562" s="31" t="s">
        <v>1075</v>
      </c>
      <c r="I562" s="29" t="s">
        <v>14</v>
      </c>
      <c r="J562" s="29" t="s">
        <v>1076</v>
      </c>
      <c r="K562" s="29" t="s">
        <v>1077</v>
      </c>
      <c r="L562" s="29" t="s">
        <v>1078</v>
      </c>
      <c r="M562" s="29" t="s">
        <v>1079</v>
      </c>
      <c r="N562" s="29" t="s">
        <v>1080</v>
      </c>
      <c r="O562" s="36" t="s">
        <v>1081</v>
      </c>
      <c r="P562" s="37" t="s">
        <v>1082</v>
      </c>
      <c r="Q562" s="38" t="s">
        <v>1083</v>
      </c>
      <c r="R562" s="38" t="s">
        <v>1084</v>
      </c>
      <c r="S562" s="38" t="s">
        <v>1085</v>
      </c>
      <c r="T562" s="38" t="s">
        <v>1086</v>
      </c>
      <c r="U562" s="39" t="s">
        <v>1086</v>
      </c>
    </row>
    <row r="563" spans="1:21" ht="12.75" customHeight="1" x14ac:dyDescent="0.25">
      <c r="A563" s="46" t="s">
        <v>17</v>
      </c>
      <c r="B563" s="40" t="s">
        <v>456</v>
      </c>
      <c r="C563" s="41">
        <v>46175</v>
      </c>
      <c r="D563" s="42" t="s">
        <v>457</v>
      </c>
      <c r="E563" s="41" t="s">
        <v>455</v>
      </c>
      <c r="F563" s="41" t="s">
        <v>458</v>
      </c>
      <c r="G563" s="41">
        <v>46204</v>
      </c>
      <c r="H563" s="40" t="s">
        <v>5</v>
      </c>
      <c r="I563" s="43" t="s">
        <v>14</v>
      </c>
      <c r="J563" s="40">
        <v>1</v>
      </c>
      <c r="K563" s="40">
        <v>1</v>
      </c>
      <c r="L563" s="44">
        <v>0</v>
      </c>
      <c r="M563" s="40">
        <v>3</v>
      </c>
      <c r="N563" s="40">
        <v>3</v>
      </c>
      <c r="O563" s="48">
        <v>0</v>
      </c>
      <c r="P563" s="45" t="s">
        <v>375</v>
      </c>
      <c r="Q563" s="23" t="s">
        <v>254</v>
      </c>
      <c r="R563" s="23" t="s">
        <v>459</v>
      </c>
      <c r="S563" s="23" t="s">
        <v>9</v>
      </c>
      <c r="T563" s="23">
        <f>SUMIFS($J$1:INDEX(J:J,ROW()-1),$I$1:INDEX(I:I,ROW()-1),"&lt;&gt;Totals:")</f>
        <v>259</v>
      </c>
      <c r="U563" s="22">
        <f>SUMIFS($M$1:INDEX(M:M,ROW()),$I$1:INDEX(I:I,ROW()),"&lt;&gt;*Totals:*")</f>
        <v>7630</v>
      </c>
    </row>
    <row r="564" spans="1:21" ht="12.75" customHeight="1" x14ac:dyDescent="0.25">
      <c r="A564" s="47" t="s">
        <v>17</v>
      </c>
      <c r="B564" s="23" t="s">
        <v>460</v>
      </c>
      <c r="C564" s="28">
        <v>46176</v>
      </c>
      <c r="D564" s="30" t="s">
        <v>457</v>
      </c>
      <c r="E564" s="28" t="s">
        <v>455</v>
      </c>
      <c r="F564" s="28" t="s">
        <v>461</v>
      </c>
      <c r="G564" s="28">
        <v>46205</v>
      </c>
      <c r="H564" s="23" t="s">
        <v>5</v>
      </c>
      <c r="I564" s="33" t="s">
        <v>14</v>
      </c>
      <c r="J564" s="23">
        <v>1</v>
      </c>
      <c r="K564" s="23">
        <v>1</v>
      </c>
      <c r="L564" s="35">
        <v>0</v>
      </c>
      <c r="M564" s="23">
        <v>20</v>
      </c>
      <c r="N564" s="23">
        <v>20</v>
      </c>
      <c r="O564" s="49">
        <v>0</v>
      </c>
      <c r="P564" s="45" t="s">
        <v>375</v>
      </c>
      <c r="Q564" s="23" t="s">
        <v>254</v>
      </c>
      <c r="R564" s="23" t="s">
        <v>459</v>
      </c>
      <c r="S564" s="23" t="s">
        <v>9</v>
      </c>
      <c r="T564" s="23">
        <f>SUMIFS($J$1:INDEX(J:J,ROW()-1),$I$1:INDEX(I:I,ROW()-1),"&lt;&gt;Totals:")</f>
        <v>260</v>
      </c>
      <c r="U564" s="22">
        <f>SUMIFS($M$1:INDEX(M:M,ROW()),$I$1:INDEX(I:I,ROW()),"&lt;&gt;*Totals:*")</f>
        <v>7650</v>
      </c>
    </row>
    <row r="565" spans="1:21" ht="12.75" customHeight="1" x14ac:dyDescent="0.25">
      <c r="A565" s="47" t="s">
        <v>17</v>
      </c>
      <c r="B565" s="23" t="s">
        <v>456</v>
      </c>
      <c r="C565" s="28">
        <v>46177</v>
      </c>
      <c r="D565" s="30" t="s">
        <v>457</v>
      </c>
      <c r="E565" s="28" t="s">
        <v>455</v>
      </c>
      <c r="F565" s="28" t="s">
        <v>458</v>
      </c>
      <c r="G565" s="28">
        <v>46206</v>
      </c>
      <c r="H565" s="23" t="s">
        <v>5</v>
      </c>
      <c r="I565" s="33" t="s">
        <v>14</v>
      </c>
      <c r="J565" s="23">
        <v>1</v>
      </c>
      <c r="K565" s="23">
        <v>1</v>
      </c>
      <c r="L565" s="35">
        <v>0</v>
      </c>
      <c r="M565" s="23">
        <v>2</v>
      </c>
      <c r="N565" s="23">
        <v>2</v>
      </c>
      <c r="O565" s="49">
        <v>0</v>
      </c>
      <c r="P565" s="45" t="s">
        <v>375</v>
      </c>
      <c r="Q565" s="23" t="s">
        <v>254</v>
      </c>
      <c r="R565" s="23" t="s">
        <v>459</v>
      </c>
      <c r="S565" s="23" t="s">
        <v>9</v>
      </c>
      <c r="T565" s="23">
        <f>SUMIFS($J$1:INDEX(J:J,ROW()-1),$I$1:INDEX(I:I,ROW()-1),"&lt;&gt;Totals:")</f>
        <v>261</v>
      </c>
      <c r="U565" s="22">
        <f>SUMIFS($M$1:INDEX(M:M,ROW()),$I$1:INDEX(I:I,ROW()),"&lt;&gt;*Totals:*")</f>
        <v>7652</v>
      </c>
    </row>
    <row r="566" spans="1:21" ht="12.75" customHeight="1" x14ac:dyDescent="0.25">
      <c r="A566" s="47" t="s">
        <v>17</v>
      </c>
      <c r="B566" s="23" t="s">
        <v>456</v>
      </c>
      <c r="C566" s="28">
        <v>46181</v>
      </c>
      <c r="D566" s="30" t="s">
        <v>457</v>
      </c>
      <c r="E566" s="28" t="s">
        <v>455</v>
      </c>
      <c r="F566" s="28" t="s">
        <v>458</v>
      </c>
      <c r="G566" s="28">
        <v>46210</v>
      </c>
      <c r="H566" s="23" t="s">
        <v>5</v>
      </c>
      <c r="I566" s="33" t="s">
        <v>14</v>
      </c>
      <c r="J566" s="23">
        <v>1</v>
      </c>
      <c r="K566" s="23">
        <v>1</v>
      </c>
      <c r="L566" s="35">
        <v>0</v>
      </c>
      <c r="M566" s="23">
        <v>2</v>
      </c>
      <c r="N566" s="23">
        <v>2</v>
      </c>
      <c r="O566" s="49">
        <v>0</v>
      </c>
      <c r="P566" s="45" t="s">
        <v>375</v>
      </c>
      <c r="Q566" s="23" t="s">
        <v>254</v>
      </c>
      <c r="R566" s="23" t="s">
        <v>459</v>
      </c>
      <c r="S566" s="23" t="s">
        <v>9</v>
      </c>
      <c r="T566" s="23">
        <f>SUMIFS($J$1:INDEX(J:J,ROW()-1),$I$1:INDEX(I:I,ROW()-1),"&lt;&gt;Totals:")</f>
        <v>262</v>
      </c>
      <c r="U566" s="22">
        <f>SUMIFS($M$1:INDEX(M:M,ROW()),$I$1:INDEX(I:I,ROW()),"&lt;&gt;*Totals:*")</f>
        <v>7654</v>
      </c>
    </row>
    <row r="567" spans="1:21" ht="12.75" customHeight="1" x14ac:dyDescent="0.25">
      <c r="A567" s="47" t="s">
        <v>10</v>
      </c>
      <c r="B567" s="23" t="s">
        <v>462</v>
      </c>
      <c r="C567" s="28">
        <v>46183</v>
      </c>
      <c r="D567" s="30" t="s">
        <v>457</v>
      </c>
      <c r="E567" s="28" t="s">
        <v>463</v>
      </c>
      <c r="F567" s="28" t="s">
        <v>464</v>
      </c>
      <c r="G567" s="28">
        <v>46212</v>
      </c>
      <c r="H567" s="23" t="s">
        <v>5</v>
      </c>
      <c r="I567" s="33" t="s">
        <v>14</v>
      </c>
      <c r="J567" s="23">
        <v>1</v>
      </c>
      <c r="K567" s="23">
        <v>1</v>
      </c>
      <c r="L567" s="35">
        <v>0</v>
      </c>
      <c r="M567" s="23">
        <v>91</v>
      </c>
      <c r="N567" s="23">
        <v>91</v>
      </c>
      <c r="O567" s="49">
        <v>0</v>
      </c>
      <c r="P567" s="45" t="s">
        <v>375</v>
      </c>
      <c r="Q567" s="23" t="s">
        <v>254</v>
      </c>
      <c r="R567" s="23" t="s">
        <v>459</v>
      </c>
      <c r="S567" s="23" t="s">
        <v>9</v>
      </c>
      <c r="T567" s="23">
        <f>SUMIFS($J$1:INDEX(J:J,ROW()-1),$I$1:INDEX(I:I,ROW()-1),"&lt;&gt;Totals:")</f>
        <v>263</v>
      </c>
      <c r="U567" s="22">
        <f>SUMIFS($M$1:INDEX(M:M,ROW()),$I$1:INDEX(I:I,ROW()),"&lt;&gt;*Totals:*")</f>
        <v>7745</v>
      </c>
    </row>
    <row r="568" spans="1:21" ht="12.75" customHeight="1" x14ac:dyDescent="0.25">
      <c r="A568" s="47" t="s">
        <v>36</v>
      </c>
      <c r="B568" s="23" t="s">
        <v>465</v>
      </c>
      <c r="C568" s="28">
        <v>46183</v>
      </c>
      <c r="D568" s="30" t="s">
        <v>457</v>
      </c>
      <c r="E568" s="28" t="s">
        <v>432</v>
      </c>
      <c r="F568" s="28" t="s">
        <v>466</v>
      </c>
      <c r="G568" s="28">
        <v>46212</v>
      </c>
      <c r="H568" s="23" t="s">
        <v>5</v>
      </c>
      <c r="I568" s="33"/>
      <c r="J568" s="23">
        <v>0</v>
      </c>
      <c r="K568" s="23">
        <v>1</v>
      </c>
      <c r="L568" s="35">
        <v>1</v>
      </c>
      <c r="M568" s="23">
        <v>3</v>
      </c>
      <c r="N568" s="23">
        <v>0</v>
      </c>
      <c r="O568" s="49">
        <v>1</v>
      </c>
      <c r="P568" s="45" t="s">
        <v>375</v>
      </c>
      <c r="Q568" s="23" t="s">
        <v>254</v>
      </c>
      <c r="R568" s="23" t="s">
        <v>459</v>
      </c>
      <c r="S568" s="23" t="s">
        <v>9</v>
      </c>
      <c r="T568" s="23">
        <f>SUMIFS($J$1:INDEX(J:J,ROW()-1),$I$1:INDEX(I:I,ROW()-1),"&lt;&gt;Totals:")</f>
        <v>264</v>
      </c>
      <c r="U568" s="22">
        <f>SUMIFS($M$1:INDEX(M:M,ROW()),$I$1:INDEX(I:I,ROW()),"&lt;&gt;*Totals:*")</f>
        <v>7748</v>
      </c>
    </row>
    <row r="569" spans="1:21" ht="12.75" customHeight="1" x14ac:dyDescent="0.25">
      <c r="A569" s="47" t="s">
        <v>15</v>
      </c>
      <c r="B569" s="23" t="s">
        <v>462</v>
      </c>
      <c r="C569" s="28">
        <v>46183</v>
      </c>
      <c r="D569" s="30" t="s">
        <v>457</v>
      </c>
      <c r="E569" s="28" t="s">
        <v>463</v>
      </c>
      <c r="F569" s="28" t="s">
        <v>464</v>
      </c>
      <c r="G569" s="28">
        <v>46212</v>
      </c>
      <c r="H569" s="23" t="s">
        <v>5</v>
      </c>
      <c r="I569" s="33" t="s">
        <v>14</v>
      </c>
      <c r="J569" s="23">
        <v>1</v>
      </c>
      <c r="K569" s="23">
        <v>1</v>
      </c>
      <c r="L569" s="35">
        <v>0</v>
      </c>
      <c r="M569" s="23">
        <v>29</v>
      </c>
      <c r="N569" s="23">
        <v>29</v>
      </c>
      <c r="O569" s="49">
        <v>0</v>
      </c>
      <c r="P569" s="45" t="s">
        <v>375</v>
      </c>
      <c r="Q569" s="23" t="s">
        <v>254</v>
      </c>
      <c r="R569" s="23" t="s">
        <v>459</v>
      </c>
      <c r="S569" s="23" t="s">
        <v>9</v>
      </c>
      <c r="T569" s="23">
        <f>SUMIFS($J$1:INDEX(J:J,ROW()-1),$I$1:INDEX(I:I,ROW()-1),"&lt;&gt;Totals:")</f>
        <v>264</v>
      </c>
      <c r="U569" s="22">
        <f>SUMIFS($M$1:INDEX(M:M,ROW()),$I$1:INDEX(I:I,ROW()),"&lt;&gt;*Totals:*")</f>
        <v>7777</v>
      </c>
    </row>
    <row r="570" spans="1:21" ht="12.75" customHeight="1" x14ac:dyDescent="0.25">
      <c r="A570" s="47" t="s">
        <v>40</v>
      </c>
      <c r="B570" s="23" t="s">
        <v>467</v>
      </c>
      <c r="C570" s="28">
        <v>46183</v>
      </c>
      <c r="D570" s="30" t="s">
        <v>457</v>
      </c>
      <c r="E570" s="28" t="s">
        <v>432</v>
      </c>
      <c r="F570" s="28" t="s">
        <v>468</v>
      </c>
      <c r="G570" s="28">
        <v>46212</v>
      </c>
      <c r="H570" s="23" t="s">
        <v>5</v>
      </c>
      <c r="I570" s="33"/>
      <c r="J570" s="23">
        <v>0</v>
      </c>
      <c r="K570" s="23">
        <v>1</v>
      </c>
      <c r="L570" s="35">
        <v>1</v>
      </c>
      <c r="M570" s="23">
        <v>14</v>
      </c>
      <c r="N570" s="23">
        <v>0</v>
      </c>
      <c r="O570" s="49">
        <v>1</v>
      </c>
      <c r="P570" s="45" t="s">
        <v>375</v>
      </c>
      <c r="Q570" s="23" t="s">
        <v>254</v>
      </c>
      <c r="R570" s="23" t="s">
        <v>459</v>
      </c>
      <c r="S570" s="23" t="s">
        <v>9</v>
      </c>
      <c r="T570" s="23">
        <f>SUMIFS($J$1:INDEX(J:J,ROW()-1),$I$1:INDEX(I:I,ROW()-1),"&lt;&gt;Totals:")</f>
        <v>265</v>
      </c>
      <c r="U570" s="22">
        <f>SUMIFS($M$1:INDEX(M:M,ROW()),$I$1:INDEX(I:I,ROW()),"&lt;&gt;*Totals:*")</f>
        <v>7791</v>
      </c>
    </row>
    <row r="571" spans="1:21" ht="12.75" customHeight="1" x14ac:dyDescent="0.25">
      <c r="A571" s="47" t="s">
        <v>10</v>
      </c>
      <c r="B571" s="23" t="s">
        <v>462</v>
      </c>
      <c r="C571" s="28">
        <v>46184</v>
      </c>
      <c r="D571" s="30" t="s">
        <v>457</v>
      </c>
      <c r="E571" s="28" t="s">
        <v>463</v>
      </c>
      <c r="F571" s="28" t="s">
        <v>464</v>
      </c>
      <c r="G571" s="28">
        <v>46213</v>
      </c>
      <c r="H571" s="23" t="s">
        <v>5</v>
      </c>
      <c r="I571" s="33"/>
      <c r="J571" s="23">
        <v>0</v>
      </c>
      <c r="K571" s="23">
        <v>1</v>
      </c>
      <c r="L571" s="35">
        <v>1</v>
      </c>
      <c r="M571" s="23">
        <v>9</v>
      </c>
      <c r="N571" s="23">
        <v>0</v>
      </c>
      <c r="O571" s="49">
        <v>1</v>
      </c>
      <c r="P571" s="45" t="s">
        <v>375</v>
      </c>
      <c r="Q571" s="23" t="s">
        <v>254</v>
      </c>
      <c r="R571" s="23" t="s">
        <v>459</v>
      </c>
      <c r="S571" s="23" t="s">
        <v>9</v>
      </c>
      <c r="T571" s="23">
        <f>SUMIFS($J$1:INDEX(J:J,ROW()-1),$I$1:INDEX(I:I,ROW()-1),"&lt;&gt;Totals:")</f>
        <v>265</v>
      </c>
      <c r="U571" s="22">
        <f>SUMIFS($M$1:INDEX(M:M,ROW()),$I$1:INDEX(I:I,ROW()),"&lt;&gt;*Totals:*")</f>
        <v>7800</v>
      </c>
    </row>
    <row r="572" spans="1:21" ht="12.75" customHeight="1" x14ac:dyDescent="0.25">
      <c r="A572" s="47" t="s">
        <v>15</v>
      </c>
      <c r="B572" s="23" t="s">
        <v>462</v>
      </c>
      <c r="C572" s="28">
        <v>46184</v>
      </c>
      <c r="D572" s="30" t="s">
        <v>457</v>
      </c>
      <c r="E572" s="28" t="s">
        <v>463</v>
      </c>
      <c r="F572" s="28" t="s">
        <v>464</v>
      </c>
      <c r="G572" s="28">
        <v>46213</v>
      </c>
      <c r="H572" s="23" t="s">
        <v>5</v>
      </c>
      <c r="I572" s="33"/>
      <c r="J572" s="23">
        <v>0</v>
      </c>
      <c r="K572" s="23">
        <v>1</v>
      </c>
      <c r="L572" s="35">
        <v>1</v>
      </c>
      <c r="M572" s="23">
        <v>2</v>
      </c>
      <c r="N572" s="23">
        <v>0</v>
      </c>
      <c r="O572" s="49">
        <v>1</v>
      </c>
      <c r="P572" s="45" t="s">
        <v>375</v>
      </c>
      <c r="Q572" s="23" t="s">
        <v>254</v>
      </c>
      <c r="R572" s="23" t="s">
        <v>459</v>
      </c>
      <c r="S572" s="23" t="s">
        <v>9</v>
      </c>
      <c r="T572" s="23">
        <f>SUMIFS($J$1:INDEX(J:J,ROW()-1),$I$1:INDEX(I:I,ROW()-1),"&lt;&gt;Totals:")</f>
        <v>265</v>
      </c>
      <c r="U572" s="22">
        <f>SUMIFS($M$1:INDEX(M:M,ROW()),$I$1:INDEX(I:I,ROW()),"&lt;&gt;*Totals:*")</f>
        <v>7802</v>
      </c>
    </row>
    <row r="573" spans="1:21" ht="12.75" customHeight="1" x14ac:dyDescent="0.25">
      <c r="A573" s="47" t="s">
        <v>0</v>
      </c>
      <c r="B573" s="23" t="s">
        <v>469</v>
      </c>
      <c r="C573" s="28">
        <v>46185</v>
      </c>
      <c r="D573" s="30" t="s">
        <v>457</v>
      </c>
      <c r="E573" s="28" t="s">
        <v>463</v>
      </c>
      <c r="F573" s="28" t="s">
        <v>464</v>
      </c>
      <c r="G573" s="28">
        <v>46214</v>
      </c>
      <c r="H573" s="23" t="s">
        <v>5</v>
      </c>
      <c r="I573" s="33"/>
      <c r="J573" s="23">
        <v>0</v>
      </c>
      <c r="K573" s="23">
        <v>1</v>
      </c>
      <c r="L573" s="35">
        <v>1</v>
      </c>
      <c r="M573" s="23">
        <v>116</v>
      </c>
      <c r="N573" s="23">
        <v>0</v>
      </c>
      <c r="O573" s="49">
        <v>1</v>
      </c>
      <c r="P573" s="45" t="s">
        <v>375</v>
      </c>
      <c r="Q573" s="23" t="s">
        <v>254</v>
      </c>
      <c r="R573" s="23" t="s">
        <v>459</v>
      </c>
      <c r="S573" s="23" t="s">
        <v>9</v>
      </c>
      <c r="T573" s="23">
        <f>SUMIFS($J$1:INDEX(J:J,ROW()-1),$I$1:INDEX(I:I,ROW()-1),"&lt;&gt;Totals:")</f>
        <v>265</v>
      </c>
      <c r="U573" s="22">
        <f>SUMIFS($M$1:INDEX(M:M,ROW()),$I$1:INDEX(I:I,ROW()),"&lt;&gt;*Totals:*")</f>
        <v>7918</v>
      </c>
    </row>
    <row r="574" spans="1:21" ht="12.75" customHeight="1" x14ac:dyDescent="0.25">
      <c r="A574" s="47" t="s">
        <v>10</v>
      </c>
      <c r="B574" s="23" t="s">
        <v>462</v>
      </c>
      <c r="C574" s="28">
        <v>46185</v>
      </c>
      <c r="D574" s="30" t="s">
        <v>457</v>
      </c>
      <c r="E574" s="28" t="s">
        <v>463</v>
      </c>
      <c r="F574" s="28" t="s">
        <v>464</v>
      </c>
      <c r="G574" s="28">
        <v>46214</v>
      </c>
      <c r="H574" s="23" t="s">
        <v>5</v>
      </c>
      <c r="I574" s="33"/>
      <c r="J574" s="23">
        <v>0</v>
      </c>
      <c r="K574" s="23">
        <v>1</v>
      </c>
      <c r="L574" s="35">
        <v>1</v>
      </c>
      <c r="M574" s="23">
        <v>3</v>
      </c>
      <c r="N574" s="23">
        <v>0</v>
      </c>
      <c r="O574" s="49">
        <v>1</v>
      </c>
      <c r="P574" s="45" t="s">
        <v>375</v>
      </c>
      <c r="Q574" s="23" t="s">
        <v>254</v>
      </c>
      <c r="R574" s="23" t="s">
        <v>459</v>
      </c>
      <c r="S574" s="23" t="s">
        <v>9</v>
      </c>
      <c r="T574" s="23">
        <f>SUMIFS($J$1:INDEX(J:J,ROW()-1),$I$1:INDEX(I:I,ROW()-1),"&lt;&gt;Totals:")</f>
        <v>265</v>
      </c>
      <c r="U574" s="22">
        <f>SUMIFS($M$1:INDEX(M:M,ROW()),$I$1:INDEX(I:I,ROW()),"&lt;&gt;*Totals:*")</f>
        <v>7921</v>
      </c>
    </row>
    <row r="575" spans="1:21" ht="12.75" customHeight="1" x14ac:dyDescent="0.25">
      <c r="A575" s="47" t="s">
        <v>15</v>
      </c>
      <c r="B575" s="23" t="s">
        <v>462</v>
      </c>
      <c r="C575" s="28">
        <v>46185</v>
      </c>
      <c r="D575" s="30" t="s">
        <v>457</v>
      </c>
      <c r="E575" s="28" t="s">
        <v>463</v>
      </c>
      <c r="F575" s="28" t="s">
        <v>464</v>
      </c>
      <c r="G575" s="28">
        <v>46214</v>
      </c>
      <c r="H575" s="23" t="s">
        <v>5</v>
      </c>
      <c r="I575" s="33"/>
      <c r="J575" s="23">
        <v>0</v>
      </c>
      <c r="K575" s="23">
        <v>1</v>
      </c>
      <c r="L575" s="35">
        <v>1</v>
      </c>
      <c r="M575" s="23">
        <v>1</v>
      </c>
      <c r="N575" s="23">
        <v>0</v>
      </c>
      <c r="O575" s="49">
        <v>1</v>
      </c>
      <c r="P575" s="45" t="s">
        <v>375</v>
      </c>
      <c r="Q575" s="23" t="s">
        <v>254</v>
      </c>
      <c r="R575" s="23" t="s">
        <v>459</v>
      </c>
      <c r="S575" s="23" t="s">
        <v>9</v>
      </c>
      <c r="T575" s="23">
        <f>SUMIFS($J$1:INDEX(J:J,ROW()-1),$I$1:INDEX(I:I,ROW()-1),"&lt;&gt;Totals:")</f>
        <v>265</v>
      </c>
      <c r="U575" s="22">
        <f>SUMIFS($M$1:INDEX(M:M,ROW()),$I$1:INDEX(I:I,ROW()),"&lt;&gt;*Totals:*")</f>
        <v>7922</v>
      </c>
    </row>
    <row r="576" spans="1:21" ht="12.75" customHeight="1" x14ac:dyDescent="0.25">
      <c r="A576" s="47" t="s">
        <v>36</v>
      </c>
      <c r="B576" s="23" t="s">
        <v>465</v>
      </c>
      <c r="C576" s="28">
        <v>46188</v>
      </c>
      <c r="D576" s="30" t="s">
        <v>457</v>
      </c>
      <c r="E576" s="28" t="s">
        <v>432</v>
      </c>
      <c r="F576" s="28" t="s">
        <v>466</v>
      </c>
      <c r="G576" s="28">
        <v>46217</v>
      </c>
      <c r="H576" s="23" t="s">
        <v>5</v>
      </c>
      <c r="I576" s="33"/>
      <c r="J576" s="23">
        <v>0</v>
      </c>
      <c r="K576" s="23">
        <v>1</v>
      </c>
      <c r="L576" s="35">
        <v>1</v>
      </c>
      <c r="M576" s="23">
        <v>2</v>
      </c>
      <c r="N576" s="23">
        <v>0</v>
      </c>
      <c r="O576" s="49">
        <v>1</v>
      </c>
      <c r="P576" s="45" t="s">
        <v>375</v>
      </c>
      <c r="Q576" s="23" t="s">
        <v>254</v>
      </c>
      <c r="R576" s="23" t="s">
        <v>459</v>
      </c>
      <c r="S576" s="23" t="s">
        <v>9</v>
      </c>
      <c r="T576" s="23">
        <f>SUMIFS($J$1:INDEX(J:J,ROW()-1),$I$1:INDEX(I:I,ROW()-1),"&lt;&gt;Totals:")</f>
        <v>265</v>
      </c>
      <c r="U576" s="22">
        <f>SUMIFS($M$1:INDEX(M:M,ROW()),$I$1:INDEX(I:I,ROW()),"&lt;&gt;*Totals:*")</f>
        <v>7924</v>
      </c>
    </row>
    <row r="577" spans="1:21" ht="12.75" customHeight="1" x14ac:dyDescent="0.25">
      <c r="A577" s="47" t="s">
        <v>0</v>
      </c>
      <c r="B577" s="23" t="s">
        <v>469</v>
      </c>
      <c r="C577" s="28">
        <v>46188</v>
      </c>
      <c r="D577" s="30" t="s">
        <v>457</v>
      </c>
      <c r="E577" s="28" t="s">
        <v>463</v>
      </c>
      <c r="F577" s="28" t="s">
        <v>464</v>
      </c>
      <c r="G577" s="28">
        <v>46217</v>
      </c>
      <c r="H577" s="23" t="s">
        <v>5</v>
      </c>
      <c r="I577" s="33"/>
      <c r="J577" s="23">
        <v>0</v>
      </c>
      <c r="K577" s="23">
        <v>1</v>
      </c>
      <c r="L577" s="35">
        <v>1</v>
      </c>
      <c r="M577" s="23">
        <v>3</v>
      </c>
      <c r="N577" s="23">
        <v>0</v>
      </c>
      <c r="O577" s="49">
        <v>1</v>
      </c>
      <c r="P577" s="45" t="s">
        <v>375</v>
      </c>
      <c r="Q577" s="23" t="s">
        <v>254</v>
      </c>
      <c r="R577" s="23" t="s">
        <v>459</v>
      </c>
      <c r="S577" s="23" t="s">
        <v>9</v>
      </c>
      <c r="T577" s="23">
        <f>SUMIFS($J$1:INDEX(J:J,ROW()-1),$I$1:INDEX(I:I,ROW()-1),"&lt;&gt;Totals:")</f>
        <v>265</v>
      </c>
      <c r="U577" s="22">
        <f>SUMIFS($M$1:INDEX(M:M,ROW()),$I$1:INDEX(I:I,ROW()),"&lt;&gt;*Totals:*")</f>
        <v>7927</v>
      </c>
    </row>
    <row r="578" spans="1:21" ht="12.75" customHeight="1" x14ac:dyDescent="0.25">
      <c r="A578" s="47" t="s">
        <v>0</v>
      </c>
      <c r="B578" s="23" t="s">
        <v>469</v>
      </c>
      <c r="C578" s="28">
        <v>46189</v>
      </c>
      <c r="D578" s="30" t="s">
        <v>457</v>
      </c>
      <c r="E578" s="28" t="s">
        <v>463</v>
      </c>
      <c r="F578" s="28" t="s">
        <v>464</v>
      </c>
      <c r="G578" s="28">
        <v>46218</v>
      </c>
      <c r="H578" s="23" t="s">
        <v>5</v>
      </c>
      <c r="I578" s="33"/>
      <c r="J578" s="23">
        <v>0</v>
      </c>
      <c r="K578" s="23">
        <v>1</v>
      </c>
      <c r="L578" s="35">
        <v>1</v>
      </c>
      <c r="M578" s="23">
        <v>9</v>
      </c>
      <c r="N578" s="23">
        <v>0</v>
      </c>
      <c r="O578" s="49">
        <v>1</v>
      </c>
      <c r="P578" s="45" t="s">
        <v>375</v>
      </c>
      <c r="Q578" s="23" t="s">
        <v>254</v>
      </c>
      <c r="R578" s="23" t="s">
        <v>459</v>
      </c>
      <c r="S578" s="23" t="s">
        <v>9</v>
      </c>
      <c r="T578" s="23">
        <f>SUMIFS($J$1:INDEX(J:J,ROW()-1),$I$1:INDEX(I:I,ROW()-1),"&lt;&gt;Totals:")</f>
        <v>265</v>
      </c>
      <c r="U578" s="22">
        <f>SUMIFS($M$1:INDEX(M:M,ROW()),$I$1:INDEX(I:I,ROW()),"&lt;&gt;*Totals:*")</f>
        <v>7936</v>
      </c>
    </row>
    <row r="579" spans="1:21" ht="12.75" customHeight="1" x14ac:dyDescent="0.25">
      <c r="A579" s="47" t="s">
        <v>0</v>
      </c>
      <c r="B579" s="23" t="s">
        <v>469</v>
      </c>
      <c r="C579" s="28">
        <v>46201</v>
      </c>
      <c r="D579" s="30" t="s">
        <v>457</v>
      </c>
      <c r="E579" s="28" t="s">
        <v>463</v>
      </c>
      <c r="F579" s="28" t="s">
        <v>464</v>
      </c>
      <c r="G579" s="28">
        <v>46230</v>
      </c>
      <c r="H579" s="23" t="s">
        <v>5</v>
      </c>
      <c r="I579" s="33"/>
      <c r="J579" s="23">
        <v>0</v>
      </c>
      <c r="K579" s="23">
        <v>1</v>
      </c>
      <c r="L579" s="35">
        <v>1</v>
      </c>
      <c r="M579" s="23">
        <v>3</v>
      </c>
      <c r="N579" s="23">
        <v>0</v>
      </c>
      <c r="O579" s="49">
        <v>1</v>
      </c>
      <c r="P579" s="45" t="s">
        <v>375</v>
      </c>
      <c r="Q579" s="23" t="s">
        <v>254</v>
      </c>
      <c r="R579" s="23" t="s">
        <v>459</v>
      </c>
      <c r="S579" s="23" t="s">
        <v>9</v>
      </c>
      <c r="T579" s="23">
        <f>SUMIFS($J$1:INDEX(J:J,ROW()-1),$I$1:INDEX(I:I,ROW()-1),"&lt;&gt;Totals:")</f>
        <v>265</v>
      </c>
      <c r="U579" s="22">
        <f>SUMIFS($M$1:INDEX(M:M,ROW()),$I$1:INDEX(I:I,ROW()),"&lt;&gt;*Totals:*")</f>
        <v>7939</v>
      </c>
    </row>
    <row r="580" spans="1:21" ht="12.75" customHeight="1" x14ac:dyDescent="0.25">
      <c r="A580" s="47" t="s">
        <v>10</v>
      </c>
      <c r="B580" s="23" t="s">
        <v>462</v>
      </c>
      <c r="C580" s="28">
        <v>46203</v>
      </c>
      <c r="D580" s="30" t="s">
        <v>457</v>
      </c>
      <c r="E580" s="28" t="s">
        <v>463</v>
      </c>
      <c r="F580" s="28" t="s">
        <v>464</v>
      </c>
      <c r="G580" s="28">
        <v>46232</v>
      </c>
      <c r="H580" s="23" t="s">
        <v>5</v>
      </c>
      <c r="I580" s="33"/>
      <c r="J580" s="23">
        <v>0</v>
      </c>
      <c r="K580" s="23">
        <v>1</v>
      </c>
      <c r="L580" s="35">
        <v>1</v>
      </c>
      <c r="M580" s="23">
        <v>7</v>
      </c>
      <c r="N580" s="23">
        <v>0</v>
      </c>
      <c r="O580" s="49">
        <v>1</v>
      </c>
      <c r="P580" s="45" t="s">
        <v>375</v>
      </c>
      <c r="Q580" s="23" t="s">
        <v>254</v>
      </c>
      <c r="R580" s="23" t="s">
        <v>459</v>
      </c>
      <c r="S580" s="23" t="s">
        <v>9</v>
      </c>
      <c r="T580" s="23">
        <f>SUMIFS($J$1:INDEX(J:J,ROW()-1),$I$1:INDEX(I:I,ROW()-1),"&lt;&gt;Totals:")</f>
        <v>265</v>
      </c>
      <c r="U580" s="22">
        <f>SUMIFS($M$1:INDEX(M:M,ROW()),$I$1:INDEX(I:I,ROW()),"&lt;&gt;*Totals:*")</f>
        <v>7946</v>
      </c>
    </row>
    <row r="581" spans="1:21" ht="12.75" customHeight="1" thickBot="1" x14ac:dyDescent="0.3">
      <c r="A581" s="51" t="s">
        <v>15</v>
      </c>
      <c r="B581" s="20" t="s">
        <v>462</v>
      </c>
      <c r="C581" s="25">
        <v>46203</v>
      </c>
      <c r="D581" s="27" t="s">
        <v>457</v>
      </c>
      <c r="E581" s="25" t="s">
        <v>463</v>
      </c>
      <c r="F581" s="25" t="s">
        <v>464</v>
      </c>
      <c r="G581" s="25">
        <v>46232</v>
      </c>
      <c r="H581" s="20" t="s">
        <v>5</v>
      </c>
      <c r="I581" s="32"/>
      <c r="J581" s="20">
        <v>0</v>
      </c>
      <c r="K581" s="20">
        <v>1</v>
      </c>
      <c r="L581" s="34">
        <v>1</v>
      </c>
      <c r="M581" s="20">
        <v>2</v>
      </c>
      <c r="N581" s="20">
        <v>0</v>
      </c>
      <c r="O581" s="54">
        <v>1</v>
      </c>
      <c r="P581" s="45" t="s">
        <v>375</v>
      </c>
      <c r="Q581" s="23" t="s">
        <v>254</v>
      </c>
      <c r="R581" s="23" t="s">
        <v>459</v>
      </c>
      <c r="S581" s="23" t="s">
        <v>9</v>
      </c>
      <c r="T581" s="23">
        <f>SUMIFS($J$1:INDEX(J:J,ROW()-1),$I$1:INDEX(I:I,ROW()-1),"&lt;&gt;Totals:")</f>
        <v>265</v>
      </c>
      <c r="U581" s="22">
        <f>SUMIFS($M$1:INDEX(M:M,ROW()),$I$1:INDEX(I:I,ROW()),"&lt;&gt;*Totals:*")</f>
        <v>7948</v>
      </c>
    </row>
    <row r="582" spans="1:21" ht="17.25" customHeight="1" x14ac:dyDescent="0.25">
      <c r="A582" s="60"/>
      <c r="B582" s="50"/>
      <c r="C582" s="55"/>
      <c r="D582" s="56"/>
      <c r="E582" s="56"/>
      <c r="F582" s="57"/>
      <c r="G582" s="57"/>
      <c r="H582" s="57"/>
      <c r="I582" s="58" t="s">
        <v>1087</v>
      </c>
      <c r="J582" s="57">
        <f>SUM(J563:J581)</f>
        <v>6</v>
      </c>
      <c r="K582" s="57">
        <f>SUM(K563:K581)</f>
        <v>19</v>
      </c>
      <c r="L582" s="59">
        <f>(SUM(K563:K581) - SUM(J563:J581)) / SUM(K563:K581)</f>
        <v>0.68421052631578949</v>
      </c>
      <c r="M582" s="57">
        <f>SUM(M563:M581)</f>
        <v>321</v>
      </c>
      <c r="N582" s="56">
        <f>SUM(N563:N581)</f>
        <v>147</v>
      </c>
      <c r="O582" s="61">
        <f>(SUM(M563:M581) - SUM(N563:N581)) / SUM(M563:M581)</f>
        <v>0.54205607476635509</v>
      </c>
      <c r="P582" s="52"/>
      <c r="Q582" s="53"/>
      <c r="R582" s="52"/>
      <c r="S582" s="52"/>
      <c r="T582" s="52"/>
      <c r="U582" s="52"/>
    </row>
    <row r="583" spans="1:21" x14ac:dyDescent="0.25">
      <c r="A583" s="70"/>
      <c r="B583" s="64"/>
      <c r="C583" s="64"/>
      <c r="D583" s="64"/>
      <c r="E583" s="64"/>
      <c r="F583" s="64"/>
      <c r="G583" s="64"/>
      <c r="H583" s="64"/>
      <c r="I583" s="65" t="s">
        <v>1088</v>
      </c>
      <c r="J583" s="64"/>
      <c r="K583" s="64"/>
      <c r="L583" s="65" t="s">
        <v>1089</v>
      </c>
      <c r="M583" s="64"/>
      <c r="N583" s="64"/>
      <c r="O583" s="72"/>
      <c r="P583" s="62"/>
      <c r="Q583" s="62"/>
      <c r="R583" s="62"/>
      <c r="S583" s="62"/>
      <c r="T583" s="62"/>
      <c r="U583" s="62"/>
    </row>
    <row r="584" spans="1:21" ht="15.75" thickBot="1" x14ac:dyDescent="0.3">
      <c r="A584" s="71"/>
      <c r="B584" s="66"/>
      <c r="C584" s="67"/>
      <c r="D584" s="66"/>
      <c r="E584" s="66"/>
      <c r="F584" s="66"/>
      <c r="G584" s="67"/>
      <c r="H584" s="66"/>
      <c r="I584" s="68">
        <v>265</v>
      </c>
      <c r="J584" s="66"/>
      <c r="K584" s="66"/>
      <c r="L584" s="69">
        <v>7948</v>
      </c>
      <c r="M584" s="66"/>
      <c r="N584" s="66"/>
      <c r="O584" s="73"/>
      <c r="P584" s="63"/>
      <c r="Q584" s="63"/>
      <c r="R584" s="63"/>
      <c r="S584" s="63"/>
      <c r="T584" s="63"/>
      <c r="U584" s="63"/>
    </row>
    <row r="585" spans="1:21" ht="15.75" thickBot="1" x14ac:dyDescent="0.3">
      <c r="C585" s="1"/>
      <c r="G585" s="1"/>
    </row>
    <row r="586" spans="1:21" x14ac:dyDescent="0.25">
      <c r="A586" s="9"/>
      <c r="B586" s="10"/>
      <c r="C586" s="11"/>
      <c r="D586" s="11"/>
      <c r="E586" s="11"/>
      <c r="F586" s="11"/>
      <c r="G586" s="11"/>
      <c r="H586" s="12"/>
      <c r="I586" s="11"/>
      <c r="J586" s="13"/>
      <c r="K586" s="13"/>
      <c r="L586" s="13"/>
      <c r="M586" s="13"/>
      <c r="N586" s="11"/>
      <c r="O586" s="14"/>
      <c r="P586" s="4"/>
      <c r="Q586" s="5"/>
      <c r="R586" s="4"/>
      <c r="S586" s="4"/>
      <c r="T586" s="4"/>
      <c r="U586" s="4"/>
    </row>
    <row r="587" spans="1:21" x14ac:dyDescent="0.25">
      <c r="A587" s="6" t="s">
        <v>1091</v>
      </c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15"/>
      <c r="P587" s="3"/>
      <c r="Q587" s="3"/>
      <c r="R587" s="3"/>
      <c r="S587" s="3"/>
      <c r="T587" s="3"/>
      <c r="U587" s="3"/>
    </row>
    <row r="588" spans="1:21" x14ac:dyDescent="0.25">
      <c r="A588" s="7" t="s">
        <v>7</v>
      </c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15"/>
      <c r="P588" s="3"/>
      <c r="Q588" s="3"/>
      <c r="R588" s="3"/>
      <c r="S588" s="3"/>
      <c r="T588" s="3"/>
      <c r="U588" s="3"/>
    </row>
    <row r="589" spans="1:21" ht="15.75" thickBot="1" x14ac:dyDescent="0.3">
      <c r="A589" s="8"/>
      <c r="B589" s="8"/>
      <c r="C589" s="74"/>
      <c r="D589" s="8"/>
      <c r="E589" s="8"/>
      <c r="F589" s="8"/>
      <c r="G589" s="74"/>
      <c r="H589" s="8"/>
      <c r="I589" s="8"/>
      <c r="J589" s="8"/>
      <c r="K589" s="8"/>
      <c r="L589" s="8"/>
      <c r="M589" s="8"/>
      <c r="N589" s="8"/>
      <c r="O589" s="16"/>
      <c r="P589" s="3"/>
      <c r="Q589" s="3"/>
      <c r="R589" s="3"/>
      <c r="S589" s="3"/>
      <c r="T589" s="3"/>
      <c r="U589" s="3"/>
    </row>
    <row r="590" spans="1:21" ht="17.25" customHeight="1" thickBot="1" x14ac:dyDescent="0.3">
      <c r="A590" s="19" t="s">
        <v>1068</v>
      </c>
      <c r="B590" s="24" t="s">
        <v>1069</v>
      </c>
      <c r="C590" s="26" t="s">
        <v>1070</v>
      </c>
      <c r="D590" s="29" t="s">
        <v>1071</v>
      </c>
      <c r="E590" s="26" t="s">
        <v>1072</v>
      </c>
      <c r="F590" s="31" t="s">
        <v>1073</v>
      </c>
      <c r="G590" s="31" t="s">
        <v>1074</v>
      </c>
      <c r="H590" s="31" t="s">
        <v>1075</v>
      </c>
      <c r="I590" s="29" t="s">
        <v>14</v>
      </c>
      <c r="J590" s="29" t="s">
        <v>1076</v>
      </c>
      <c r="K590" s="29" t="s">
        <v>1077</v>
      </c>
      <c r="L590" s="29" t="s">
        <v>1078</v>
      </c>
      <c r="M590" s="29" t="s">
        <v>1079</v>
      </c>
      <c r="N590" s="29" t="s">
        <v>1080</v>
      </c>
      <c r="O590" s="36" t="s">
        <v>1081</v>
      </c>
      <c r="P590" s="37" t="s">
        <v>1082</v>
      </c>
      <c r="Q590" s="38" t="s">
        <v>1083</v>
      </c>
      <c r="R590" s="38" t="s">
        <v>1084</v>
      </c>
      <c r="S590" s="38" t="s">
        <v>1085</v>
      </c>
      <c r="T590" s="38" t="s">
        <v>1086</v>
      </c>
      <c r="U590" s="39" t="s">
        <v>1086</v>
      </c>
    </row>
    <row r="591" spans="1:21" ht="12.75" customHeight="1" x14ac:dyDescent="0.25">
      <c r="A591" s="46" t="s">
        <v>17</v>
      </c>
      <c r="B591" s="40" t="s">
        <v>470</v>
      </c>
      <c r="C591" s="41">
        <v>46209</v>
      </c>
      <c r="D591" s="42" t="s">
        <v>471</v>
      </c>
      <c r="E591" s="41" t="s">
        <v>472</v>
      </c>
      <c r="F591" s="41" t="s">
        <v>464</v>
      </c>
      <c r="G591" s="41">
        <v>46238</v>
      </c>
      <c r="H591" s="40" t="s">
        <v>5</v>
      </c>
      <c r="I591" s="43"/>
      <c r="J591" s="40">
        <v>0</v>
      </c>
      <c r="K591" s="40">
        <v>1</v>
      </c>
      <c r="L591" s="44">
        <v>1</v>
      </c>
      <c r="M591" s="40">
        <v>2</v>
      </c>
      <c r="N591" s="40">
        <v>0</v>
      </c>
      <c r="O591" s="48">
        <v>1</v>
      </c>
      <c r="P591" s="45" t="s">
        <v>375</v>
      </c>
      <c r="Q591" s="23" t="s">
        <v>7</v>
      </c>
      <c r="R591" s="23" t="s">
        <v>473</v>
      </c>
      <c r="S591" s="23" t="s">
        <v>9</v>
      </c>
      <c r="T591" s="23">
        <f>SUMIFS($J$1:INDEX(J:J,ROW()-1),$I$1:INDEX(I:I,ROW()-1),"&lt;&gt;Totals:")</f>
        <v>265</v>
      </c>
      <c r="U591" s="22">
        <f>SUMIFS($M$1:INDEX(M:M,ROW()),$I$1:INDEX(I:I,ROW()),"&lt;&gt;*Totals:*")</f>
        <v>7950</v>
      </c>
    </row>
    <row r="592" spans="1:21" ht="12.75" customHeight="1" x14ac:dyDescent="0.25">
      <c r="A592" s="47" t="s">
        <v>17</v>
      </c>
      <c r="B592" s="23" t="s">
        <v>474</v>
      </c>
      <c r="C592" s="28">
        <v>46209</v>
      </c>
      <c r="D592" s="30" t="s">
        <v>471</v>
      </c>
      <c r="E592" s="28" t="s">
        <v>472</v>
      </c>
      <c r="F592" s="28" t="s">
        <v>475</v>
      </c>
      <c r="G592" s="28">
        <v>46238</v>
      </c>
      <c r="H592" s="23" t="s">
        <v>5</v>
      </c>
      <c r="I592" s="33"/>
      <c r="J592" s="23">
        <v>0</v>
      </c>
      <c r="K592" s="23">
        <v>1</v>
      </c>
      <c r="L592" s="35">
        <v>1</v>
      </c>
      <c r="M592" s="23">
        <v>24</v>
      </c>
      <c r="N592" s="23">
        <v>0</v>
      </c>
      <c r="O592" s="49">
        <v>1</v>
      </c>
      <c r="P592" s="45" t="s">
        <v>375</v>
      </c>
      <c r="Q592" s="23" t="s">
        <v>7</v>
      </c>
      <c r="R592" s="23" t="s">
        <v>473</v>
      </c>
      <c r="S592" s="23" t="s">
        <v>9</v>
      </c>
      <c r="T592" s="23">
        <f>SUMIFS($J$1:INDEX(J:J,ROW()-1),$I$1:INDEX(I:I,ROW()-1),"&lt;&gt;Totals:")</f>
        <v>265</v>
      </c>
      <c r="U592" s="22">
        <f>SUMIFS($M$1:INDEX(M:M,ROW()),$I$1:INDEX(I:I,ROW()),"&lt;&gt;*Totals:*")</f>
        <v>7974</v>
      </c>
    </row>
    <row r="593" spans="1:21" ht="12.75" customHeight="1" x14ac:dyDescent="0.25">
      <c r="A593" s="47" t="s">
        <v>10</v>
      </c>
      <c r="B593" s="23" t="s">
        <v>476</v>
      </c>
      <c r="C593" s="28">
        <v>46216</v>
      </c>
      <c r="D593" s="30" t="s">
        <v>471</v>
      </c>
      <c r="E593" s="28" t="s">
        <v>477</v>
      </c>
      <c r="F593" s="28" t="s">
        <v>478</v>
      </c>
      <c r="G593" s="28">
        <v>46245</v>
      </c>
      <c r="H593" s="23" t="s">
        <v>5</v>
      </c>
      <c r="I593" s="33"/>
      <c r="J593" s="23">
        <v>0</v>
      </c>
      <c r="K593" s="23">
        <v>1</v>
      </c>
      <c r="L593" s="35">
        <v>1</v>
      </c>
      <c r="M593" s="23">
        <v>117</v>
      </c>
      <c r="N593" s="23">
        <v>0</v>
      </c>
      <c r="O593" s="49">
        <v>1</v>
      </c>
      <c r="P593" s="45" t="s">
        <v>375</v>
      </c>
      <c r="Q593" s="23" t="s">
        <v>7</v>
      </c>
      <c r="R593" s="23" t="s">
        <v>473</v>
      </c>
      <c r="S593" s="23" t="s">
        <v>9</v>
      </c>
      <c r="T593" s="23">
        <f>SUMIFS($J$1:INDEX(J:J,ROW()-1),$I$1:INDEX(I:I,ROW()-1),"&lt;&gt;Totals:")</f>
        <v>265</v>
      </c>
      <c r="U593" s="22">
        <f>SUMIFS($M$1:INDEX(M:M,ROW()),$I$1:INDEX(I:I,ROW()),"&lt;&gt;*Totals:*")</f>
        <v>8091</v>
      </c>
    </row>
    <row r="594" spans="1:21" ht="12.75" customHeight="1" x14ac:dyDescent="0.25">
      <c r="A594" s="47" t="s">
        <v>10</v>
      </c>
      <c r="B594" s="23" t="s">
        <v>479</v>
      </c>
      <c r="C594" s="28">
        <v>46216</v>
      </c>
      <c r="D594" s="30" t="s">
        <v>471</v>
      </c>
      <c r="E594" s="28"/>
      <c r="F594" s="28" t="s">
        <v>480</v>
      </c>
      <c r="G594" s="28">
        <v>46245</v>
      </c>
      <c r="H594" s="23" t="s">
        <v>5</v>
      </c>
      <c r="I594" s="33" t="s">
        <v>113</v>
      </c>
      <c r="J594" s="23">
        <v>0</v>
      </c>
      <c r="K594" s="23">
        <v>1</v>
      </c>
      <c r="L594" s="35">
        <v>1</v>
      </c>
      <c r="M594" s="23">
        <v>2</v>
      </c>
      <c r="N594" s="23">
        <v>0</v>
      </c>
      <c r="O594" s="49">
        <v>1</v>
      </c>
      <c r="P594" s="45" t="s">
        <v>375</v>
      </c>
      <c r="Q594" s="23" t="s">
        <v>7</v>
      </c>
      <c r="R594" s="23" t="s">
        <v>473</v>
      </c>
      <c r="S594" s="23" t="s">
        <v>9</v>
      </c>
      <c r="T594" s="23">
        <f>SUMIFS($J$1:INDEX(J:J,ROW()-1),$I$1:INDEX(I:I,ROW()-1),"&lt;&gt;Totals:")</f>
        <v>265</v>
      </c>
      <c r="U594" s="22">
        <f>SUMIFS($M$1:INDEX(M:M,ROW()),$I$1:INDEX(I:I,ROW()),"&lt;&gt;*Totals:*")</f>
        <v>8093</v>
      </c>
    </row>
    <row r="595" spans="1:21" ht="12.75" customHeight="1" x14ac:dyDescent="0.25">
      <c r="A595" s="47" t="s">
        <v>15</v>
      </c>
      <c r="B595" s="23" t="s">
        <v>476</v>
      </c>
      <c r="C595" s="28">
        <v>46216</v>
      </c>
      <c r="D595" s="30" t="s">
        <v>471</v>
      </c>
      <c r="E595" s="28" t="s">
        <v>472</v>
      </c>
      <c r="F595" s="28" t="s">
        <v>478</v>
      </c>
      <c r="G595" s="28">
        <v>46245</v>
      </c>
      <c r="H595" s="23" t="s">
        <v>5</v>
      </c>
      <c r="I595" s="33"/>
      <c r="J595" s="23">
        <v>0</v>
      </c>
      <c r="K595" s="23">
        <v>1</v>
      </c>
      <c r="L595" s="35">
        <v>1</v>
      </c>
      <c r="M595" s="23">
        <v>33</v>
      </c>
      <c r="N595" s="23">
        <v>0</v>
      </c>
      <c r="O595" s="49">
        <v>1</v>
      </c>
      <c r="P595" s="45" t="s">
        <v>375</v>
      </c>
      <c r="Q595" s="23" t="s">
        <v>7</v>
      </c>
      <c r="R595" s="23" t="s">
        <v>473</v>
      </c>
      <c r="S595" s="23" t="s">
        <v>9</v>
      </c>
      <c r="T595" s="23">
        <f>SUMIFS($J$1:INDEX(J:J,ROW()-1),$I$1:INDEX(I:I,ROW()-1),"&lt;&gt;Totals:")</f>
        <v>265</v>
      </c>
      <c r="U595" s="22">
        <f>SUMIFS($M$1:INDEX(M:M,ROW()),$I$1:INDEX(I:I,ROW()),"&lt;&gt;*Totals:*")</f>
        <v>8126</v>
      </c>
    </row>
    <row r="596" spans="1:21" ht="12.75" customHeight="1" x14ac:dyDescent="0.25">
      <c r="A596" s="47" t="s">
        <v>36</v>
      </c>
      <c r="B596" s="23" t="s">
        <v>481</v>
      </c>
      <c r="C596" s="28">
        <v>46216</v>
      </c>
      <c r="D596" s="30" t="s">
        <v>471</v>
      </c>
      <c r="E596" s="28" t="s">
        <v>482</v>
      </c>
      <c r="F596" s="28" t="s">
        <v>483</v>
      </c>
      <c r="G596" s="28">
        <v>46245</v>
      </c>
      <c r="H596" s="23" t="s">
        <v>5</v>
      </c>
      <c r="I596" s="33"/>
      <c r="J596" s="23">
        <v>0</v>
      </c>
      <c r="K596" s="23">
        <v>1</v>
      </c>
      <c r="L596" s="35">
        <v>1</v>
      </c>
      <c r="M596" s="23">
        <v>5</v>
      </c>
      <c r="N596" s="23">
        <v>0</v>
      </c>
      <c r="O596" s="49">
        <v>1</v>
      </c>
      <c r="P596" s="45" t="s">
        <v>375</v>
      </c>
      <c r="Q596" s="23" t="s">
        <v>7</v>
      </c>
      <c r="R596" s="23" t="s">
        <v>473</v>
      </c>
      <c r="S596" s="23" t="s">
        <v>9</v>
      </c>
      <c r="T596" s="23">
        <f>SUMIFS($J$1:INDEX(J:J,ROW()-1),$I$1:INDEX(I:I,ROW()-1),"&lt;&gt;Totals:")</f>
        <v>265</v>
      </c>
      <c r="U596" s="22">
        <f>SUMIFS($M$1:INDEX(M:M,ROW()),$I$1:INDEX(I:I,ROW()),"&lt;&gt;*Totals:*")</f>
        <v>8131</v>
      </c>
    </row>
    <row r="597" spans="1:21" ht="12.75" customHeight="1" x14ac:dyDescent="0.25">
      <c r="A597" s="47" t="s">
        <v>40</v>
      </c>
      <c r="B597" s="23" t="s">
        <v>484</v>
      </c>
      <c r="C597" s="28">
        <v>46216</v>
      </c>
      <c r="D597" s="30" t="s">
        <v>471</v>
      </c>
      <c r="E597" s="28" t="s">
        <v>485</v>
      </c>
      <c r="F597" s="28" t="s">
        <v>486</v>
      </c>
      <c r="G597" s="28">
        <v>46245</v>
      </c>
      <c r="H597" s="23" t="s">
        <v>5</v>
      </c>
      <c r="I597" s="33"/>
      <c r="J597" s="23">
        <v>0</v>
      </c>
      <c r="K597" s="23">
        <v>1</v>
      </c>
      <c r="L597" s="35">
        <v>1</v>
      </c>
      <c r="M597" s="23">
        <v>13</v>
      </c>
      <c r="N597" s="23">
        <v>0</v>
      </c>
      <c r="O597" s="49">
        <v>1</v>
      </c>
      <c r="P597" s="45" t="s">
        <v>375</v>
      </c>
      <c r="Q597" s="23" t="s">
        <v>7</v>
      </c>
      <c r="R597" s="23" t="s">
        <v>473</v>
      </c>
      <c r="S597" s="23" t="s">
        <v>9</v>
      </c>
      <c r="T597" s="23">
        <f>SUMIFS($J$1:INDEX(J:J,ROW()-1),$I$1:INDEX(I:I,ROW()-1),"&lt;&gt;Totals:")</f>
        <v>265</v>
      </c>
      <c r="U597" s="22">
        <f>SUMIFS($M$1:INDEX(M:M,ROW()),$I$1:INDEX(I:I,ROW()),"&lt;&gt;*Totals:*")</f>
        <v>8144</v>
      </c>
    </row>
    <row r="598" spans="1:21" ht="12.75" customHeight="1" x14ac:dyDescent="0.25">
      <c r="A598" s="47" t="s">
        <v>0</v>
      </c>
      <c r="B598" s="23" t="s">
        <v>487</v>
      </c>
      <c r="C598" s="28">
        <v>46220</v>
      </c>
      <c r="D598" s="30" t="s">
        <v>471</v>
      </c>
      <c r="E598" s="28" t="s">
        <v>482</v>
      </c>
      <c r="F598" s="28" t="s">
        <v>488</v>
      </c>
      <c r="G598" s="28">
        <v>46249</v>
      </c>
      <c r="H598" s="23" t="s">
        <v>5</v>
      </c>
      <c r="I598" s="33"/>
      <c r="J598" s="23">
        <v>0</v>
      </c>
      <c r="K598" s="23">
        <v>1</v>
      </c>
      <c r="L598" s="35">
        <v>1</v>
      </c>
      <c r="M598" s="23">
        <v>131</v>
      </c>
      <c r="N598" s="23">
        <v>0</v>
      </c>
      <c r="O598" s="49">
        <v>1</v>
      </c>
      <c r="P598" s="45" t="s">
        <v>375</v>
      </c>
      <c r="Q598" s="23" t="s">
        <v>7</v>
      </c>
      <c r="R598" s="23" t="s">
        <v>473</v>
      </c>
      <c r="S598" s="23" t="s">
        <v>9</v>
      </c>
      <c r="T598" s="23">
        <f>SUMIFS($J$1:INDEX(J:J,ROW()-1),$I$1:INDEX(I:I,ROW()-1),"&lt;&gt;Totals:")</f>
        <v>265</v>
      </c>
      <c r="U598" s="22">
        <f>SUMIFS($M$1:INDEX(M:M,ROW()),$I$1:INDEX(I:I,ROW()),"&lt;&gt;*Totals:*")</f>
        <v>8275</v>
      </c>
    </row>
    <row r="599" spans="1:21" ht="12.75" customHeight="1" x14ac:dyDescent="0.25">
      <c r="A599" s="47" t="s">
        <v>10</v>
      </c>
      <c r="B599" s="23" t="s">
        <v>476</v>
      </c>
      <c r="C599" s="28">
        <v>46222</v>
      </c>
      <c r="D599" s="30" t="s">
        <v>471</v>
      </c>
      <c r="E599" s="28" t="s">
        <v>489</v>
      </c>
      <c r="F599" s="28" t="s">
        <v>478</v>
      </c>
      <c r="G599" s="28">
        <v>46251</v>
      </c>
      <c r="H599" s="23" t="s">
        <v>5</v>
      </c>
      <c r="I599" s="33"/>
      <c r="J599" s="23">
        <v>0</v>
      </c>
      <c r="K599" s="23">
        <v>1</v>
      </c>
      <c r="L599" s="35">
        <v>1</v>
      </c>
      <c r="M599" s="23">
        <v>6</v>
      </c>
      <c r="N599" s="23">
        <v>0</v>
      </c>
      <c r="O599" s="49">
        <v>1</v>
      </c>
      <c r="P599" s="45" t="s">
        <v>375</v>
      </c>
      <c r="Q599" s="23" t="s">
        <v>7</v>
      </c>
      <c r="R599" s="23" t="s">
        <v>473</v>
      </c>
      <c r="S599" s="23" t="s">
        <v>9</v>
      </c>
      <c r="T599" s="23">
        <f>SUMIFS($J$1:INDEX(J:J,ROW()-1),$I$1:INDEX(I:I,ROW()-1),"&lt;&gt;Totals:")</f>
        <v>265</v>
      </c>
      <c r="U599" s="22">
        <f>SUMIFS($M$1:INDEX(M:M,ROW()),$I$1:INDEX(I:I,ROW()),"&lt;&gt;*Totals:*")</f>
        <v>8281</v>
      </c>
    </row>
    <row r="600" spans="1:21" ht="12.75" customHeight="1" x14ac:dyDescent="0.25">
      <c r="A600" s="47" t="s">
        <v>15</v>
      </c>
      <c r="B600" s="23" t="s">
        <v>476</v>
      </c>
      <c r="C600" s="28">
        <v>46222</v>
      </c>
      <c r="D600" s="30" t="s">
        <v>471</v>
      </c>
      <c r="E600" s="28" t="s">
        <v>472</v>
      </c>
      <c r="F600" s="28" t="s">
        <v>478</v>
      </c>
      <c r="G600" s="28">
        <v>46251</v>
      </c>
      <c r="H600" s="23" t="s">
        <v>5</v>
      </c>
      <c r="I600" s="33"/>
      <c r="J600" s="23">
        <v>0</v>
      </c>
      <c r="K600" s="23">
        <v>1</v>
      </c>
      <c r="L600" s="35">
        <v>1</v>
      </c>
      <c r="M600" s="23">
        <v>2</v>
      </c>
      <c r="N600" s="23">
        <v>0</v>
      </c>
      <c r="O600" s="49">
        <v>1</v>
      </c>
      <c r="P600" s="45" t="s">
        <v>375</v>
      </c>
      <c r="Q600" s="23" t="s">
        <v>7</v>
      </c>
      <c r="R600" s="23" t="s">
        <v>473</v>
      </c>
      <c r="S600" s="23" t="s">
        <v>9</v>
      </c>
      <c r="T600" s="23">
        <f>SUMIFS($J$1:INDEX(J:J,ROW()-1),$I$1:INDEX(I:I,ROW()-1),"&lt;&gt;Totals:")</f>
        <v>265</v>
      </c>
      <c r="U600" s="22">
        <f>SUMIFS($M$1:INDEX(M:M,ROW()),$I$1:INDEX(I:I,ROW()),"&lt;&gt;*Totals:*")</f>
        <v>8283</v>
      </c>
    </row>
    <row r="601" spans="1:21" ht="12.75" customHeight="1" x14ac:dyDescent="0.25">
      <c r="A601" s="47" t="s">
        <v>10</v>
      </c>
      <c r="B601" s="23" t="s">
        <v>490</v>
      </c>
      <c r="C601" s="28">
        <v>46229</v>
      </c>
      <c r="D601" s="30" t="s">
        <v>471</v>
      </c>
      <c r="E601" s="28" t="s">
        <v>489</v>
      </c>
      <c r="F601" s="28" t="s">
        <v>488</v>
      </c>
      <c r="G601" s="28">
        <v>46258</v>
      </c>
      <c r="H601" s="23" t="s">
        <v>5</v>
      </c>
      <c r="I601" s="33"/>
      <c r="J601" s="23">
        <v>0</v>
      </c>
      <c r="K601" s="23">
        <v>1</v>
      </c>
      <c r="L601" s="35">
        <v>1</v>
      </c>
      <c r="M601" s="23">
        <v>4</v>
      </c>
      <c r="N601" s="23">
        <v>0</v>
      </c>
      <c r="O601" s="49">
        <v>1</v>
      </c>
      <c r="P601" s="45" t="s">
        <v>375</v>
      </c>
      <c r="Q601" s="23" t="s">
        <v>7</v>
      </c>
      <c r="R601" s="23" t="s">
        <v>473</v>
      </c>
      <c r="S601" s="23" t="s">
        <v>9</v>
      </c>
      <c r="T601" s="23">
        <f>SUMIFS($J$1:INDEX(J:J,ROW()-1),$I$1:INDEX(I:I,ROW()-1),"&lt;&gt;Totals:")</f>
        <v>265</v>
      </c>
      <c r="U601" s="22">
        <f>SUMIFS($M$1:INDEX(M:M,ROW()),$I$1:INDEX(I:I,ROW()),"&lt;&gt;*Totals:*")</f>
        <v>8287</v>
      </c>
    </row>
    <row r="602" spans="1:21" ht="12.75" customHeight="1" x14ac:dyDescent="0.25">
      <c r="A602" s="47" t="s">
        <v>0</v>
      </c>
      <c r="B602" s="23" t="s">
        <v>487</v>
      </c>
      <c r="C602" s="28">
        <v>46229</v>
      </c>
      <c r="D602" s="30" t="s">
        <v>471</v>
      </c>
      <c r="E602" s="28" t="s">
        <v>482</v>
      </c>
      <c r="F602" s="28" t="s">
        <v>488</v>
      </c>
      <c r="G602" s="28">
        <v>46258</v>
      </c>
      <c r="H602" s="23" t="s">
        <v>5</v>
      </c>
      <c r="I602" s="33"/>
      <c r="J602" s="23">
        <v>0</v>
      </c>
      <c r="K602" s="23">
        <v>1</v>
      </c>
      <c r="L602" s="35">
        <v>1</v>
      </c>
      <c r="M602" s="23">
        <v>3</v>
      </c>
      <c r="N602" s="23">
        <v>0</v>
      </c>
      <c r="O602" s="49">
        <v>1</v>
      </c>
      <c r="P602" s="45" t="s">
        <v>375</v>
      </c>
      <c r="Q602" s="23" t="s">
        <v>7</v>
      </c>
      <c r="R602" s="23" t="s">
        <v>473</v>
      </c>
      <c r="S602" s="23" t="s">
        <v>9</v>
      </c>
      <c r="T602" s="23">
        <f>SUMIFS($J$1:INDEX(J:J,ROW()-1),$I$1:INDEX(I:I,ROW()-1),"&lt;&gt;Totals:")</f>
        <v>265</v>
      </c>
      <c r="U602" s="22">
        <f>SUMIFS($M$1:INDEX(M:M,ROW()),$I$1:INDEX(I:I,ROW()),"&lt;&gt;*Totals:*")</f>
        <v>8290</v>
      </c>
    </row>
    <row r="603" spans="1:21" ht="12.75" customHeight="1" thickBot="1" x14ac:dyDescent="0.3">
      <c r="A603" s="51" t="s">
        <v>0</v>
      </c>
      <c r="B603" s="20" t="s">
        <v>487</v>
      </c>
      <c r="C603" s="25">
        <v>46230</v>
      </c>
      <c r="D603" s="27" t="s">
        <v>471</v>
      </c>
      <c r="E603" s="25" t="s">
        <v>482</v>
      </c>
      <c r="F603" s="25" t="s">
        <v>488</v>
      </c>
      <c r="G603" s="25">
        <v>46259</v>
      </c>
      <c r="H603" s="20" t="s">
        <v>5</v>
      </c>
      <c r="I603" s="32"/>
      <c r="J603" s="20">
        <v>0</v>
      </c>
      <c r="K603" s="20">
        <v>1</v>
      </c>
      <c r="L603" s="34">
        <v>1</v>
      </c>
      <c r="M603" s="20">
        <v>9</v>
      </c>
      <c r="N603" s="20">
        <v>0</v>
      </c>
      <c r="O603" s="54">
        <v>1</v>
      </c>
      <c r="P603" s="45" t="s">
        <v>375</v>
      </c>
      <c r="Q603" s="23" t="s">
        <v>7</v>
      </c>
      <c r="R603" s="23" t="s">
        <v>473</v>
      </c>
      <c r="S603" s="23" t="s">
        <v>9</v>
      </c>
      <c r="T603" s="23">
        <f>SUMIFS($J$1:INDEX(J:J,ROW()-1),$I$1:INDEX(I:I,ROW()-1),"&lt;&gt;Totals:")</f>
        <v>265</v>
      </c>
      <c r="U603" s="22">
        <f>SUMIFS($M$1:INDEX(M:M,ROW()),$I$1:INDEX(I:I,ROW()),"&lt;&gt;*Totals:*")</f>
        <v>8299</v>
      </c>
    </row>
    <row r="604" spans="1:21" ht="17.25" customHeight="1" x14ac:dyDescent="0.25">
      <c r="A604" s="60"/>
      <c r="B604" s="50"/>
      <c r="C604" s="55"/>
      <c r="D604" s="56"/>
      <c r="E604" s="56"/>
      <c r="F604" s="57"/>
      <c r="G604" s="57"/>
      <c r="H604" s="57"/>
      <c r="I604" s="58" t="s">
        <v>1087</v>
      </c>
      <c r="J604" s="57">
        <f>SUM(J591:J603)</f>
        <v>0</v>
      </c>
      <c r="K604" s="57">
        <f>SUM(K591:K603)</f>
        <v>13</v>
      </c>
      <c r="L604" s="59">
        <f>(SUM(K591:K603) - SUM(J591:J603)) / SUM(K591:K603)</f>
        <v>1</v>
      </c>
      <c r="M604" s="57">
        <f>SUM(M591:M603)</f>
        <v>351</v>
      </c>
      <c r="N604" s="56">
        <f>SUM(N591:N603)</f>
        <v>0</v>
      </c>
      <c r="O604" s="61">
        <f>(SUM(M591:M603) - SUM(N591:N603)) / SUM(M591:M603)</f>
        <v>1</v>
      </c>
      <c r="P604" s="52"/>
      <c r="Q604" s="53"/>
      <c r="R604" s="52"/>
      <c r="S604" s="52"/>
      <c r="T604" s="52"/>
      <c r="U604" s="52"/>
    </row>
    <row r="605" spans="1:21" x14ac:dyDescent="0.25">
      <c r="A605" s="70"/>
      <c r="B605" s="64"/>
      <c r="C605" s="64"/>
      <c r="D605" s="64"/>
      <c r="E605" s="64"/>
      <c r="F605" s="64"/>
      <c r="G605" s="64"/>
      <c r="H605" s="64"/>
      <c r="I605" s="65" t="s">
        <v>1088</v>
      </c>
      <c r="J605" s="64"/>
      <c r="K605" s="64"/>
      <c r="L605" s="65" t="s">
        <v>1089</v>
      </c>
      <c r="M605" s="64"/>
      <c r="N605" s="64"/>
      <c r="O605" s="72"/>
      <c r="P605" s="62"/>
      <c r="Q605" s="62"/>
      <c r="R605" s="62"/>
      <c r="S605" s="62"/>
      <c r="T605" s="62"/>
      <c r="U605" s="62"/>
    </row>
    <row r="606" spans="1:21" ht="15.75" thickBot="1" x14ac:dyDescent="0.3">
      <c r="A606" s="71"/>
      <c r="B606" s="66"/>
      <c r="C606" s="67"/>
      <c r="D606" s="66"/>
      <c r="E606" s="66"/>
      <c r="F606" s="66"/>
      <c r="G606" s="67"/>
      <c r="H606" s="66"/>
      <c r="I606" s="68">
        <v>265</v>
      </c>
      <c r="J606" s="66"/>
      <c r="K606" s="66"/>
      <c r="L606" s="69">
        <v>8299</v>
      </c>
      <c r="M606" s="66"/>
      <c r="N606" s="66"/>
      <c r="O606" s="73"/>
      <c r="P606" s="63"/>
      <c r="Q606" s="63"/>
      <c r="R606" s="63"/>
      <c r="S606" s="63"/>
      <c r="T606" s="63"/>
      <c r="U606" s="63"/>
    </row>
    <row r="607" spans="1:21" ht="15.75" thickBot="1" x14ac:dyDescent="0.3">
      <c r="C607" s="1"/>
      <c r="G607" s="1"/>
    </row>
    <row r="608" spans="1:21" x14ac:dyDescent="0.25">
      <c r="A608" s="9"/>
      <c r="B608" s="10"/>
      <c r="C608" s="11"/>
      <c r="D608" s="11"/>
      <c r="E608" s="11"/>
      <c r="F608" s="11"/>
      <c r="G608" s="11"/>
      <c r="H608" s="12"/>
      <c r="I608" s="11"/>
      <c r="J608" s="13"/>
      <c r="K608" s="13"/>
      <c r="L608" s="13"/>
      <c r="M608" s="13"/>
      <c r="N608" s="11"/>
      <c r="O608" s="14"/>
      <c r="P608" s="4"/>
      <c r="Q608" s="5"/>
      <c r="R608" s="4"/>
      <c r="S608" s="4"/>
      <c r="T608" s="4"/>
      <c r="U608" s="4"/>
    </row>
    <row r="609" spans="1:21" x14ac:dyDescent="0.25">
      <c r="A609" s="6" t="s">
        <v>1091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15"/>
      <c r="P609" s="3"/>
      <c r="Q609" s="3"/>
      <c r="R609" s="3"/>
      <c r="S609" s="3"/>
      <c r="T609" s="3"/>
      <c r="U609" s="3"/>
    </row>
    <row r="610" spans="1:21" x14ac:dyDescent="0.25">
      <c r="A610" s="7" t="s">
        <v>24</v>
      </c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15"/>
      <c r="P610" s="3"/>
      <c r="Q610" s="3"/>
      <c r="R610" s="3"/>
      <c r="S610" s="3"/>
      <c r="T610" s="3"/>
      <c r="U610" s="3"/>
    </row>
    <row r="611" spans="1:21" ht="15.75" thickBot="1" x14ac:dyDescent="0.3">
      <c r="A611" s="8"/>
      <c r="B611" s="8"/>
      <c r="C611" s="74"/>
      <c r="D611" s="8"/>
      <c r="E611" s="8"/>
      <c r="F611" s="8"/>
      <c r="G611" s="74"/>
      <c r="H611" s="8"/>
      <c r="I611" s="8"/>
      <c r="J611" s="8"/>
      <c r="K611" s="8"/>
      <c r="L611" s="8"/>
      <c r="M611" s="8"/>
      <c r="N611" s="8"/>
      <c r="O611" s="16"/>
      <c r="P611" s="3"/>
      <c r="Q611" s="3"/>
      <c r="R611" s="3"/>
      <c r="S611" s="3"/>
      <c r="T611" s="3"/>
      <c r="U611" s="3"/>
    </row>
    <row r="612" spans="1:21" ht="17.25" customHeight="1" thickBot="1" x14ac:dyDescent="0.3">
      <c r="A612" s="19" t="s">
        <v>1068</v>
      </c>
      <c r="B612" s="24" t="s">
        <v>1069</v>
      </c>
      <c r="C612" s="26" t="s">
        <v>1070</v>
      </c>
      <c r="D612" s="29" t="s">
        <v>1071</v>
      </c>
      <c r="E612" s="26" t="s">
        <v>1072</v>
      </c>
      <c r="F612" s="31" t="s">
        <v>1073</v>
      </c>
      <c r="G612" s="31" t="s">
        <v>1074</v>
      </c>
      <c r="H612" s="31" t="s">
        <v>1075</v>
      </c>
      <c r="I612" s="29" t="s">
        <v>14</v>
      </c>
      <c r="J612" s="29" t="s">
        <v>1076</v>
      </c>
      <c r="K612" s="29" t="s">
        <v>1077</v>
      </c>
      <c r="L612" s="29" t="s">
        <v>1078</v>
      </c>
      <c r="M612" s="29" t="s">
        <v>1079</v>
      </c>
      <c r="N612" s="29" t="s">
        <v>1080</v>
      </c>
      <c r="O612" s="36" t="s">
        <v>1081</v>
      </c>
      <c r="P612" s="37" t="s">
        <v>1082</v>
      </c>
      <c r="Q612" s="38" t="s">
        <v>1083</v>
      </c>
      <c r="R612" s="38" t="s">
        <v>1084</v>
      </c>
      <c r="S612" s="38" t="s">
        <v>1085</v>
      </c>
      <c r="T612" s="38" t="s">
        <v>1086</v>
      </c>
      <c r="U612" s="39" t="s">
        <v>1086</v>
      </c>
    </row>
    <row r="613" spans="1:21" ht="12.75" customHeight="1" x14ac:dyDescent="0.25">
      <c r="A613" s="46" t="s">
        <v>17</v>
      </c>
      <c r="B613" s="40" t="s">
        <v>491</v>
      </c>
      <c r="C613" s="41">
        <v>46238</v>
      </c>
      <c r="D613" s="42" t="s">
        <v>492</v>
      </c>
      <c r="E613" s="41"/>
      <c r="F613" s="41" t="s">
        <v>493</v>
      </c>
      <c r="G613" s="41">
        <v>46267</v>
      </c>
      <c r="H613" s="40" t="s">
        <v>5</v>
      </c>
      <c r="I613" s="43" t="s">
        <v>113</v>
      </c>
      <c r="J613" s="40">
        <v>0</v>
      </c>
      <c r="K613" s="40">
        <v>1</v>
      </c>
      <c r="L613" s="44">
        <v>1</v>
      </c>
      <c r="M613" s="40">
        <v>2</v>
      </c>
      <c r="N613" s="40">
        <v>0</v>
      </c>
      <c r="O613" s="48">
        <v>1</v>
      </c>
      <c r="P613" s="45" t="s">
        <v>375</v>
      </c>
      <c r="Q613" s="23" t="s">
        <v>24</v>
      </c>
      <c r="R613" s="23" t="s">
        <v>494</v>
      </c>
      <c r="S613" s="23" t="s">
        <v>9</v>
      </c>
      <c r="T613" s="23">
        <f>SUMIFS($J$1:INDEX(J:J,ROW()-1),$I$1:INDEX(I:I,ROW()-1),"&lt;&gt;Totals:")</f>
        <v>265</v>
      </c>
      <c r="U613" s="22">
        <f>SUMIFS($M$1:INDEX(M:M,ROW()),$I$1:INDEX(I:I,ROW()),"&lt;&gt;*Totals:*")</f>
        <v>8301</v>
      </c>
    </row>
    <row r="614" spans="1:21" ht="12.75" customHeight="1" x14ac:dyDescent="0.25">
      <c r="A614" s="47" t="s">
        <v>17</v>
      </c>
      <c r="B614" s="23" t="s">
        <v>491</v>
      </c>
      <c r="C614" s="28">
        <v>46240</v>
      </c>
      <c r="D614" s="30" t="s">
        <v>492</v>
      </c>
      <c r="E614" s="28"/>
      <c r="F614" s="28" t="s">
        <v>493</v>
      </c>
      <c r="G614" s="28">
        <v>46269</v>
      </c>
      <c r="H614" s="23" t="s">
        <v>5</v>
      </c>
      <c r="I614" s="33" t="s">
        <v>113</v>
      </c>
      <c r="J614" s="23">
        <v>0</v>
      </c>
      <c r="K614" s="23">
        <v>1</v>
      </c>
      <c r="L614" s="35">
        <v>1</v>
      </c>
      <c r="M614" s="23">
        <v>1</v>
      </c>
      <c r="N614" s="23">
        <v>0</v>
      </c>
      <c r="O614" s="49">
        <v>1</v>
      </c>
      <c r="P614" s="45" t="s">
        <v>375</v>
      </c>
      <c r="Q614" s="23" t="s">
        <v>24</v>
      </c>
      <c r="R614" s="23" t="s">
        <v>494</v>
      </c>
      <c r="S614" s="23" t="s">
        <v>9</v>
      </c>
      <c r="T614" s="23">
        <f>SUMIFS($J$1:INDEX(J:J,ROW()-1),$I$1:INDEX(I:I,ROW()-1),"&lt;&gt;Totals:")</f>
        <v>265</v>
      </c>
      <c r="U614" s="22">
        <f>SUMIFS($M$1:INDEX(M:M,ROW()),$I$1:INDEX(I:I,ROW()),"&lt;&gt;*Totals:*")</f>
        <v>8302</v>
      </c>
    </row>
    <row r="615" spans="1:21" ht="12.75" customHeight="1" thickBot="1" x14ac:dyDescent="0.3">
      <c r="A615" s="51" t="s">
        <v>17</v>
      </c>
      <c r="B615" s="20" t="s">
        <v>495</v>
      </c>
      <c r="C615" s="25">
        <v>46241</v>
      </c>
      <c r="D615" s="27" t="s">
        <v>492</v>
      </c>
      <c r="E615" s="25"/>
      <c r="F615" s="25" t="s">
        <v>496</v>
      </c>
      <c r="G615" s="25">
        <v>46270</v>
      </c>
      <c r="H615" s="20" t="s">
        <v>5</v>
      </c>
      <c r="I615" s="32" t="s">
        <v>113</v>
      </c>
      <c r="J615" s="20">
        <v>0</v>
      </c>
      <c r="K615" s="20">
        <v>1</v>
      </c>
      <c r="L615" s="34">
        <v>1</v>
      </c>
      <c r="M615" s="20">
        <v>24</v>
      </c>
      <c r="N615" s="20">
        <v>0</v>
      </c>
      <c r="O615" s="54">
        <v>1</v>
      </c>
      <c r="P615" s="45" t="s">
        <v>375</v>
      </c>
      <c r="Q615" s="23" t="s">
        <v>24</v>
      </c>
      <c r="R615" s="23" t="s">
        <v>494</v>
      </c>
      <c r="S615" s="23" t="s">
        <v>9</v>
      </c>
      <c r="T615" s="23">
        <f>SUMIFS($J$1:INDEX(J:J,ROW()-1),$I$1:INDEX(I:I,ROW()-1),"&lt;&gt;Totals:")</f>
        <v>265</v>
      </c>
      <c r="U615" s="22">
        <f>SUMIFS($M$1:INDEX(M:M,ROW()),$I$1:INDEX(I:I,ROW()),"&lt;&gt;*Totals:*")</f>
        <v>8326</v>
      </c>
    </row>
    <row r="616" spans="1:21" ht="17.25" customHeight="1" x14ac:dyDescent="0.25">
      <c r="A616" s="60"/>
      <c r="B616" s="50"/>
      <c r="C616" s="55"/>
      <c r="D616" s="56"/>
      <c r="E616" s="56"/>
      <c r="F616" s="57"/>
      <c r="G616" s="57"/>
      <c r="H616" s="57"/>
      <c r="I616" s="58" t="s">
        <v>1087</v>
      </c>
      <c r="J616" s="57">
        <f>SUM(J613:J615)</f>
        <v>0</v>
      </c>
      <c r="K616" s="57">
        <f>SUM(K613:K615)</f>
        <v>3</v>
      </c>
      <c r="L616" s="59">
        <f>(SUM(K613:K615) - SUM(J613:J615)) / SUM(K613:K615)</f>
        <v>1</v>
      </c>
      <c r="M616" s="57">
        <f>SUM(M613:M615)</f>
        <v>27</v>
      </c>
      <c r="N616" s="56">
        <f>SUM(N613:N615)</f>
        <v>0</v>
      </c>
      <c r="O616" s="61">
        <f>(SUM(M613:M615) - SUM(N613:N615)) / SUM(M613:M615)</f>
        <v>1</v>
      </c>
      <c r="P616" s="52"/>
      <c r="Q616" s="53"/>
      <c r="R616" s="52"/>
      <c r="S616" s="52"/>
      <c r="T616" s="52"/>
      <c r="U616" s="52"/>
    </row>
    <row r="617" spans="1:21" x14ac:dyDescent="0.25">
      <c r="A617" s="70"/>
      <c r="B617" s="64"/>
      <c r="C617" s="64"/>
      <c r="D617" s="64"/>
      <c r="E617" s="64"/>
      <c r="F617" s="64"/>
      <c r="G617" s="64"/>
      <c r="H617" s="64"/>
      <c r="I617" s="65" t="s">
        <v>1088</v>
      </c>
      <c r="J617" s="64"/>
      <c r="K617" s="64"/>
      <c r="L617" s="65" t="s">
        <v>1089</v>
      </c>
      <c r="M617" s="64"/>
      <c r="N617" s="64"/>
      <c r="O617" s="72"/>
      <c r="P617" s="62"/>
      <c r="Q617" s="62"/>
      <c r="R617" s="62"/>
      <c r="S617" s="62"/>
      <c r="T617" s="62"/>
      <c r="U617" s="62"/>
    </row>
    <row r="618" spans="1:21" ht="15.75" thickBot="1" x14ac:dyDescent="0.3">
      <c r="A618" s="71"/>
      <c r="B618" s="66"/>
      <c r="C618" s="66"/>
      <c r="D618" s="66"/>
      <c r="E618" s="66"/>
      <c r="F618" s="66"/>
      <c r="G618" s="66"/>
      <c r="H618" s="66"/>
      <c r="I618" s="68">
        <v>265</v>
      </c>
      <c r="J618" s="66"/>
      <c r="K618" s="66"/>
      <c r="L618" s="69">
        <v>8326</v>
      </c>
      <c r="M618" s="66"/>
      <c r="N618" s="66"/>
      <c r="O618" s="73"/>
      <c r="P618" s="63"/>
      <c r="Q618" s="63"/>
      <c r="R618" s="63"/>
      <c r="S618" s="63"/>
      <c r="T618" s="63"/>
      <c r="U618" s="63"/>
    </row>
    <row r="619" spans="1:21" ht="15.75" thickBot="1" x14ac:dyDescent="0.3"/>
    <row r="620" spans="1:21" x14ac:dyDescent="0.25">
      <c r="A620" s="78"/>
      <c r="B620" s="76"/>
      <c r="C620" s="11"/>
      <c r="D620" s="11"/>
      <c r="E620" s="11"/>
      <c r="F620" s="11"/>
      <c r="G620" s="77"/>
      <c r="H620" s="77"/>
      <c r="I620" s="77"/>
      <c r="J620" s="77"/>
      <c r="K620" s="77"/>
      <c r="L620" s="76"/>
      <c r="M620" s="77"/>
      <c r="N620" s="77"/>
      <c r="O620" s="77"/>
      <c r="P620" s="77"/>
      <c r="Q620" s="81"/>
      <c r="R620" s="75"/>
      <c r="S620" s="75"/>
    </row>
    <row r="621" spans="1:21" x14ac:dyDescent="0.25">
      <c r="A621" s="79" t="s">
        <v>1092</v>
      </c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15"/>
      <c r="R621" s="3"/>
      <c r="S621" s="3"/>
    </row>
    <row r="622" spans="1:21" x14ac:dyDescent="0.25">
      <c r="A622" s="80" t="s">
        <v>9</v>
      </c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15"/>
      <c r="R622" s="3"/>
      <c r="S622" s="3"/>
    </row>
    <row r="623" spans="1:21" x14ac:dyDescent="0.25">
      <c r="A623" s="8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16"/>
      <c r="R623" s="3"/>
      <c r="S623" s="3"/>
    </row>
    <row r="624" spans="1:21" ht="17.25" customHeight="1" x14ac:dyDescent="0.25">
      <c r="A624" s="86" t="s">
        <v>1071</v>
      </c>
      <c r="B624" s="83"/>
      <c r="C624" s="84"/>
      <c r="D624" s="84"/>
      <c r="E624" s="85"/>
      <c r="F624" s="85"/>
      <c r="G624" s="85"/>
      <c r="H624" s="85"/>
      <c r="I624" s="85"/>
      <c r="J624" s="86" t="s">
        <v>1076</v>
      </c>
      <c r="K624" s="86" t="s">
        <v>1077</v>
      </c>
      <c r="L624" s="86" t="s">
        <v>1078</v>
      </c>
      <c r="M624" s="86" t="s">
        <v>1079</v>
      </c>
      <c r="N624" s="86" t="s">
        <v>1080</v>
      </c>
      <c r="O624" s="86" t="s">
        <v>1081</v>
      </c>
      <c r="P624" s="86" t="s">
        <v>1082</v>
      </c>
      <c r="Q624" s="86" t="s">
        <v>1083</v>
      </c>
      <c r="R624" s="86" t="s">
        <v>1084</v>
      </c>
      <c r="S624" s="93" t="s">
        <v>499</v>
      </c>
    </row>
    <row r="625" spans="1:21" ht="12.75" customHeight="1" x14ac:dyDescent="0.25">
      <c r="A625" s="23" t="str">
        <f t="shared" ref="A625:A650" si="0">LEFT(R625, 2) &amp; " " &amp; RIGHT(R625,4)</f>
        <v>07 2024</v>
      </c>
      <c r="B625" s="20" t="str">
        <f>("")</f>
        <v/>
      </c>
      <c r="C625" s="17" t="str">
        <f>("")</f>
        <v/>
      </c>
      <c r="D625" s="17" t="str">
        <f>("")</f>
        <v/>
      </c>
      <c r="E625" s="87" t="str">
        <f>("")</f>
        <v/>
      </c>
      <c r="F625" s="87" t="str">
        <f>("")</f>
        <v/>
      </c>
      <c r="G625" s="87" t="str">
        <f>("")</f>
        <v/>
      </c>
      <c r="H625" s="87" t="str">
        <f>("")</f>
        <v/>
      </c>
      <c r="I625" s="87" t="str">
        <f>("")</f>
        <v/>
      </c>
      <c r="J625" s="92">
        <f>J11</f>
        <v>1</v>
      </c>
      <c r="K625" s="92">
        <f>K11</f>
        <v>4</v>
      </c>
      <c r="L625" s="35">
        <f>L11</f>
        <v>0.75</v>
      </c>
      <c r="M625" s="92">
        <f>M11</f>
        <v>142</v>
      </c>
      <c r="N625" s="92">
        <f>N11</f>
        <v>4</v>
      </c>
      <c r="O625" s="35">
        <f>O11</f>
        <v>0.971830985915493</v>
      </c>
      <c r="P625" s="92" t="s">
        <v>6</v>
      </c>
      <c r="Q625" s="92" t="s">
        <v>7</v>
      </c>
      <c r="R625" s="92" t="s">
        <v>8</v>
      </c>
      <c r="S625" s="91" t="s">
        <v>9</v>
      </c>
      <c r="T625">
        <v>1</v>
      </c>
      <c r="U625">
        <v>142</v>
      </c>
    </row>
    <row r="626" spans="1:21" ht="12.75" customHeight="1" x14ac:dyDescent="0.25">
      <c r="A626" s="23" t="str">
        <f t="shared" si="0"/>
        <v>08 2024</v>
      </c>
      <c r="B626" s="21" t="str">
        <f>("")</f>
        <v/>
      </c>
      <c r="C626" s="18" t="str">
        <f>("")</f>
        <v/>
      </c>
      <c r="D626" s="18" t="str">
        <f>("")</f>
        <v/>
      </c>
      <c r="E626" s="88" t="str">
        <f>("")</f>
        <v/>
      </c>
      <c r="F626" s="88" t="str">
        <f>("")</f>
        <v/>
      </c>
      <c r="G626" s="88" t="str">
        <f>("")</f>
        <v/>
      </c>
      <c r="H626" s="88" t="str">
        <f>("")</f>
        <v/>
      </c>
      <c r="I626" s="88" t="str">
        <f>("")</f>
        <v/>
      </c>
      <c r="J626" s="92">
        <f>J42</f>
        <v>13</v>
      </c>
      <c r="K626" s="92">
        <f>K42</f>
        <v>22</v>
      </c>
      <c r="L626" s="35">
        <f>L42</f>
        <v>0.40909090909090912</v>
      </c>
      <c r="M626" s="92">
        <f>M42</f>
        <v>366</v>
      </c>
      <c r="N626" s="92">
        <f>N42</f>
        <v>216</v>
      </c>
      <c r="O626" s="35">
        <f>O42</f>
        <v>0.4098360655737705</v>
      </c>
      <c r="P626" s="92" t="s">
        <v>6</v>
      </c>
      <c r="Q626" s="92" t="s">
        <v>24</v>
      </c>
      <c r="R626" s="92" t="s">
        <v>25</v>
      </c>
      <c r="S626" s="91" t="s">
        <v>9</v>
      </c>
      <c r="T626">
        <v>13</v>
      </c>
      <c r="U626">
        <v>508</v>
      </c>
    </row>
    <row r="627" spans="1:21" ht="12.75" customHeight="1" x14ac:dyDescent="0.25">
      <c r="A627" s="23" t="str">
        <f t="shared" si="0"/>
        <v>09 2024</v>
      </c>
      <c r="B627" s="21" t="str">
        <f>("")</f>
        <v/>
      </c>
      <c r="C627" s="18" t="str">
        <f>("")</f>
        <v/>
      </c>
      <c r="D627" s="18" t="str">
        <f>("")</f>
        <v/>
      </c>
      <c r="E627" s="88" t="str">
        <f>("")</f>
        <v/>
      </c>
      <c r="F627" s="88" t="str">
        <f>("")</f>
        <v/>
      </c>
      <c r="G627" s="88" t="str">
        <f>("")</f>
        <v/>
      </c>
      <c r="H627" s="88" t="str">
        <f>("")</f>
        <v/>
      </c>
      <c r="I627" s="88" t="str">
        <f>("")</f>
        <v/>
      </c>
      <c r="J627" s="92">
        <f>J67</f>
        <v>14</v>
      </c>
      <c r="K627" s="92">
        <f>K67</f>
        <v>16</v>
      </c>
      <c r="L627" s="35">
        <f>L67</f>
        <v>0.125</v>
      </c>
      <c r="M627" s="92">
        <f>M67</f>
        <v>354</v>
      </c>
      <c r="N627" s="92">
        <f>N67</f>
        <v>119</v>
      </c>
      <c r="O627" s="35">
        <f>O67</f>
        <v>0.66384180790960456</v>
      </c>
      <c r="P627" s="92" t="s">
        <v>6</v>
      </c>
      <c r="Q627" s="92" t="s">
        <v>55</v>
      </c>
      <c r="R627" s="92" t="s">
        <v>56</v>
      </c>
      <c r="S627" s="91" t="s">
        <v>9</v>
      </c>
      <c r="T627">
        <v>27</v>
      </c>
      <c r="U627">
        <v>862</v>
      </c>
    </row>
    <row r="628" spans="1:21" ht="12.75" customHeight="1" x14ac:dyDescent="0.25">
      <c r="A628" s="23" t="str">
        <f t="shared" si="0"/>
        <v>10 2024</v>
      </c>
      <c r="B628" s="21" t="str">
        <f>("")</f>
        <v/>
      </c>
      <c r="C628" s="18" t="str">
        <f>("")</f>
        <v/>
      </c>
      <c r="D628" s="18" t="str">
        <f>("")</f>
        <v/>
      </c>
      <c r="E628" s="88" t="str">
        <f>("")</f>
        <v/>
      </c>
      <c r="F628" s="88" t="str">
        <f>("")</f>
        <v/>
      </c>
      <c r="G628" s="88" t="str">
        <f>("")</f>
        <v/>
      </c>
      <c r="H628" s="88" t="str">
        <f>("")</f>
        <v/>
      </c>
      <c r="I628" s="88" t="str">
        <f>("")</f>
        <v/>
      </c>
      <c r="J628" s="92">
        <f>J101</f>
        <v>14</v>
      </c>
      <c r="K628" s="92">
        <f>K101</f>
        <v>25</v>
      </c>
      <c r="L628" s="35">
        <f>L101</f>
        <v>0.44</v>
      </c>
      <c r="M628" s="92">
        <f>M101</f>
        <v>384</v>
      </c>
      <c r="N628" s="92">
        <f>N101</f>
        <v>213</v>
      </c>
      <c r="O628" s="35">
        <f>O101</f>
        <v>0.4453125</v>
      </c>
      <c r="P628" s="92" t="s">
        <v>6</v>
      </c>
      <c r="Q628" s="92" t="s">
        <v>81</v>
      </c>
      <c r="R628" s="92" t="s">
        <v>82</v>
      </c>
      <c r="S628" s="91" t="s">
        <v>9</v>
      </c>
      <c r="T628">
        <v>41</v>
      </c>
      <c r="U628">
        <v>1246</v>
      </c>
    </row>
    <row r="629" spans="1:21" ht="12.75" customHeight="1" x14ac:dyDescent="0.25">
      <c r="A629" s="23" t="str">
        <f t="shared" si="0"/>
        <v>11 2024</v>
      </c>
      <c r="B629" s="21" t="str">
        <f>("")</f>
        <v/>
      </c>
      <c r="C629" s="18" t="str">
        <f>("")</f>
        <v/>
      </c>
      <c r="D629" s="18" t="str">
        <f>("")</f>
        <v/>
      </c>
      <c r="E629" s="88" t="str">
        <f>("")</f>
        <v/>
      </c>
      <c r="F629" s="88" t="str">
        <f>("")</f>
        <v/>
      </c>
      <c r="G629" s="88" t="str">
        <f>("")</f>
        <v/>
      </c>
      <c r="H629" s="88" t="str">
        <f>("")</f>
        <v/>
      </c>
      <c r="I629" s="88" t="str">
        <f>("")</f>
        <v/>
      </c>
      <c r="J629" s="92">
        <f>J125</f>
        <v>11</v>
      </c>
      <c r="K629" s="92">
        <f>K125</f>
        <v>15</v>
      </c>
      <c r="L629" s="35">
        <f>L125</f>
        <v>0.26666666666666666</v>
      </c>
      <c r="M629" s="92">
        <f>M125</f>
        <v>383</v>
      </c>
      <c r="N629" s="92">
        <f>N125</f>
        <v>144</v>
      </c>
      <c r="O629" s="35">
        <f>O125</f>
        <v>0.62402088772845954</v>
      </c>
      <c r="P629" s="92" t="s">
        <v>6</v>
      </c>
      <c r="Q629" s="92" t="s">
        <v>107</v>
      </c>
      <c r="R629" s="92" t="s">
        <v>108</v>
      </c>
      <c r="S629" s="91" t="s">
        <v>9</v>
      </c>
      <c r="T629">
        <v>52</v>
      </c>
      <c r="U629">
        <v>1629</v>
      </c>
    </row>
    <row r="630" spans="1:21" ht="12.75" customHeight="1" x14ac:dyDescent="0.25">
      <c r="A630" s="23" t="str">
        <f t="shared" si="0"/>
        <v>12 2024</v>
      </c>
      <c r="B630" s="21" t="str">
        <f>("")</f>
        <v/>
      </c>
      <c r="C630" s="18" t="str">
        <f>("")</f>
        <v/>
      </c>
      <c r="D630" s="18" t="str">
        <f>("")</f>
        <v/>
      </c>
      <c r="E630" s="88" t="str">
        <f>("")</f>
        <v/>
      </c>
      <c r="F630" s="88" t="str">
        <f>("")</f>
        <v/>
      </c>
      <c r="G630" s="88" t="str">
        <f>("")</f>
        <v/>
      </c>
      <c r="H630" s="88" t="str">
        <f>("")</f>
        <v/>
      </c>
      <c r="I630" s="88" t="str">
        <f>("")</f>
        <v/>
      </c>
      <c r="J630" s="92">
        <f>J161</f>
        <v>23</v>
      </c>
      <c r="K630" s="92">
        <f>K161</f>
        <v>27</v>
      </c>
      <c r="L630" s="35">
        <f>L161</f>
        <v>0.14814814814814814</v>
      </c>
      <c r="M630" s="92">
        <f>M161</f>
        <v>352</v>
      </c>
      <c r="N630" s="92">
        <f>N161</f>
        <v>228</v>
      </c>
      <c r="O630" s="35">
        <f>O161</f>
        <v>0.35227272727272729</v>
      </c>
      <c r="P630" s="92" t="s">
        <v>6</v>
      </c>
      <c r="Q630" s="92" t="s">
        <v>132</v>
      </c>
      <c r="R630" s="92" t="s">
        <v>133</v>
      </c>
      <c r="S630" s="91" t="s">
        <v>9</v>
      </c>
      <c r="T630">
        <v>76</v>
      </c>
      <c r="U630">
        <v>1981</v>
      </c>
    </row>
    <row r="631" spans="1:21" ht="12.75" customHeight="1" x14ac:dyDescent="0.25">
      <c r="A631" s="23" t="str">
        <f t="shared" si="0"/>
        <v>01 2025</v>
      </c>
      <c r="B631" s="21" t="str">
        <f>("")</f>
        <v/>
      </c>
      <c r="C631" s="18" t="str">
        <f>("")</f>
        <v/>
      </c>
      <c r="D631" s="18" t="str">
        <f>("")</f>
        <v/>
      </c>
      <c r="E631" s="88" t="str">
        <f>("")</f>
        <v/>
      </c>
      <c r="F631" s="88" t="str">
        <f>("")</f>
        <v/>
      </c>
      <c r="G631" s="88" t="str">
        <f>("")</f>
        <v/>
      </c>
      <c r="H631" s="88" t="str">
        <f>("")</f>
        <v/>
      </c>
      <c r="I631" s="88" t="str">
        <f>("")</f>
        <v/>
      </c>
      <c r="J631" s="92">
        <f>J184</f>
        <v>12</v>
      </c>
      <c r="K631" s="92">
        <f>K184</f>
        <v>14</v>
      </c>
      <c r="L631" s="35">
        <f>L184</f>
        <v>0.14285714285714285</v>
      </c>
      <c r="M631" s="92">
        <f>M184</f>
        <v>318</v>
      </c>
      <c r="N631" s="92">
        <f>N184</f>
        <v>85</v>
      </c>
      <c r="O631" s="35">
        <f>O184</f>
        <v>0.73270440251572322</v>
      </c>
      <c r="P631" s="92" t="s">
        <v>159</v>
      </c>
      <c r="Q631" s="92" t="s">
        <v>160</v>
      </c>
      <c r="R631" s="92" t="s">
        <v>161</v>
      </c>
      <c r="S631" s="91" t="s">
        <v>9</v>
      </c>
      <c r="T631">
        <v>87</v>
      </c>
      <c r="U631">
        <v>2299</v>
      </c>
    </row>
    <row r="632" spans="1:21" ht="12.75" customHeight="1" x14ac:dyDescent="0.25">
      <c r="A632" s="23" t="str">
        <f t="shared" si="0"/>
        <v>02 2025</v>
      </c>
      <c r="B632" s="21" t="str">
        <f>("")</f>
        <v/>
      </c>
      <c r="C632" s="18" t="str">
        <f>("")</f>
        <v/>
      </c>
      <c r="D632" s="18" t="str">
        <f>("")</f>
        <v/>
      </c>
      <c r="E632" s="88" t="str">
        <f>("")</f>
        <v/>
      </c>
      <c r="F632" s="88" t="str">
        <f>("")</f>
        <v/>
      </c>
      <c r="G632" s="88" t="str">
        <f>("")</f>
        <v/>
      </c>
      <c r="H632" s="88" t="str">
        <f>("")</f>
        <v/>
      </c>
      <c r="I632" s="88" t="str">
        <f>("")</f>
        <v/>
      </c>
      <c r="J632" s="92">
        <f>J210</f>
        <v>16</v>
      </c>
      <c r="K632" s="92">
        <f>K210</f>
        <v>17</v>
      </c>
      <c r="L632" s="35">
        <f>L210</f>
        <v>5.8823529411764705E-2</v>
      </c>
      <c r="M632" s="92">
        <f>M210</f>
        <v>326</v>
      </c>
      <c r="N632" s="92">
        <f>N210</f>
        <v>212</v>
      </c>
      <c r="O632" s="35">
        <f>O210</f>
        <v>0.34969325153374231</v>
      </c>
      <c r="P632" s="92" t="s">
        <v>159</v>
      </c>
      <c r="Q632" s="92" t="s">
        <v>182</v>
      </c>
      <c r="R632" s="92" t="s">
        <v>183</v>
      </c>
      <c r="S632" s="91" t="s">
        <v>9</v>
      </c>
      <c r="T632">
        <v>103</v>
      </c>
      <c r="U632">
        <v>2625</v>
      </c>
    </row>
    <row r="633" spans="1:21" ht="12.75" customHeight="1" x14ac:dyDescent="0.25">
      <c r="A633" s="23" t="str">
        <f t="shared" si="0"/>
        <v>03 2025</v>
      </c>
      <c r="B633" s="21" t="str">
        <f>("")</f>
        <v/>
      </c>
      <c r="C633" s="18" t="str">
        <f>("")</f>
        <v/>
      </c>
      <c r="D633" s="18" t="str">
        <f>("")</f>
        <v/>
      </c>
      <c r="E633" s="88" t="str">
        <f>("")</f>
        <v/>
      </c>
      <c r="F633" s="88" t="str">
        <f>("")</f>
        <v/>
      </c>
      <c r="G633" s="88" t="str">
        <f>("")</f>
        <v/>
      </c>
      <c r="H633" s="88" t="str">
        <f>("")</f>
        <v/>
      </c>
      <c r="I633" s="88" t="str">
        <f>("")</f>
        <v/>
      </c>
      <c r="J633" s="92">
        <f>J230</f>
        <v>10</v>
      </c>
      <c r="K633" s="92">
        <f>K230</f>
        <v>11</v>
      </c>
      <c r="L633" s="35">
        <f>L230</f>
        <v>9.0909090909090912E-2</v>
      </c>
      <c r="M633" s="92">
        <f>M230</f>
        <v>336</v>
      </c>
      <c r="N633" s="92">
        <f>N230</f>
        <v>188</v>
      </c>
      <c r="O633" s="35">
        <f>O230</f>
        <v>0.44047619047619047</v>
      </c>
      <c r="P633" s="92" t="s">
        <v>159</v>
      </c>
      <c r="Q633" s="92" t="s">
        <v>201</v>
      </c>
      <c r="R633" s="92" t="s">
        <v>202</v>
      </c>
      <c r="S633" s="91" t="s">
        <v>9</v>
      </c>
      <c r="T633">
        <v>113</v>
      </c>
      <c r="U633">
        <v>2961</v>
      </c>
    </row>
    <row r="634" spans="1:21" ht="12.75" customHeight="1" x14ac:dyDescent="0.25">
      <c r="A634" s="23" t="str">
        <f t="shared" si="0"/>
        <v>04 2025</v>
      </c>
      <c r="B634" s="21" t="str">
        <f>("")</f>
        <v/>
      </c>
      <c r="C634" s="18" t="str">
        <f>("")</f>
        <v/>
      </c>
      <c r="D634" s="18" t="str">
        <f>("")</f>
        <v/>
      </c>
      <c r="E634" s="88" t="str">
        <f>("")</f>
        <v/>
      </c>
      <c r="F634" s="88" t="str">
        <f>("")</f>
        <v/>
      </c>
      <c r="G634" s="88" t="str">
        <f>("")</f>
        <v/>
      </c>
      <c r="H634" s="88" t="str">
        <f>("")</f>
        <v/>
      </c>
      <c r="I634" s="88" t="str">
        <f>("")</f>
        <v/>
      </c>
      <c r="J634" s="92">
        <f>J256</f>
        <v>15</v>
      </c>
      <c r="K634" s="92">
        <f>K256</f>
        <v>17</v>
      </c>
      <c r="L634" s="35">
        <f>L256</f>
        <v>0.11764705882352941</v>
      </c>
      <c r="M634" s="92">
        <f>M256</f>
        <v>335</v>
      </c>
      <c r="N634" s="92">
        <f>N256</f>
        <v>96</v>
      </c>
      <c r="O634" s="35">
        <f>O256</f>
        <v>0.71343283582089556</v>
      </c>
      <c r="P634" s="92" t="s">
        <v>159</v>
      </c>
      <c r="Q634" s="92" t="s">
        <v>218</v>
      </c>
      <c r="R634" s="92" t="s">
        <v>219</v>
      </c>
      <c r="S634" s="91" t="s">
        <v>9</v>
      </c>
      <c r="T634">
        <v>128</v>
      </c>
      <c r="U634">
        <v>3296</v>
      </c>
    </row>
    <row r="635" spans="1:21" ht="12.75" customHeight="1" x14ac:dyDescent="0.25">
      <c r="A635" s="23" t="str">
        <f t="shared" si="0"/>
        <v>05 2025</v>
      </c>
      <c r="B635" s="21" t="str">
        <f>("")</f>
        <v/>
      </c>
      <c r="C635" s="18" t="str">
        <f>("")</f>
        <v/>
      </c>
      <c r="D635" s="18" t="str">
        <f>("")</f>
        <v/>
      </c>
      <c r="E635" s="88" t="str">
        <f>("")</f>
        <v/>
      </c>
      <c r="F635" s="88" t="str">
        <f>("")</f>
        <v/>
      </c>
      <c r="G635" s="88" t="str">
        <f>("")</f>
        <v/>
      </c>
      <c r="H635" s="88" t="str">
        <f>("")</f>
        <v/>
      </c>
      <c r="I635" s="88" t="str">
        <f>("")</f>
        <v/>
      </c>
      <c r="J635" s="92">
        <f>J273</f>
        <v>6</v>
      </c>
      <c r="K635" s="92">
        <f>K273</f>
        <v>8</v>
      </c>
      <c r="L635" s="35">
        <f>L273</f>
        <v>0.25</v>
      </c>
      <c r="M635" s="92">
        <f>M273</f>
        <v>337</v>
      </c>
      <c r="N635" s="92">
        <f>N273</f>
        <v>89</v>
      </c>
      <c r="O635" s="35">
        <f>O273</f>
        <v>0.73590504451038574</v>
      </c>
      <c r="P635" s="92" t="s">
        <v>159</v>
      </c>
      <c r="Q635" s="92" t="s">
        <v>239</v>
      </c>
      <c r="R635" s="92" t="s">
        <v>240</v>
      </c>
      <c r="S635" s="91" t="s">
        <v>9</v>
      </c>
      <c r="T635">
        <v>134</v>
      </c>
      <c r="U635">
        <v>3633</v>
      </c>
    </row>
    <row r="636" spans="1:21" ht="12.75" customHeight="1" x14ac:dyDescent="0.25">
      <c r="A636" s="23" t="str">
        <f t="shared" si="0"/>
        <v>06 2025</v>
      </c>
      <c r="B636" s="21" t="str">
        <f>("")</f>
        <v/>
      </c>
      <c r="C636" s="18" t="str">
        <f>("")</f>
        <v/>
      </c>
      <c r="D636" s="18" t="str">
        <f>("")</f>
        <v/>
      </c>
      <c r="E636" s="88" t="str">
        <f>("")</f>
        <v/>
      </c>
      <c r="F636" s="88" t="str">
        <f>("")</f>
        <v/>
      </c>
      <c r="G636" s="88" t="str">
        <f>("")</f>
        <v/>
      </c>
      <c r="H636" s="88" t="str">
        <f>("")</f>
        <v/>
      </c>
      <c r="I636" s="88" t="str">
        <f>("")</f>
        <v/>
      </c>
      <c r="J636" s="92">
        <f>J292</f>
        <v>7</v>
      </c>
      <c r="K636" s="92">
        <f>K292</f>
        <v>10</v>
      </c>
      <c r="L636" s="35">
        <f>L292</f>
        <v>0.3</v>
      </c>
      <c r="M636" s="92">
        <f>M292</f>
        <v>322</v>
      </c>
      <c r="N636" s="92">
        <f>N292</f>
        <v>90</v>
      </c>
      <c r="O636" s="35">
        <f>O292</f>
        <v>0.72049689440993792</v>
      </c>
      <c r="P636" s="92" t="s">
        <v>159</v>
      </c>
      <c r="Q636" s="92" t="s">
        <v>254</v>
      </c>
      <c r="R636" s="92" t="s">
        <v>255</v>
      </c>
      <c r="S636" s="91" t="s">
        <v>9</v>
      </c>
      <c r="T636">
        <v>142</v>
      </c>
      <c r="U636">
        <v>3955</v>
      </c>
    </row>
    <row r="637" spans="1:21" ht="12.75" customHeight="1" x14ac:dyDescent="0.25">
      <c r="A637" s="23" t="str">
        <f t="shared" si="0"/>
        <v>07 2025</v>
      </c>
      <c r="B637" s="21" t="str">
        <f>("")</f>
        <v/>
      </c>
      <c r="C637" s="18" t="str">
        <f>("")</f>
        <v/>
      </c>
      <c r="D637" s="18" t="str">
        <f>("")</f>
        <v/>
      </c>
      <c r="E637" s="88" t="str">
        <f>("")</f>
        <v/>
      </c>
      <c r="F637" s="88" t="str">
        <f>("")</f>
        <v/>
      </c>
      <c r="G637" s="88" t="str">
        <f>("")</f>
        <v/>
      </c>
      <c r="H637" s="88" t="str">
        <f>("")</f>
        <v/>
      </c>
      <c r="I637" s="88" t="str">
        <f>("")</f>
        <v/>
      </c>
      <c r="J637" s="92">
        <f>J310</f>
        <v>7</v>
      </c>
      <c r="K637" s="92">
        <f>K310</f>
        <v>9</v>
      </c>
      <c r="L637" s="35">
        <f>L310</f>
        <v>0.22222222222222221</v>
      </c>
      <c r="M637" s="92">
        <f>M310</f>
        <v>336</v>
      </c>
      <c r="N637" s="92">
        <f>N310</f>
        <v>79</v>
      </c>
      <c r="O637" s="35">
        <f>O310</f>
        <v>0.76488095238095233</v>
      </c>
      <c r="P637" s="92" t="s">
        <v>159</v>
      </c>
      <c r="Q637" s="92" t="s">
        <v>7</v>
      </c>
      <c r="R637" s="92" t="s">
        <v>275</v>
      </c>
      <c r="S637" s="91" t="s">
        <v>9</v>
      </c>
      <c r="T637">
        <v>148</v>
      </c>
      <c r="U637">
        <v>4291</v>
      </c>
    </row>
    <row r="638" spans="1:21" ht="12.75" customHeight="1" x14ac:dyDescent="0.25">
      <c r="A638" s="23" t="str">
        <f t="shared" si="0"/>
        <v>08 2025</v>
      </c>
      <c r="B638" s="21" t="str">
        <f>("")</f>
        <v/>
      </c>
      <c r="C638" s="18" t="str">
        <f>("")</f>
        <v/>
      </c>
      <c r="D638" s="18" t="str">
        <f>("")</f>
        <v/>
      </c>
      <c r="E638" s="88" t="str">
        <f>("")</f>
        <v/>
      </c>
      <c r="F638" s="88" t="str">
        <f>("")</f>
        <v/>
      </c>
      <c r="G638" s="88" t="str">
        <f>("")</f>
        <v/>
      </c>
      <c r="H638" s="88" t="str">
        <f>("")</f>
        <v/>
      </c>
      <c r="I638" s="88" t="str">
        <f>("")</f>
        <v/>
      </c>
      <c r="J638" s="92">
        <f>J334</f>
        <v>13</v>
      </c>
      <c r="K638" s="92">
        <f>K334</f>
        <v>15</v>
      </c>
      <c r="L638" s="35">
        <f>L334</f>
        <v>0.13333333333333333</v>
      </c>
      <c r="M638" s="92">
        <f>M334</f>
        <v>345</v>
      </c>
      <c r="N638" s="92">
        <f>N334</f>
        <v>227</v>
      </c>
      <c r="O638" s="35">
        <f>O334</f>
        <v>0.34202898550724636</v>
      </c>
      <c r="P638" s="92" t="s">
        <v>159</v>
      </c>
      <c r="Q638" s="92" t="s">
        <v>24</v>
      </c>
      <c r="R638" s="92" t="s">
        <v>291</v>
      </c>
      <c r="S638" s="91" t="s">
        <v>9</v>
      </c>
      <c r="T638">
        <v>161</v>
      </c>
      <c r="U638">
        <v>4636</v>
      </c>
    </row>
    <row r="639" spans="1:21" ht="12.75" customHeight="1" x14ac:dyDescent="0.25">
      <c r="A639" s="23" t="str">
        <f t="shared" si="0"/>
        <v>09 2025</v>
      </c>
      <c r="B639" s="21" t="str">
        <f>("")</f>
        <v/>
      </c>
      <c r="C639" s="18" t="str">
        <f>("")</f>
        <v/>
      </c>
      <c r="D639" s="18" t="str">
        <f>("")</f>
        <v/>
      </c>
      <c r="E639" s="88" t="str">
        <f>("")</f>
        <v/>
      </c>
      <c r="F639" s="88" t="str">
        <f>("")</f>
        <v/>
      </c>
      <c r="G639" s="88" t="str">
        <f>("")</f>
        <v/>
      </c>
      <c r="H639" s="88" t="str">
        <f>("")</f>
        <v/>
      </c>
      <c r="I639" s="88" t="str">
        <f>("")</f>
        <v/>
      </c>
      <c r="J639" s="92">
        <f>J355</f>
        <v>10</v>
      </c>
      <c r="K639" s="92">
        <f>K355</f>
        <v>12</v>
      </c>
      <c r="L639" s="35">
        <f>L355</f>
        <v>0.16666666666666666</v>
      </c>
      <c r="M639" s="92">
        <f>M355</f>
        <v>335</v>
      </c>
      <c r="N639" s="92">
        <f>N355</f>
        <v>89</v>
      </c>
      <c r="O639" s="35">
        <f>O355</f>
        <v>0.73432835820895526</v>
      </c>
      <c r="P639" s="92" t="s">
        <v>159</v>
      </c>
      <c r="Q639" s="92" t="s">
        <v>55</v>
      </c>
      <c r="R639" s="92" t="s">
        <v>311</v>
      </c>
      <c r="S639" s="91" t="s">
        <v>9</v>
      </c>
      <c r="T639">
        <v>171</v>
      </c>
      <c r="U639">
        <v>4971</v>
      </c>
    </row>
    <row r="640" spans="1:21" ht="12.75" customHeight="1" x14ac:dyDescent="0.25">
      <c r="A640" s="23" t="str">
        <f t="shared" si="0"/>
        <v>10 2025</v>
      </c>
      <c r="B640" s="21" t="str">
        <f>("")</f>
        <v/>
      </c>
      <c r="C640" s="18" t="str">
        <f>("")</f>
        <v/>
      </c>
      <c r="D640" s="18" t="str">
        <f>("")</f>
        <v/>
      </c>
      <c r="E640" s="88" t="str">
        <f>("")</f>
        <v/>
      </c>
      <c r="F640" s="88" t="str">
        <f>("")</f>
        <v/>
      </c>
      <c r="G640" s="88" t="str">
        <f>("")</f>
        <v/>
      </c>
      <c r="H640" s="88" t="str">
        <f>("")</f>
        <v/>
      </c>
      <c r="I640" s="88" t="str">
        <f>("")</f>
        <v/>
      </c>
      <c r="J640" s="92">
        <f>J374</f>
        <v>6</v>
      </c>
      <c r="K640" s="92">
        <f>K374</f>
        <v>10</v>
      </c>
      <c r="L640" s="35">
        <f>L374</f>
        <v>0.4</v>
      </c>
      <c r="M640" s="92">
        <f>M374</f>
        <v>328</v>
      </c>
      <c r="N640" s="92">
        <f>N374</f>
        <v>60</v>
      </c>
      <c r="O640" s="35">
        <f>O374</f>
        <v>0.81707317073170727</v>
      </c>
      <c r="P640" s="92" t="s">
        <v>159</v>
      </c>
      <c r="Q640" s="92" t="s">
        <v>81</v>
      </c>
      <c r="R640" s="92" t="s">
        <v>325</v>
      </c>
      <c r="S640" s="91" t="s">
        <v>9</v>
      </c>
      <c r="T640">
        <v>177</v>
      </c>
      <c r="U640">
        <v>5299</v>
      </c>
    </row>
    <row r="641" spans="1:21" ht="12.75" customHeight="1" x14ac:dyDescent="0.25">
      <c r="A641" s="23" t="str">
        <f t="shared" si="0"/>
        <v>11 2025</v>
      </c>
      <c r="B641" s="21" t="str">
        <f>("")</f>
        <v/>
      </c>
      <c r="C641" s="18" t="str">
        <f>("")</f>
        <v/>
      </c>
      <c r="D641" s="18" t="str">
        <f>("")</f>
        <v/>
      </c>
      <c r="E641" s="88" t="str">
        <f>("")</f>
        <v/>
      </c>
      <c r="F641" s="88" t="str">
        <f>("")</f>
        <v/>
      </c>
      <c r="G641" s="88" t="str">
        <f>("")</f>
        <v/>
      </c>
      <c r="H641" s="88" t="str">
        <f>("")</f>
        <v/>
      </c>
      <c r="I641" s="88" t="str">
        <f>("")</f>
        <v/>
      </c>
      <c r="J641" s="92">
        <f>J395</f>
        <v>10</v>
      </c>
      <c r="K641" s="92">
        <f>K395</f>
        <v>12</v>
      </c>
      <c r="L641" s="35">
        <f>L395</f>
        <v>0.16666666666666666</v>
      </c>
      <c r="M641" s="92">
        <f>M395</f>
        <v>325</v>
      </c>
      <c r="N641" s="92">
        <f>N395</f>
        <v>86</v>
      </c>
      <c r="O641" s="35">
        <f>O395</f>
        <v>0.73538461538461541</v>
      </c>
      <c r="P641" s="92" t="s">
        <v>159</v>
      </c>
      <c r="Q641" s="92" t="s">
        <v>107</v>
      </c>
      <c r="R641" s="92" t="s">
        <v>341</v>
      </c>
      <c r="S641" s="91" t="s">
        <v>9</v>
      </c>
      <c r="T641">
        <v>187</v>
      </c>
      <c r="U641">
        <v>5624</v>
      </c>
    </row>
    <row r="642" spans="1:21" ht="12.75" customHeight="1" x14ac:dyDescent="0.25">
      <c r="A642" s="23" t="str">
        <f t="shared" si="0"/>
        <v>12 2025</v>
      </c>
      <c r="B642" s="21" t="str">
        <f>("")</f>
        <v/>
      </c>
      <c r="C642" s="18" t="str">
        <f>("")</f>
        <v/>
      </c>
      <c r="D642" s="18" t="str">
        <f>("")</f>
        <v/>
      </c>
      <c r="E642" s="88" t="str">
        <f>("")</f>
        <v/>
      </c>
      <c r="F642" s="88" t="str">
        <f>("")</f>
        <v/>
      </c>
      <c r="G642" s="88" t="str">
        <f>("")</f>
        <v/>
      </c>
      <c r="H642" s="88" t="str">
        <f>("")</f>
        <v/>
      </c>
      <c r="I642" s="88" t="str">
        <f>("")</f>
        <v/>
      </c>
      <c r="J642" s="92">
        <f>J426</f>
        <v>20</v>
      </c>
      <c r="K642" s="92">
        <f>K426</f>
        <v>22</v>
      </c>
      <c r="L642" s="35">
        <f>L426</f>
        <v>9.0909090909090912E-2</v>
      </c>
      <c r="M642" s="92">
        <f>M426</f>
        <v>308</v>
      </c>
      <c r="N642" s="92">
        <f>N426</f>
        <v>257</v>
      </c>
      <c r="O642" s="35">
        <f>O426</f>
        <v>0.16558441558441558</v>
      </c>
      <c r="P642" s="92" t="s">
        <v>159</v>
      </c>
      <c r="Q642" s="92" t="s">
        <v>132</v>
      </c>
      <c r="R642" s="92" t="s">
        <v>355</v>
      </c>
      <c r="S642" s="91" t="s">
        <v>9</v>
      </c>
      <c r="T642">
        <v>207</v>
      </c>
      <c r="U642">
        <v>5932</v>
      </c>
    </row>
    <row r="643" spans="1:21" ht="12.75" customHeight="1" x14ac:dyDescent="0.25">
      <c r="A643" s="23" t="str">
        <f t="shared" si="0"/>
        <v>01 2026</v>
      </c>
      <c r="B643" s="21" t="str">
        <f>("")</f>
        <v/>
      </c>
      <c r="C643" s="18" t="str">
        <f>("")</f>
        <v/>
      </c>
      <c r="D643" s="18" t="str">
        <f>("")</f>
        <v/>
      </c>
      <c r="E643" s="88" t="str">
        <f>("")</f>
        <v/>
      </c>
      <c r="F643" s="88" t="str">
        <f>("")</f>
        <v/>
      </c>
      <c r="G643" s="88" t="str">
        <f>("")</f>
        <v/>
      </c>
      <c r="H643" s="88" t="str">
        <f>("")</f>
        <v/>
      </c>
      <c r="I643" s="88" t="str">
        <f>("")</f>
        <v/>
      </c>
      <c r="J643" s="92">
        <f>J448</f>
        <v>5</v>
      </c>
      <c r="K643" s="92">
        <f>K448</f>
        <v>13</v>
      </c>
      <c r="L643" s="35">
        <f>L448</f>
        <v>0.61538461538461542</v>
      </c>
      <c r="M643" s="92">
        <f>M448</f>
        <v>326</v>
      </c>
      <c r="N643" s="92">
        <f>N448</f>
        <v>59</v>
      </c>
      <c r="O643" s="35">
        <f>O448</f>
        <v>0.81901840490797551</v>
      </c>
      <c r="P643" s="92" t="s">
        <v>375</v>
      </c>
      <c r="Q643" s="92" t="s">
        <v>160</v>
      </c>
      <c r="R643" s="92" t="s">
        <v>376</v>
      </c>
      <c r="S643" s="91" t="s">
        <v>9</v>
      </c>
      <c r="T643">
        <v>213</v>
      </c>
      <c r="U643">
        <v>6258</v>
      </c>
    </row>
    <row r="644" spans="1:21" ht="12.75" customHeight="1" x14ac:dyDescent="0.25">
      <c r="A644" s="23" t="str">
        <f t="shared" si="0"/>
        <v>02 2026</v>
      </c>
      <c r="B644" s="21" t="str">
        <f>("")</f>
        <v/>
      </c>
      <c r="C644" s="18" t="str">
        <f>("")</f>
        <v/>
      </c>
      <c r="D644" s="18" t="str">
        <f>("")</f>
        <v/>
      </c>
      <c r="E644" s="88" t="str">
        <f>("")</f>
        <v/>
      </c>
      <c r="F644" s="88" t="str">
        <f>("")</f>
        <v/>
      </c>
      <c r="G644" s="88" t="str">
        <f>("")</f>
        <v/>
      </c>
      <c r="H644" s="88" t="str">
        <f>("")</f>
        <v/>
      </c>
      <c r="I644" s="88" t="str">
        <f>("")</f>
        <v/>
      </c>
      <c r="J644" s="92">
        <f>J470</f>
        <v>10</v>
      </c>
      <c r="K644" s="92">
        <f>K470</f>
        <v>13</v>
      </c>
      <c r="L644" s="35">
        <f>L470</f>
        <v>0.23076923076923078</v>
      </c>
      <c r="M644" s="92">
        <f>M470</f>
        <v>328</v>
      </c>
      <c r="N644" s="92">
        <f>N470</f>
        <v>189</v>
      </c>
      <c r="O644" s="35">
        <f>O470</f>
        <v>0.42378048780487804</v>
      </c>
      <c r="P644" s="92" t="s">
        <v>375</v>
      </c>
      <c r="Q644" s="92" t="s">
        <v>182</v>
      </c>
      <c r="R644" s="92" t="s">
        <v>393</v>
      </c>
      <c r="S644" s="91" t="s">
        <v>9</v>
      </c>
      <c r="T644">
        <v>222</v>
      </c>
      <c r="U644">
        <v>6586</v>
      </c>
    </row>
    <row r="645" spans="1:21" ht="12.75" customHeight="1" x14ac:dyDescent="0.25">
      <c r="A645" s="23" t="str">
        <f t="shared" si="0"/>
        <v>03 2026</v>
      </c>
      <c r="B645" s="21" t="str">
        <f>("")</f>
        <v/>
      </c>
      <c r="C645" s="18" t="str">
        <f>("")</f>
        <v/>
      </c>
      <c r="D645" s="18" t="str">
        <f>("")</f>
        <v/>
      </c>
      <c r="E645" s="88" t="str">
        <f>("")</f>
        <v/>
      </c>
      <c r="F645" s="88" t="str">
        <f>("")</f>
        <v/>
      </c>
      <c r="G645" s="88" t="str">
        <f>("")</f>
        <v/>
      </c>
      <c r="H645" s="88" t="str">
        <f>("")</f>
        <v/>
      </c>
      <c r="I645" s="88" t="str">
        <f>("")</f>
        <v/>
      </c>
      <c r="J645" s="92">
        <f>J504</f>
        <v>16</v>
      </c>
      <c r="K645" s="92">
        <f>K504</f>
        <v>25</v>
      </c>
      <c r="L645" s="35">
        <f>L504</f>
        <v>0.36</v>
      </c>
      <c r="M645" s="92">
        <f>M504</f>
        <v>344</v>
      </c>
      <c r="N645" s="92">
        <f>N504</f>
        <v>206</v>
      </c>
      <c r="O645" s="35">
        <f>O504</f>
        <v>0.40116279069767441</v>
      </c>
      <c r="P645" s="92" t="s">
        <v>375</v>
      </c>
      <c r="Q645" s="92" t="s">
        <v>201</v>
      </c>
      <c r="R645" s="92" t="s">
        <v>406</v>
      </c>
      <c r="S645" s="91" t="s">
        <v>9</v>
      </c>
      <c r="T645">
        <v>239</v>
      </c>
      <c r="U645">
        <v>6930</v>
      </c>
    </row>
    <row r="646" spans="1:21" ht="12.75" customHeight="1" x14ac:dyDescent="0.25">
      <c r="A646" s="23" t="str">
        <f t="shared" si="0"/>
        <v>04 2026</v>
      </c>
      <c r="B646" s="21" t="str">
        <f>("")</f>
        <v/>
      </c>
      <c r="C646" s="18" t="str">
        <f>("")</f>
        <v/>
      </c>
      <c r="D646" s="18" t="str">
        <f>("")</f>
        <v/>
      </c>
      <c r="E646" s="88" t="str">
        <f>("")</f>
        <v/>
      </c>
      <c r="F646" s="88" t="str">
        <f>("")</f>
        <v/>
      </c>
      <c r="G646" s="88" t="str">
        <f>("")</f>
        <v/>
      </c>
      <c r="H646" s="88" t="str">
        <f>("")</f>
        <v/>
      </c>
      <c r="I646" s="88" t="str">
        <f>("")</f>
        <v/>
      </c>
      <c r="J646" s="92">
        <f>J527</f>
        <v>5</v>
      </c>
      <c r="K646" s="92">
        <f>K527</f>
        <v>14</v>
      </c>
      <c r="L646" s="35">
        <f>L527</f>
        <v>0.6428571428571429</v>
      </c>
      <c r="M646" s="92">
        <f>M527</f>
        <v>345</v>
      </c>
      <c r="N646" s="92">
        <f>N527</f>
        <v>71</v>
      </c>
      <c r="O646" s="35">
        <f>O527</f>
        <v>0.79420289855072468</v>
      </c>
      <c r="P646" s="92" t="s">
        <v>375</v>
      </c>
      <c r="Q646" s="92" t="s">
        <v>218</v>
      </c>
      <c r="R646" s="92" t="s">
        <v>427</v>
      </c>
      <c r="S646" s="91" t="s">
        <v>9</v>
      </c>
      <c r="T646">
        <v>244</v>
      </c>
      <c r="U646">
        <v>7275</v>
      </c>
    </row>
    <row r="647" spans="1:21" ht="12.75" customHeight="1" x14ac:dyDescent="0.25">
      <c r="A647" s="23" t="str">
        <f t="shared" si="0"/>
        <v>05 2026</v>
      </c>
      <c r="B647" s="21" t="str">
        <f>("")</f>
        <v/>
      </c>
      <c r="C647" s="18" t="str">
        <f>("")</f>
        <v/>
      </c>
      <c r="D647" s="18" t="str">
        <f>("")</f>
        <v/>
      </c>
      <c r="E647" s="88" t="str">
        <f>("")</f>
        <v/>
      </c>
      <c r="F647" s="88" t="str">
        <f>("")</f>
        <v/>
      </c>
      <c r="G647" s="88" t="str">
        <f>("")</f>
        <v/>
      </c>
      <c r="H647" s="88" t="str">
        <f>("")</f>
        <v/>
      </c>
      <c r="I647" s="88" t="str">
        <f>("")</f>
        <v/>
      </c>
      <c r="J647" s="92">
        <f>J554</f>
        <v>15</v>
      </c>
      <c r="K647" s="92">
        <f>K554</f>
        <v>18</v>
      </c>
      <c r="L647" s="35">
        <f>L554</f>
        <v>0.16666666666666666</v>
      </c>
      <c r="M647" s="92">
        <f>M554</f>
        <v>352</v>
      </c>
      <c r="N647" s="92">
        <f>N554</f>
        <v>138</v>
      </c>
      <c r="O647" s="35">
        <f>O554</f>
        <v>0.60795454545454541</v>
      </c>
      <c r="P647" s="92" t="s">
        <v>375</v>
      </c>
      <c r="Q647" s="92" t="s">
        <v>239</v>
      </c>
      <c r="R647" s="92" t="s">
        <v>445</v>
      </c>
      <c r="S647" s="91" t="s">
        <v>9</v>
      </c>
      <c r="T647">
        <v>258</v>
      </c>
      <c r="U647">
        <v>7627</v>
      </c>
    </row>
    <row r="648" spans="1:21" ht="12.75" customHeight="1" x14ac:dyDescent="0.25">
      <c r="A648" s="23" t="str">
        <f t="shared" si="0"/>
        <v>06 2026</v>
      </c>
      <c r="B648" s="21" t="str">
        <f>("")</f>
        <v/>
      </c>
      <c r="C648" s="18" t="str">
        <f>("")</f>
        <v/>
      </c>
      <c r="D648" s="18" t="str">
        <f>("")</f>
        <v/>
      </c>
      <c r="E648" s="88" t="str">
        <f>("")</f>
        <v/>
      </c>
      <c r="F648" s="88" t="str">
        <f>("")</f>
        <v/>
      </c>
      <c r="G648" s="88" t="str">
        <f>("")</f>
        <v/>
      </c>
      <c r="H648" s="88" t="str">
        <f>("")</f>
        <v/>
      </c>
      <c r="I648" s="88" t="str">
        <f>("")</f>
        <v/>
      </c>
      <c r="J648" s="92">
        <f>J582</f>
        <v>6</v>
      </c>
      <c r="K648" s="92">
        <f>K582</f>
        <v>19</v>
      </c>
      <c r="L648" s="35">
        <f>L582</f>
        <v>0.68421052631578949</v>
      </c>
      <c r="M648" s="92">
        <f>M582</f>
        <v>321</v>
      </c>
      <c r="N648" s="92">
        <f>N582</f>
        <v>147</v>
      </c>
      <c r="O648" s="35">
        <f>O582</f>
        <v>0.54205607476635509</v>
      </c>
      <c r="P648" s="92" t="s">
        <v>375</v>
      </c>
      <c r="Q648" s="92" t="s">
        <v>254</v>
      </c>
      <c r="R648" s="92" t="s">
        <v>459</v>
      </c>
      <c r="S648" s="91" t="s">
        <v>9</v>
      </c>
      <c r="T648">
        <v>265</v>
      </c>
      <c r="U648">
        <v>7948</v>
      </c>
    </row>
    <row r="649" spans="1:21" ht="12.75" customHeight="1" x14ac:dyDescent="0.25">
      <c r="A649" s="23" t="str">
        <f t="shared" si="0"/>
        <v>07 2026</v>
      </c>
      <c r="B649" s="21" t="str">
        <f>("")</f>
        <v/>
      </c>
      <c r="C649" s="18" t="str">
        <f>("")</f>
        <v/>
      </c>
      <c r="D649" s="18" t="str">
        <f>("")</f>
        <v/>
      </c>
      <c r="E649" s="88" t="str">
        <f>("")</f>
        <v/>
      </c>
      <c r="F649" s="88" t="str">
        <f>("")</f>
        <v/>
      </c>
      <c r="G649" s="88" t="str">
        <f>("")</f>
        <v/>
      </c>
      <c r="H649" s="88" t="str">
        <f>("")</f>
        <v/>
      </c>
      <c r="I649" s="88" t="str">
        <f>("")</f>
        <v/>
      </c>
      <c r="J649" s="92">
        <f>J604</f>
        <v>0</v>
      </c>
      <c r="K649" s="92">
        <f>K604</f>
        <v>13</v>
      </c>
      <c r="L649" s="35">
        <f>L604</f>
        <v>1</v>
      </c>
      <c r="M649" s="92">
        <f>M604</f>
        <v>351</v>
      </c>
      <c r="N649" s="92">
        <f>N604</f>
        <v>0</v>
      </c>
      <c r="O649" s="35">
        <f>O604</f>
        <v>1</v>
      </c>
      <c r="P649" s="92" t="s">
        <v>375</v>
      </c>
      <c r="Q649" s="92" t="s">
        <v>7</v>
      </c>
      <c r="R649" s="92" t="s">
        <v>473</v>
      </c>
      <c r="S649" s="91" t="s">
        <v>9</v>
      </c>
      <c r="T649">
        <v>265</v>
      </c>
      <c r="U649">
        <v>8299</v>
      </c>
    </row>
    <row r="650" spans="1:21" ht="12.75" customHeight="1" x14ac:dyDescent="0.25">
      <c r="A650" s="20" t="str">
        <f t="shared" si="0"/>
        <v>08 2026</v>
      </c>
      <c r="B650" s="21" t="str">
        <f>("")</f>
        <v/>
      </c>
      <c r="C650" s="18" t="str">
        <f>("")</f>
        <v/>
      </c>
      <c r="D650" s="18" t="str">
        <f>("")</f>
        <v/>
      </c>
      <c r="E650" s="88" t="str">
        <f>("")</f>
        <v/>
      </c>
      <c r="F650" s="88" t="str">
        <f>("")</f>
        <v/>
      </c>
      <c r="G650" s="88" t="str">
        <f>("")</f>
        <v/>
      </c>
      <c r="H650" s="88" t="str">
        <f>("")</f>
        <v/>
      </c>
      <c r="I650" s="88" t="str">
        <f>("")</f>
        <v/>
      </c>
      <c r="J650" s="89">
        <f>J616</f>
        <v>0</v>
      </c>
      <c r="K650" s="89">
        <f>K616</f>
        <v>3</v>
      </c>
      <c r="L650" s="34">
        <f>L616</f>
        <v>1</v>
      </c>
      <c r="M650" s="89">
        <f>M616</f>
        <v>27</v>
      </c>
      <c r="N650" s="89">
        <f>N616</f>
        <v>0</v>
      </c>
      <c r="O650" s="34">
        <f>O616</f>
        <v>1</v>
      </c>
      <c r="P650" s="89" t="s">
        <v>375</v>
      </c>
      <c r="Q650" s="89" t="s">
        <v>24</v>
      </c>
      <c r="R650" s="89" t="s">
        <v>494</v>
      </c>
      <c r="S650" s="90" t="s">
        <v>9</v>
      </c>
      <c r="T650">
        <v>265</v>
      </c>
      <c r="U650">
        <v>8326</v>
      </c>
    </row>
    <row r="651" spans="1:21" ht="17.25" customHeight="1" x14ac:dyDescent="0.25">
      <c r="A651" s="94"/>
      <c r="B651" s="95"/>
      <c r="C651" s="94"/>
      <c r="D651" s="94"/>
      <c r="E651" s="96"/>
      <c r="F651" s="96"/>
      <c r="G651" s="96"/>
      <c r="H651" s="96"/>
      <c r="I651" s="97" t="s">
        <v>1093</v>
      </c>
      <c r="J651" s="99">
        <f>SUM(J625:J650)</f>
        <v>265</v>
      </c>
      <c r="K651" s="99">
        <f>SUM(K625:K650)</f>
        <v>384</v>
      </c>
      <c r="L651" s="101">
        <f>(K651-J651)/K651</f>
        <v>0.30989583333333331</v>
      </c>
      <c r="M651" s="99">
        <f>SUM(M625:M650)</f>
        <v>8326</v>
      </c>
      <c r="N651" s="99">
        <f>SUM(N625:N650)</f>
        <v>3292</v>
      </c>
      <c r="O651" s="101">
        <f>(M651-N651)/M651</f>
        <v>0.60461205861157818</v>
      </c>
      <c r="P651" s="99"/>
      <c r="Q651" s="99"/>
      <c r="R651" s="99"/>
      <c r="S651" s="100"/>
    </row>
    <row r="652" spans="1:21" x14ac:dyDescent="0.25">
      <c r="A652" s="62"/>
      <c r="B652" s="62"/>
      <c r="C652" s="62"/>
      <c r="D652" s="62"/>
      <c r="E652" s="62"/>
      <c r="F652" s="62"/>
      <c r="G652" s="62"/>
      <c r="H652" s="62"/>
      <c r="I652" s="102"/>
      <c r="J652" s="102"/>
      <c r="K652" s="102"/>
      <c r="L652" s="103"/>
      <c r="M652" s="102"/>
      <c r="N652" s="102"/>
      <c r="O652" s="103"/>
      <c r="P652" s="102"/>
      <c r="Q652" s="102"/>
      <c r="R652" s="102"/>
      <c r="S652" s="102"/>
    </row>
    <row r="653" spans="1:21" x14ac:dyDescent="0.25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</row>
  </sheetData>
  <mergeCells count="54">
    <mergeCell ref="A587:O587"/>
    <mergeCell ref="A588:O588"/>
    <mergeCell ref="A609:O609"/>
    <mergeCell ref="A610:O610"/>
    <mergeCell ref="A621:Q621"/>
    <mergeCell ref="A622:Q622"/>
    <mergeCell ref="A509:O509"/>
    <mergeCell ref="A510:O510"/>
    <mergeCell ref="A532:O532"/>
    <mergeCell ref="A533:O533"/>
    <mergeCell ref="A559:O559"/>
    <mergeCell ref="A560:O560"/>
    <mergeCell ref="A431:O431"/>
    <mergeCell ref="A432:O432"/>
    <mergeCell ref="A453:O453"/>
    <mergeCell ref="A454:O454"/>
    <mergeCell ref="A475:O475"/>
    <mergeCell ref="A476:O476"/>
    <mergeCell ref="A360:O360"/>
    <mergeCell ref="A361:O361"/>
    <mergeCell ref="A379:O379"/>
    <mergeCell ref="A380:O380"/>
    <mergeCell ref="A400:O400"/>
    <mergeCell ref="A401:O401"/>
    <mergeCell ref="A297:O297"/>
    <mergeCell ref="A298:O298"/>
    <mergeCell ref="A315:O315"/>
    <mergeCell ref="A316:O316"/>
    <mergeCell ref="A339:O339"/>
    <mergeCell ref="A340:O340"/>
    <mergeCell ref="A235:O235"/>
    <mergeCell ref="A236:O236"/>
    <mergeCell ref="A261:O261"/>
    <mergeCell ref="A262:O262"/>
    <mergeCell ref="A278:O278"/>
    <mergeCell ref="A279:O279"/>
    <mergeCell ref="A166:O166"/>
    <mergeCell ref="A167:O167"/>
    <mergeCell ref="A189:O189"/>
    <mergeCell ref="A190:O190"/>
    <mergeCell ref="A215:O215"/>
    <mergeCell ref="A216:O216"/>
    <mergeCell ref="A72:O72"/>
    <mergeCell ref="A73:O73"/>
    <mergeCell ref="A106:O106"/>
    <mergeCell ref="A107:O107"/>
    <mergeCell ref="A130:O130"/>
    <mergeCell ref="A131:O131"/>
    <mergeCell ref="A3:O3"/>
    <mergeCell ref="A4:O4"/>
    <mergeCell ref="A16:O16"/>
    <mergeCell ref="A17:O17"/>
    <mergeCell ref="A47:O47"/>
    <mergeCell ref="A48:O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Special_Chart</vt:lpstr>
      <vt:lpstr>Monthly_Chart</vt:lpstr>
      <vt:lpstr>KPI_Special</vt:lpstr>
      <vt:lpstr>KPI_Monthly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Fritts</dc:creator>
  <cp:lastModifiedBy>Alex Fritts</cp:lastModifiedBy>
  <dcterms:created xsi:type="dcterms:W3CDTF">2026-10-13T01:57:41Z</dcterms:created>
  <dcterms:modified xsi:type="dcterms:W3CDTF">2026-10-13T02:04:53Z</dcterms:modified>
</cp:coreProperties>
</file>