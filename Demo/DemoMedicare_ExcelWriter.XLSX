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D_KPI\"/>
    </mc:Choice>
  </mc:AlternateContent>
  <xr:revisionPtr revIDLastSave="0" documentId="13_ncr:1_{DE2421CE-90F0-4DBD-A070-83DFF40D7ACD}" xr6:coauthVersionLast="47" xr6:coauthVersionMax="47" xr10:uidLastSave="{00000000-0000-0000-0000-000000000000}"/>
  <bookViews>
    <workbookView minimized="1" xWindow="0" yWindow="3465" windowWidth="21600" windowHeight="11295" activeTab="1" xr2:uid="{D34A15FC-D4B8-4DBE-9F5F-BE9813CC388D}"/>
  </bookViews>
  <sheets>
    <sheet name="Medicare_Report" sheetId="1" r:id="rId1"/>
    <sheet name="Medicare_Chart" sheetId="2" r:id="rId2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688" i="1" l="1"/>
  <c r="N2696" i="1"/>
  <c r="M2699" i="1"/>
  <c r="K2701" i="1"/>
  <c r="L2701" i="1"/>
  <c r="N2701" i="1"/>
  <c r="M2702" i="1"/>
  <c r="N2703" i="1"/>
  <c r="M2710" i="1"/>
  <c r="N2710" i="1"/>
  <c r="K2712" i="1"/>
  <c r="L2712" i="1"/>
  <c r="M2713" i="1"/>
  <c r="L2714" i="1"/>
  <c r="K2717" i="1"/>
  <c r="N2720" i="1"/>
  <c r="L2721" i="1"/>
  <c r="M2721" i="1"/>
  <c r="K2722" i="1"/>
  <c r="Q3" i="1"/>
  <c r="C4" i="1"/>
  <c r="C3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N2671" i="1"/>
  <c r="M2671" i="1"/>
  <c r="Q2671" i="1" s="1"/>
  <c r="Q2725" i="1" s="1"/>
  <c r="L2671" i="1"/>
  <c r="L2725" i="1" s="1"/>
  <c r="K2671" i="1"/>
  <c r="K2725" i="1" s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N2631" i="1"/>
  <c r="M2631" i="1"/>
  <c r="L2631" i="1"/>
  <c r="L2724" i="1" s="1"/>
  <c r="K2631" i="1"/>
  <c r="K2724" i="1" s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N2552" i="1"/>
  <c r="N2723" i="1" s="1"/>
  <c r="M2552" i="1"/>
  <c r="L2552" i="1"/>
  <c r="L2723" i="1" s="1"/>
  <c r="K2552" i="1"/>
  <c r="K2723" i="1" s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N2530" i="1"/>
  <c r="M2530" i="1"/>
  <c r="L2530" i="1"/>
  <c r="L2722" i="1" s="1"/>
  <c r="K2530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N2493" i="1"/>
  <c r="M2493" i="1"/>
  <c r="L2493" i="1"/>
  <c r="K2493" i="1"/>
  <c r="K2721" i="1" s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N2452" i="1"/>
  <c r="M2452" i="1"/>
  <c r="L2452" i="1"/>
  <c r="L2720" i="1" s="1"/>
  <c r="K2452" i="1"/>
  <c r="K2720" i="1" s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N2369" i="1"/>
  <c r="M2369" i="1"/>
  <c r="L2369" i="1"/>
  <c r="L2719" i="1" s="1"/>
  <c r="K2369" i="1"/>
  <c r="K2719" i="1" s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N2338" i="1"/>
  <c r="N2718" i="1" s="1"/>
  <c r="M2338" i="1"/>
  <c r="M2718" i="1" s="1"/>
  <c r="L2338" i="1"/>
  <c r="L2718" i="1" s="1"/>
  <c r="K2338" i="1"/>
  <c r="K2718" i="1" s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N2298" i="1"/>
  <c r="N2717" i="1" s="1"/>
  <c r="M2298" i="1"/>
  <c r="M2717" i="1" s="1"/>
  <c r="L2298" i="1"/>
  <c r="L2717" i="1" s="1"/>
  <c r="K229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N2232" i="1"/>
  <c r="N2716" i="1" s="1"/>
  <c r="M2232" i="1"/>
  <c r="L2232" i="1"/>
  <c r="L2716" i="1" s="1"/>
  <c r="K2232" i="1"/>
  <c r="K2716" i="1" s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N2184" i="1"/>
  <c r="M2184" i="1"/>
  <c r="L2184" i="1"/>
  <c r="L2715" i="1" s="1"/>
  <c r="K2184" i="1"/>
  <c r="K2715" i="1" s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N2105" i="1"/>
  <c r="N2714" i="1" s="1"/>
  <c r="M2105" i="1"/>
  <c r="M2714" i="1" s="1"/>
  <c r="L2105" i="1"/>
  <c r="K2105" i="1"/>
  <c r="K2714" i="1" s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N2063" i="1"/>
  <c r="M2063" i="1"/>
  <c r="L2063" i="1"/>
  <c r="L2713" i="1" s="1"/>
  <c r="K2063" i="1"/>
  <c r="K2713" i="1" s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N1988" i="1"/>
  <c r="M1988" i="1"/>
  <c r="Q1988" i="1" s="1"/>
  <c r="Q2712" i="1" s="1"/>
  <c r="L1988" i="1"/>
  <c r="K1988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N1903" i="1"/>
  <c r="M1903" i="1"/>
  <c r="M2711" i="1" s="1"/>
  <c r="L1903" i="1"/>
  <c r="L2711" i="1" s="1"/>
  <c r="K1903" i="1"/>
  <c r="K2711" i="1" s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N1866" i="1"/>
  <c r="M1866" i="1"/>
  <c r="L1866" i="1"/>
  <c r="L2710" i="1" s="1"/>
  <c r="K1866" i="1"/>
  <c r="K2710" i="1" s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N1796" i="1"/>
  <c r="M1796" i="1"/>
  <c r="L1796" i="1"/>
  <c r="L2709" i="1" s="1"/>
  <c r="K1796" i="1"/>
  <c r="K2709" i="1" s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N1703" i="1"/>
  <c r="M1703" i="1"/>
  <c r="L1703" i="1"/>
  <c r="L2708" i="1" s="1"/>
  <c r="K1703" i="1"/>
  <c r="K2708" i="1" s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N1610" i="1"/>
  <c r="N2707" i="1" s="1"/>
  <c r="M1610" i="1"/>
  <c r="L1610" i="1"/>
  <c r="L2707" i="1" s="1"/>
  <c r="K1610" i="1"/>
  <c r="K2707" i="1" s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N1523" i="1"/>
  <c r="M1523" i="1"/>
  <c r="M2706" i="1" s="1"/>
  <c r="L1523" i="1"/>
  <c r="L2706" i="1" s="1"/>
  <c r="K1523" i="1"/>
  <c r="K2706" i="1" s="1"/>
  <c r="R1519" i="1"/>
  <c r="R1520" i="1"/>
  <c r="R1521" i="1"/>
  <c r="R1522" i="1"/>
  <c r="Q1519" i="1"/>
  <c r="Q1520" i="1"/>
  <c r="Q1521" i="1"/>
  <c r="Q1522" i="1"/>
  <c r="P1519" i="1"/>
  <c r="P1520" i="1"/>
  <c r="P1521" i="1"/>
  <c r="P1522" i="1"/>
  <c r="O1519" i="1"/>
  <c r="O1520" i="1"/>
  <c r="O1521" i="1"/>
  <c r="O1522" i="1"/>
  <c r="N1512" i="1"/>
  <c r="M1512" i="1"/>
  <c r="L1512" i="1"/>
  <c r="L2705" i="1" s="1"/>
  <c r="K1512" i="1"/>
  <c r="K2705" i="1" s="1"/>
  <c r="R1503" i="1"/>
  <c r="R1504" i="1"/>
  <c r="R1505" i="1"/>
  <c r="R1506" i="1"/>
  <c r="R1507" i="1"/>
  <c r="R1508" i="1"/>
  <c r="R1509" i="1"/>
  <c r="R1510" i="1"/>
  <c r="R1511" i="1"/>
  <c r="Q1503" i="1"/>
  <c r="Q1504" i="1"/>
  <c r="Q1505" i="1"/>
  <c r="Q1506" i="1"/>
  <c r="Q1507" i="1"/>
  <c r="Q1508" i="1"/>
  <c r="Q1509" i="1"/>
  <c r="Q1510" i="1"/>
  <c r="Q1511" i="1"/>
  <c r="P1503" i="1"/>
  <c r="P1504" i="1"/>
  <c r="P1505" i="1"/>
  <c r="P1506" i="1"/>
  <c r="P1507" i="1"/>
  <c r="P1508" i="1"/>
  <c r="P1509" i="1"/>
  <c r="P1510" i="1"/>
  <c r="P1511" i="1"/>
  <c r="O1503" i="1"/>
  <c r="O1504" i="1"/>
  <c r="O1505" i="1"/>
  <c r="O1506" i="1"/>
  <c r="O1507" i="1"/>
  <c r="O1508" i="1"/>
  <c r="O1509" i="1"/>
  <c r="O1510" i="1"/>
  <c r="O1511" i="1"/>
  <c r="N1496" i="1"/>
  <c r="M1496" i="1"/>
  <c r="M2704" i="1" s="1"/>
  <c r="L1496" i="1"/>
  <c r="L2704" i="1" s="1"/>
  <c r="K1496" i="1"/>
  <c r="K2704" i="1" s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N1452" i="1"/>
  <c r="M1452" i="1"/>
  <c r="L1452" i="1"/>
  <c r="L2703" i="1" s="1"/>
  <c r="K1452" i="1"/>
  <c r="K2703" i="1" s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N1420" i="1"/>
  <c r="M1420" i="1"/>
  <c r="L1420" i="1"/>
  <c r="L2702" i="1" s="1"/>
  <c r="K1420" i="1"/>
  <c r="K2702" i="1" s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N1400" i="1"/>
  <c r="M1400" i="1"/>
  <c r="L1400" i="1"/>
  <c r="K1400" i="1"/>
  <c r="R1399" i="1"/>
  <c r="Q1399" i="1"/>
  <c r="P1399" i="1"/>
  <c r="O1399" i="1"/>
  <c r="N1392" i="1"/>
  <c r="M1392" i="1"/>
  <c r="L1392" i="1"/>
  <c r="L2700" i="1" s="1"/>
  <c r="K1392" i="1"/>
  <c r="K2700" i="1" s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N1278" i="1"/>
  <c r="N2699" i="1" s="1"/>
  <c r="M1278" i="1"/>
  <c r="L1278" i="1"/>
  <c r="L2699" i="1" s="1"/>
  <c r="K1278" i="1"/>
  <c r="K2699" i="1" s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N1165" i="1"/>
  <c r="M1165" i="1"/>
  <c r="L1165" i="1"/>
  <c r="L2698" i="1" s="1"/>
  <c r="K1165" i="1"/>
  <c r="K2698" i="1" s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N1119" i="1"/>
  <c r="N2697" i="1" s="1"/>
  <c r="M1119" i="1"/>
  <c r="M2697" i="1" s="1"/>
  <c r="L1119" i="1"/>
  <c r="L2697" i="1" s="1"/>
  <c r="K1119" i="1"/>
  <c r="K2697" i="1" s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N1077" i="1"/>
  <c r="M1077" i="1"/>
  <c r="L1077" i="1"/>
  <c r="L2696" i="1" s="1"/>
  <c r="K1077" i="1"/>
  <c r="K2696" i="1" s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N1029" i="1"/>
  <c r="M1029" i="1"/>
  <c r="L1029" i="1"/>
  <c r="L2695" i="1" s="1"/>
  <c r="K1029" i="1"/>
  <c r="K2695" i="1" s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N963" i="1"/>
  <c r="N2694" i="1" s="1"/>
  <c r="M963" i="1"/>
  <c r="M2694" i="1" s="1"/>
  <c r="L963" i="1"/>
  <c r="L2694" i="1" s="1"/>
  <c r="K963" i="1"/>
  <c r="K2694" i="1" s="1"/>
  <c r="R953" i="1"/>
  <c r="R954" i="1"/>
  <c r="R955" i="1"/>
  <c r="R956" i="1"/>
  <c r="R957" i="1"/>
  <c r="R958" i="1"/>
  <c r="R959" i="1"/>
  <c r="R960" i="1"/>
  <c r="R961" i="1"/>
  <c r="R962" i="1"/>
  <c r="Q953" i="1"/>
  <c r="Q954" i="1"/>
  <c r="Q955" i="1"/>
  <c r="Q956" i="1"/>
  <c r="Q957" i="1"/>
  <c r="Q958" i="1"/>
  <c r="Q959" i="1"/>
  <c r="Q960" i="1"/>
  <c r="Q961" i="1"/>
  <c r="Q962" i="1"/>
  <c r="P953" i="1"/>
  <c r="P954" i="1"/>
  <c r="P955" i="1"/>
  <c r="P956" i="1"/>
  <c r="P957" i="1"/>
  <c r="P958" i="1"/>
  <c r="P959" i="1"/>
  <c r="P960" i="1"/>
  <c r="P961" i="1"/>
  <c r="P962" i="1"/>
  <c r="O953" i="1"/>
  <c r="O954" i="1"/>
  <c r="O955" i="1"/>
  <c r="O956" i="1"/>
  <c r="O957" i="1"/>
  <c r="O958" i="1"/>
  <c r="O959" i="1"/>
  <c r="O960" i="1"/>
  <c r="O961" i="1"/>
  <c r="O962" i="1"/>
  <c r="N946" i="1"/>
  <c r="M946" i="1"/>
  <c r="M2693" i="1" s="1"/>
  <c r="L946" i="1"/>
  <c r="L2693" i="1" s="1"/>
  <c r="K946" i="1"/>
  <c r="K2693" i="1" s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N793" i="1"/>
  <c r="M793" i="1"/>
  <c r="M2692" i="1" s="1"/>
  <c r="L793" i="1"/>
  <c r="L2692" i="1" s="1"/>
  <c r="K793" i="1"/>
  <c r="K2692" i="1" s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N768" i="1"/>
  <c r="M768" i="1"/>
  <c r="M2691" i="1" s="1"/>
  <c r="L768" i="1"/>
  <c r="L2691" i="1" s="1"/>
  <c r="K768" i="1"/>
  <c r="K2691" i="1" s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N688" i="1"/>
  <c r="M688" i="1"/>
  <c r="M2690" i="1" s="1"/>
  <c r="L688" i="1"/>
  <c r="L2690" i="1" s="1"/>
  <c r="K688" i="1"/>
  <c r="K2690" i="1" s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N599" i="1"/>
  <c r="M599" i="1"/>
  <c r="L599" i="1"/>
  <c r="L2689" i="1" s="1"/>
  <c r="K599" i="1"/>
  <c r="K2689" i="1" s="1"/>
  <c r="R596" i="1"/>
  <c r="R597" i="1"/>
  <c r="R598" i="1"/>
  <c r="Q596" i="1"/>
  <c r="Q597" i="1"/>
  <c r="Q598" i="1"/>
  <c r="P596" i="1"/>
  <c r="P597" i="1"/>
  <c r="P598" i="1"/>
  <c r="O596" i="1"/>
  <c r="O597" i="1"/>
  <c r="O598" i="1"/>
  <c r="N589" i="1"/>
  <c r="M589" i="1"/>
  <c r="M2688" i="1" s="1"/>
  <c r="L589" i="1"/>
  <c r="L2688" i="1" s="1"/>
  <c r="K589" i="1"/>
  <c r="K2688" i="1" s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N531" i="1"/>
  <c r="M531" i="1"/>
  <c r="Q531" i="1" s="1"/>
  <c r="Q2687" i="1" s="1"/>
  <c r="L531" i="1"/>
  <c r="L2687" i="1" s="1"/>
  <c r="K531" i="1"/>
  <c r="K2687" i="1" s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N476" i="1"/>
  <c r="M476" i="1"/>
  <c r="M2686" i="1" s="1"/>
  <c r="L476" i="1"/>
  <c r="L2686" i="1" s="1"/>
  <c r="K476" i="1"/>
  <c r="K2686" i="1" s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N397" i="1"/>
  <c r="M397" i="1"/>
  <c r="L397" i="1"/>
  <c r="L2685" i="1" s="1"/>
  <c r="K397" i="1"/>
  <c r="K2685" i="1" s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N347" i="1"/>
  <c r="N2684" i="1" s="1"/>
  <c r="M347" i="1"/>
  <c r="L347" i="1"/>
  <c r="L2684" i="1" s="1"/>
  <c r="K347" i="1"/>
  <c r="K2684" i="1" s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N217" i="1"/>
  <c r="N2683" i="1" s="1"/>
  <c r="M217" i="1"/>
  <c r="L217" i="1"/>
  <c r="L2683" i="1" s="1"/>
  <c r="K217" i="1"/>
  <c r="K2683" i="1" s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N135" i="1"/>
  <c r="M135" i="1"/>
  <c r="L135" i="1"/>
  <c r="L2682" i="1" s="1"/>
  <c r="K135" i="1"/>
  <c r="K2682" i="1" s="1"/>
  <c r="R130" i="1"/>
  <c r="R131" i="1"/>
  <c r="R132" i="1"/>
  <c r="R133" i="1"/>
  <c r="R134" i="1"/>
  <c r="Q130" i="1"/>
  <c r="Q131" i="1"/>
  <c r="Q132" i="1"/>
  <c r="Q133" i="1"/>
  <c r="Q134" i="1"/>
  <c r="P130" i="1"/>
  <c r="P131" i="1"/>
  <c r="P132" i="1"/>
  <c r="P133" i="1"/>
  <c r="P134" i="1"/>
  <c r="O130" i="1"/>
  <c r="O131" i="1"/>
  <c r="O132" i="1"/>
  <c r="O133" i="1"/>
  <c r="O134" i="1"/>
  <c r="Q123" i="1"/>
  <c r="Q2681" i="1" s="1"/>
  <c r="N123" i="1"/>
  <c r="M123" i="1"/>
  <c r="M2681" i="1" s="1"/>
  <c r="L123" i="1"/>
  <c r="L2681" i="1" s="1"/>
  <c r="K123" i="1"/>
  <c r="K2681" i="1" s="1"/>
  <c r="R118" i="1"/>
  <c r="R119" i="1"/>
  <c r="R120" i="1"/>
  <c r="R121" i="1"/>
  <c r="R122" i="1"/>
  <c r="Q118" i="1"/>
  <c r="Q119" i="1"/>
  <c r="Q120" i="1"/>
  <c r="Q121" i="1"/>
  <c r="Q122" i="1"/>
  <c r="P118" i="1"/>
  <c r="P119" i="1"/>
  <c r="P120" i="1"/>
  <c r="P121" i="1"/>
  <c r="P122" i="1"/>
  <c r="O118" i="1"/>
  <c r="O119" i="1"/>
  <c r="O120" i="1"/>
  <c r="O121" i="1"/>
  <c r="O122" i="1"/>
  <c r="N111" i="1"/>
  <c r="M111" i="1"/>
  <c r="L111" i="1"/>
  <c r="L2680" i="1" s="1"/>
  <c r="K111" i="1"/>
  <c r="K2680" i="1" s="1"/>
  <c r="R101" i="1"/>
  <c r="R102" i="1"/>
  <c r="R103" i="1"/>
  <c r="R104" i="1"/>
  <c r="R105" i="1"/>
  <c r="R106" i="1"/>
  <c r="R107" i="1"/>
  <c r="R108" i="1"/>
  <c r="R109" i="1"/>
  <c r="R110" i="1"/>
  <c r="Q101" i="1"/>
  <c r="Q102" i="1"/>
  <c r="Q103" i="1"/>
  <c r="Q104" i="1"/>
  <c r="Q105" i="1"/>
  <c r="Q106" i="1"/>
  <c r="Q107" i="1"/>
  <c r="Q108" i="1"/>
  <c r="Q109" i="1"/>
  <c r="Q110" i="1"/>
  <c r="P101" i="1"/>
  <c r="P102" i="1"/>
  <c r="P103" i="1"/>
  <c r="P104" i="1"/>
  <c r="P105" i="1"/>
  <c r="P106" i="1"/>
  <c r="P107" i="1"/>
  <c r="P108" i="1"/>
  <c r="P109" i="1"/>
  <c r="P110" i="1"/>
  <c r="O101" i="1"/>
  <c r="O102" i="1"/>
  <c r="O103" i="1"/>
  <c r="O104" i="1"/>
  <c r="O105" i="1"/>
  <c r="O106" i="1"/>
  <c r="O107" i="1"/>
  <c r="O108" i="1"/>
  <c r="O109" i="1"/>
  <c r="O110" i="1"/>
  <c r="N94" i="1"/>
  <c r="M94" i="1"/>
  <c r="L94" i="1"/>
  <c r="L2679" i="1" s="1"/>
  <c r="K94" i="1"/>
  <c r="K2679" i="1" s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N66" i="1"/>
  <c r="M66" i="1"/>
  <c r="M2678" i="1" s="1"/>
  <c r="L66" i="1"/>
  <c r="L2678" i="1" s="1"/>
  <c r="K66" i="1"/>
  <c r="K2678" i="1" s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Q1796" i="1" l="1"/>
  <c r="Q2709" i="1" s="1"/>
  <c r="Q2493" i="1"/>
  <c r="Q2721" i="1" s="1"/>
  <c r="M2712" i="1"/>
  <c r="Q111" i="1"/>
  <c r="Q2680" i="1" s="1"/>
  <c r="O476" i="1"/>
  <c r="O2686" i="1" s="1"/>
  <c r="O1703" i="1"/>
  <c r="O2708" i="1" s="1"/>
  <c r="Q768" i="1"/>
  <c r="Q2691" i="1" s="1"/>
  <c r="O1903" i="1"/>
  <c r="O2711" i="1" s="1"/>
  <c r="Q2631" i="1"/>
  <c r="Q2724" i="1" s="1"/>
  <c r="Q1903" i="1"/>
  <c r="Q2711" i="1" s="1"/>
  <c r="Q688" i="1"/>
  <c r="Q2690" i="1" s="1"/>
  <c r="O1610" i="1"/>
  <c r="O2707" i="1" s="1"/>
  <c r="O531" i="1"/>
  <c r="O2687" i="1" s="1"/>
  <c r="Q1278" i="1"/>
  <c r="Q2699" i="1" s="1"/>
  <c r="Q476" i="1"/>
  <c r="Q2686" i="1" s="1"/>
  <c r="M2687" i="1"/>
  <c r="Q2063" i="1"/>
  <c r="Q2713" i="1" s="1"/>
  <c r="M2709" i="1"/>
  <c r="M2725" i="1"/>
  <c r="Q1866" i="1"/>
  <c r="Q2710" i="1" s="1"/>
  <c r="M2724" i="1"/>
  <c r="O123" i="1"/>
  <c r="O2681" i="1" s="1"/>
  <c r="R397" i="1"/>
  <c r="R2685" i="1" s="1"/>
  <c r="N2704" i="1"/>
  <c r="R1496" i="1"/>
  <c r="R2704" i="1" s="1"/>
  <c r="P1496" i="1"/>
  <c r="P2704" i="1" s="1"/>
  <c r="O1496" i="1"/>
  <c r="O2704" i="1" s="1"/>
  <c r="R2105" i="1"/>
  <c r="R2714" i="1" s="1"/>
  <c r="Q2338" i="1"/>
  <c r="Q2718" i="1" s="1"/>
  <c r="Q946" i="1"/>
  <c r="Q2693" i="1" s="1"/>
  <c r="Q599" i="1"/>
  <c r="Q2689" i="1" s="1"/>
  <c r="P123" i="1"/>
  <c r="P2681" i="1" s="1"/>
  <c r="N2681" i="1"/>
  <c r="M2708" i="1"/>
  <c r="Q1703" i="1"/>
  <c r="Q2708" i="1" s="1"/>
  <c r="O397" i="1"/>
  <c r="O2685" i="1" s="1"/>
  <c r="O66" i="1"/>
  <c r="O2678" i="1" s="1"/>
  <c r="R123" i="1"/>
  <c r="R2681" i="1" s="1"/>
  <c r="Q66" i="1"/>
  <c r="Q2678" i="1" s="1"/>
  <c r="Q1496" i="1"/>
  <c r="Q2704" i="1" s="1"/>
  <c r="O2338" i="1"/>
  <c r="O2718" i="1" s="1"/>
  <c r="O2298" i="1"/>
  <c r="O2717" i="1" s="1"/>
  <c r="O946" i="1"/>
  <c r="O2693" i="1" s="1"/>
  <c r="O1420" i="1"/>
  <c r="O2702" i="1" s="1"/>
  <c r="Q2298" i="1"/>
  <c r="Q2717" i="1" s="1"/>
  <c r="R2338" i="1"/>
  <c r="R2718" i="1" s="1"/>
  <c r="R2298" i="1"/>
  <c r="R2717" i="1" s="1"/>
  <c r="Q347" i="1"/>
  <c r="Q2684" i="1" s="1"/>
  <c r="O963" i="1"/>
  <c r="O2694" i="1" s="1"/>
  <c r="Q1029" i="1"/>
  <c r="Q2695" i="1" s="1"/>
  <c r="R1523" i="1"/>
  <c r="R2706" i="1" s="1"/>
  <c r="Q963" i="1"/>
  <c r="Q2694" i="1" s="1"/>
  <c r="O1523" i="1"/>
  <c r="O2706" i="1" s="1"/>
  <c r="O1278" i="1"/>
  <c r="O2699" i="1" s="1"/>
  <c r="Q1523" i="1"/>
  <c r="Q2706" i="1" s="1"/>
  <c r="M2695" i="1"/>
  <c r="O793" i="1"/>
  <c r="O2692" i="1" s="1"/>
  <c r="O2493" i="1"/>
  <c r="O2721" i="1" s="1"/>
  <c r="O2671" i="1"/>
  <c r="O2725" i="1" s="1"/>
  <c r="Q793" i="1"/>
  <c r="Q2692" i="1" s="1"/>
  <c r="O1866" i="1"/>
  <c r="O2710" i="1" s="1"/>
  <c r="R2184" i="1"/>
  <c r="R2715" i="1" s="1"/>
  <c r="M2707" i="1"/>
  <c r="O768" i="1"/>
  <c r="O2691" i="1" s="1"/>
  <c r="P1610" i="1"/>
  <c r="P2707" i="1" s="1"/>
  <c r="O2631" i="1"/>
  <c r="O2724" i="1" s="1"/>
  <c r="O1796" i="1"/>
  <c r="O2709" i="1" s="1"/>
  <c r="O2063" i="1"/>
  <c r="O2713" i="1" s="1"/>
  <c r="O688" i="1"/>
  <c r="O2690" i="1" s="1"/>
  <c r="R1610" i="1"/>
  <c r="R2707" i="1" s="1"/>
  <c r="O111" i="1"/>
  <c r="O2680" i="1" s="1"/>
  <c r="R531" i="1"/>
  <c r="R2687" i="1" s="1"/>
  <c r="O1988" i="1"/>
  <c r="O2712" i="1" s="1"/>
  <c r="M2680" i="1"/>
  <c r="R688" i="1"/>
  <c r="R2690" i="1" s="1"/>
  <c r="P688" i="1"/>
  <c r="P2690" i="1" s="1"/>
  <c r="N2690" i="1"/>
  <c r="Q2452" i="1"/>
  <c r="Q2720" i="1" s="1"/>
  <c r="O2452" i="1"/>
  <c r="O2720" i="1" s="1"/>
  <c r="R1866" i="1"/>
  <c r="R2710" i="1" s="1"/>
  <c r="P1866" i="1"/>
  <c r="P2710" i="1" s="1"/>
  <c r="Q2184" i="1"/>
  <c r="Q2715" i="1" s="1"/>
  <c r="P2452" i="1"/>
  <c r="P2720" i="1" s="1"/>
  <c r="M2720" i="1"/>
  <c r="N2678" i="1"/>
  <c r="R66" i="1"/>
  <c r="R2678" i="1" s="1"/>
  <c r="P66" i="1"/>
  <c r="P2678" i="1" s="1"/>
  <c r="N2686" i="1"/>
  <c r="R476" i="1"/>
  <c r="R2686" i="1" s="1"/>
  <c r="R2452" i="1"/>
  <c r="R2720" i="1" s="1"/>
  <c r="R2493" i="1"/>
  <c r="R2721" i="1" s="1"/>
  <c r="N2721" i="1"/>
  <c r="P2493" i="1"/>
  <c r="P2721" i="1" s="1"/>
  <c r="N2725" i="1"/>
  <c r="R2671" i="1"/>
  <c r="R2725" i="1" s="1"/>
  <c r="P2671" i="1"/>
  <c r="P2725" i="1" s="1"/>
  <c r="N2687" i="1"/>
  <c r="P531" i="1"/>
  <c r="P2687" i="1" s="1"/>
  <c r="R1796" i="1"/>
  <c r="R2709" i="1" s="1"/>
  <c r="P1796" i="1"/>
  <c r="P2709" i="1" s="1"/>
  <c r="N2709" i="1"/>
  <c r="R2063" i="1"/>
  <c r="R2713" i="1" s="1"/>
  <c r="P2063" i="1"/>
  <c r="P2713" i="1" s="1"/>
  <c r="N2713" i="1"/>
  <c r="P476" i="1"/>
  <c r="P2686" i="1" s="1"/>
  <c r="N2724" i="1"/>
  <c r="R2631" i="1"/>
  <c r="R2724" i="1" s="1"/>
  <c r="P2631" i="1"/>
  <c r="P2724" i="1" s="1"/>
  <c r="R1988" i="1"/>
  <c r="R2712" i="1" s="1"/>
  <c r="N2712" i="1"/>
  <c r="P1988" i="1"/>
  <c r="P2712" i="1" s="1"/>
  <c r="N2693" i="1"/>
  <c r="R946" i="1"/>
  <c r="R2693" i="1" s="1"/>
  <c r="Q1119" i="1"/>
  <c r="Q2697" i="1" s="1"/>
  <c r="O1119" i="1"/>
  <c r="O2697" i="1" s="1"/>
  <c r="N2711" i="1"/>
  <c r="R1903" i="1"/>
  <c r="R2711" i="1" s="1"/>
  <c r="P1903" i="1"/>
  <c r="P2711" i="1" s="1"/>
  <c r="Q2530" i="1"/>
  <c r="Q2722" i="1" s="1"/>
  <c r="O2530" i="1"/>
  <c r="O2722" i="1" s="1"/>
  <c r="R599" i="1"/>
  <c r="R2689" i="1" s="1"/>
  <c r="P946" i="1"/>
  <c r="P2693" i="1" s="1"/>
  <c r="P2530" i="1"/>
  <c r="P2722" i="1" s="1"/>
  <c r="R2530" i="1"/>
  <c r="R2722" i="1" s="1"/>
  <c r="Q1392" i="1"/>
  <c r="Q2700" i="1" s="1"/>
  <c r="O1392" i="1"/>
  <c r="O2700" i="1" s="1"/>
  <c r="M2700" i="1"/>
  <c r="Q2232" i="1"/>
  <c r="Q2716" i="1" s="1"/>
  <c r="O2232" i="1"/>
  <c r="O2716" i="1" s="1"/>
  <c r="M2716" i="1"/>
  <c r="P1392" i="1"/>
  <c r="P2700" i="1" s="1"/>
  <c r="N2700" i="1"/>
  <c r="M2684" i="1"/>
  <c r="M2679" i="1"/>
  <c r="Q94" i="1"/>
  <c r="Q2679" i="1" s="1"/>
  <c r="P347" i="1"/>
  <c r="P2684" i="1" s="1"/>
  <c r="R347" i="1"/>
  <c r="R2684" i="1" s="1"/>
  <c r="R1392" i="1"/>
  <c r="R2700" i="1" s="1"/>
  <c r="M2719" i="1"/>
  <c r="Q2369" i="1"/>
  <c r="Q2719" i="1" s="1"/>
  <c r="N2679" i="1"/>
  <c r="R94" i="1"/>
  <c r="R2679" i="1" s="1"/>
  <c r="O347" i="1"/>
  <c r="O2684" i="1" s="1"/>
  <c r="R589" i="1"/>
  <c r="R2688" i="1" s="1"/>
  <c r="R2369" i="1"/>
  <c r="R2719" i="1" s="1"/>
  <c r="N2719" i="1"/>
  <c r="P2369" i="1"/>
  <c r="P2719" i="1" s="1"/>
  <c r="O94" i="1"/>
  <c r="O2679" i="1" s="1"/>
  <c r="R963" i="1"/>
  <c r="R2694" i="1" s="1"/>
  <c r="P963" i="1"/>
  <c r="P2694" i="1" s="1"/>
  <c r="R1703" i="1"/>
  <c r="R2708" i="1" s="1"/>
  <c r="P1703" i="1"/>
  <c r="P2708" i="1" s="1"/>
  <c r="N2708" i="1"/>
  <c r="O2369" i="1"/>
  <c r="O2719" i="1" s="1"/>
  <c r="P94" i="1"/>
  <c r="P2679" i="1" s="1"/>
  <c r="Q217" i="1"/>
  <c r="Q2683" i="1" s="1"/>
  <c r="M2683" i="1"/>
  <c r="O217" i="1"/>
  <c r="O2683" i="1" s="1"/>
  <c r="N2722" i="1"/>
  <c r="R1029" i="1"/>
  <c r="R2695" i="1" s="1"/>
  <c r="P1420" i="1"/>
  <c r="P2702" i="1" s="1"/>
  <c r="N2702" i="1"/>
  <c r="M2722" i="1"/>
  <c r="N2692" i="1"/>
  <c r="R793" i="1"/>
  <c r="R2692" i="1" s="1"/>
  <c r="P793" i="1"/>
  <c r="P2692" i="1" s="1"/>
  <c r="Q1512" i="1"/>
  <c r="Q2705" i="1" s="1"/>
  <c r="O1512" i="1"/>
  <c r="O2705" i="1" s="1"/>
  <c r="M2705" i="1"/>
  <c r="R1420" i="1"/>
  <c r="R2702" i="1" s="1"/>
  <c r="N2680" i="1"/>
  <c r="R111" i="1"/>
  <c r="R2680" i="1" s="1"/>
  <c r="P111" i="1"/>
  <c r="P2680" i="1" s="1"/>
  <c r="N2691" i="1"/>
  <c r="R768" i="1"/>
  <c r="R2691" i="1" s="1"/>
  <c r="P768" i="1"/>
  <c r="P2691" i="1" s="1"/>
  <c r="R1278" i="1"/>
  <c r="R2699" i="1" s="1"/>
  <c r="Q1400" i="1"/>
  <c r="Q2701" i="1" s="1"/>
  <c r="O1400" i="1"/>
  <c r="O2701" i="1" s="1"/>
  <c r="P1400" i="1"/>
  <c r="P2701" i="1" s="1"/>
  <c r="R1400" i="1"/>
  <c r="R2701" i="1" s="1"/>
  <c r="M2701" i="1"/>
  <c r="Q135" i="1"/>
  <c r="Q2682" i="1" s="1"/>
  <c r="Q1077" i="1"/>
  <c r="Q2696" i="1" s="1"/>
  <c r="P2232" i="1"/>
  <c r="P2716" i="1" s="1"/>
  <c r="M2696" i="1"/>
  <c r="P135" i="1"/>
  <c r="P2682" i="1" s="1"/>
  <c r="P1077" i="1"/>
  <c r="P2696" i="1" s="1"/>
  <c r="R2232" i="1"/>
  <c r="R2716" i="1" s="1"/>
  <c r="N2715" i="1"/>
  <c r="N2689" i="1"/>
  <c r="N2682" i="1"/>
  <c r="K2726" i="1"/>
  <c r="O135" i="1"/>
  <c r="O2682" i="1" s="1"/>
  <c r="Q397" i="1"/>
  <c r="Q2685" i="1" s="1"/>
  <c r="O1077" i="1"/>
  <c r="O2696" i="1" s="1"/>
  <c r="M2715" i="1"/>
  <c r="M2689" i="1"/>
  <c r="M2682" i="1"/>
  <c r="L2726" i="1"/>
  <c r="R135" i="1"/>
  <c r="R2682" i="1" s="1"/>
  <c r="P397" i="1"/>
  <c r="P2685" i="1" s="1"/>
  <c r="R1077" i="1"/>
  <c r="R2696" i="1" s="1"/>
  <c r="P1278" i="1"/>
  <c r="P2699" i="1" s="1"/>
  <c r="Q1420" i="1"/>
  <c r="Q2702" i="1" s="1"/>
  <c r="P2298" i="1"/>
  <c r="P2717" i="1" s="1"/>
  <c r="P2338" i="1"/>
  <c r="P2718" i="1" s="1"/>
  <c r="N2695" i="1"/>
  <c r="P217" i="1"/>
  <c r="P2683" i="1" s="1"/>
  <c r="P1512" i="1"/>
  <c r="P2705" i="1" s="1"/>
  <c r="R1512" i="1"/>
  <c r="R2705" i="1" s="1"/>
  <c r="R217" i="1"/>
  <c r="R2683" i="1" s="1"/>
  <c r="P1119" i="1"/>
  <c r="P2697" i="1" s="1"/>
  <c r="Q1452" i="1"/>
  <c r="Q2703" i="1" s="1"/>
  <c r="M2703" i="1"/>
  <c r="O1452" i="1"/>
  <c r="O2703" i="1" s="1"/>
  <c r="O2184" i="1"/>
  <c r="O2715" i="1" s="1"/>
  <c r="N2706" i="1"/>
  <c r="O589" i="1"/>
  <c r="O2688" i="1" s="1"/>
  <c r="O599" i="1"/>
  <c r="O2689" i="1" s="1"/>
  <c r="O1029" i="1"/>
  <c r="O2695" i="1" s="1"/>
  <c r="M2698" i="1"/>
  <c r="Q1165" i="1"/>
  <c r="Q2698" i="1" s="1"/>
  <c r="P1452" i="1"/>
  <c r="P2703" i="1" s="1"/>
  <c r="P1523" i="1"/>
  <c r="P2706" i="1" s="1"/>
  <c r="P2184" i="1"/>
  <c r="P2715" i="1" s="1"/>
  <c r="P589" i="1"/>
  <c r="P2688" i="1" s="1"/>
  <c r="P599" i="1"/>
  <c r="P2689" i="1" s="1"/>
  <c r="P1029" i="1"/>
  <c r="P2695" i="1" s="1"/>
  <c r="R1119" i="1"/>
  <c r="R2697" i="1" s="1"/>
  <c r="P1165" i="1"/>
  <c r="P2698" i="1" s="1"/>
  <c r="R1452" i="1"/>
  <c r="R2703" i="1" s="1"/>
  <c r="Q2552" i="1"/>
  <c r="Q2723" i="1" s="1"/>
  <c r="M2723" i="1"/>
  <c r="O2552" i="1"/>
  <c r="O2723" i="1" s="1"/>
  <c r="Q589" i="1"/>
  <c r="Q2688" i="1" s="1"/>
  <c r="O1165" i="1"/>
  <c r="O2698" i="1" s="1"/>
  <c r="P2552" i="1"/>
  <c r="P2723" i="1" s="1"/>
  <c r="R1165" i="1"/>
  <c r="R2698" i="1" s="1"/>
  <c r="Q2105" i="1"/>
  <c r="Q2714" i="1" s="1"/>
  <c r="R2552" i="1"/>
  <c r="R2723" i="1" s="1"/>
  <c r="N2705" i="1"/>
  <c r="P2105" i="1"/>
  <c r="P2714" i="1" s="1"/>
  <c r="N2698" i="1"/>
  <c r="N2685" i="1"/>
  <c r="Q1610" i="1"/>
  <c r="Q2707" i="1" s="1"/>
  <c r="O2105" i="1"/>
  <c r="O2714" i="1" s="1"/>
  <c r="M2685" i="1"/>
  <c r="M2726" i="1" l="1"/>
  <c r="O2726" i="1"/>
  <c r="Q2726" i="1"/>
  <c r="N2726" i="1"/>
  <c r="R2726" i="1" l="1"/>
  <c r="P2726" i="1"/>
</calcChain>
</file>

<file path=xl/sharedStrings.xml><?xml version="1.0" encoding="utf-8"?>
<sst xmlns="http://schemas.openxmlformats.org/spreadsheetml/2006/main" count="19788" uniqueCount="375">
  <si>
    <t>TX</t>
  </si>
  <si>
    <t>Certified Registered Nurse Anesthetist (CRNA)</t>
  </si>
  <si>
    <t>Facility</t>
  </si>
  <si>
    <t>Anesthesia</t>
  </si>
  <si>
    <t>Anesthesia|Anesthesia</t>
  </si>
  <si>
    <t>Anesthesia - Anesthesia</t>
  </si>
  <si>
    <t>CERTIFIED REGISTERED NURSE ANESTHETIST (CRNA)</t>
  </si>
  <si>
    <t>Anesthesiology</t>
  </si>
  <si>
    <t>ANESTHESIOLOGY</t>
  </si>
  <si>
    <t>Non-Facility</t>
  </si>
  <si>
    <t>Anesthesiology Assistant</t>
  </si>
  <si>
    <t>ANESTHESIOLOGY ASSISTANT</t>
  </si>
  <si>
    <t>Interventional Cardiology</t>
  </si>
  <si>
    <t>INTERVENTIONAL CARDIOLOGY</t>
  </si>
  <si>
    <t>Cardiology</t>
  </si>
  <si>
    <t>CARDIOLOGY</t>
  </si>
  <si>
    <t>Pain Management</t>
  </si>
  <si>
    <t>PAIN MANAGEMENT</t>
  </si>
  <si>
    <t>Diagnostic Radiology</t>
  </si>
  <si>
    <t>DIAGNOSTIC RADIOLOGY</t>
  </si>
  <si>
    <t>Interventional Pain Management</t>
  </si>
  <si>
    <t>INTERVENTIONAL PAIN MANAGEMENT</t>
  </si>
  <si>
    <t>Vascular Surgery</t>
  </si>
  <si>
    <t>VASCULAR SURGERY</t>
  </si>
  <si>
    <t>Nephrology</t>
  </si>
  <si>
    <t>NEPHROLOGY</t>
  </si>
  <si>
    <t>Interventional Radiology</t>
  </si>
  <si>
    <t>INTERVENTIONAL RADIOLOGY</t>
  </si>
  <si>
    <t>Emergency Medicine</t>
  </si>
  <si>
    <t>EMERGENCY MEDICINE</t>
  </si>
  <si>
    <t>Internal Medicine</t>
  </si>
  <si>
    <t>INTERNAL MEDICINE</t>
  </si>
  <si>
    <t>Clinical Cardiac Electrophysiology</t>
  </si>
  <si>
    <t>CLINICAL CARDIAC ELECTROPHYSIOLOGY</t>
  </si>
  <si>
    <t>Ophthalmology</t>
  </si>
  <si>
    <t>OPHTHALMOLOGY</t>
  </si>
  <si>
    <t>General Surgery</t>
  </si>
  <si>
    <t>GENERAL SURGERY</t>
  </si>
  <si>
    <t>Critical Care (Intensivists)</t>
  </si>
  <si>
    <t>CRITICAL CARE (INTENSIVISTS)</t>
  </si>
  <si>
    <t>Preventive Medicine</t>
  </si>
  <si>
    <t>PREVENTIVE MEDICINE</t>
  </si>
  <si>
    <t>Thoracic Surgery</t>
  </si>
  <si>
    <t>THORACIC SURGERY</t>
  </si>
  <si>
    <t>Pulmonary Disease</t>
  </si>
  <si>
    <t>PULMONARY DISEASE</t>
  </si>
  <si>
    <t>Nurse Practitioner</t>
  </si>
  <si>
    <t>NURSE PRACTITIONER</t>
  </si>
  <si>
    <t>Gastroenterology</t>
  </si>
  <si>
    <t>GASTROENTEROLOGY</t>
  </si>
  <si>
    <t>Physician Assistant</t>
  </si>
  <si>
    <t>PHYSICIAN ASSISTANT</t>
  </si>
  <si>
    <t>Advanced Heart Failure and Transplant Cardiology</t>
  </si>
  <si>
    <t>ADVANCED HEART FAILURE AND TRANSPLANT CARDIOLOGY</t>
  </si>
  <si>
    <t>Family Practice</t>
  </si>
  <si>
    <t>FAMILY PRACTICE</t>
  </si>
  <si>
    <t>Urology</t>
  </si>
  <si>
    <t>UROLOGY</t>
  </si>
  <si>
    <t>Physical Medicine and Rehabilitation</t>
  </si>
  <si>
    <t>PHYSICAL MEDICINE AND REHABILITATION</t>
  </si>
  <si>
    <t>Maxillofacial Surgery</t>
  </si>
  <si>
    <t>MAXILLOFACIAL SURGERY</t>
  </si>
  <si>
    <t>Hospitalist</t>
  </si>
  <si>
    <t>HOSPITALIST</t>
  </si>
  <si>
    <t>Cardiac Surgery</t>
  </si>
  <si>
    <t>CARDIAC SURGERY</t>
  </si>
  <si>
    <t>Neurology</t>
  </si>
  <si>
    <t>NEUROLOGY</t>
  </si>
  <si>
    <t>Neurosurgery</t>
  </si>
  <si>
    <t>NEUROSURGERY</t>
  </si>
  <si>
    <t>General Practice</t>
  </si>
  <si>
    <t>GENERAL PRACTICE</t>
  </si>
  <si>
    <t>Sports Medicine</t>
  </si>
  <si>
    <t>SPORTS MEDICINE</t>
  </si>
  <si>
    <t>Plastic and Reconstructive Surgery</t>
  </si>
  <si>
    <t>PLASTIC AND RECONSTRUCTIVE SURGERY</t>
  </si>
  <si>
    <t>Undefined Physician type</t>
  </si>
  <si>
    <t>UNDEFINED PHYSICIAN TYPE</t>
  </si>
  <si>
    <t>DME</t>
  </si>
  <si>
    <t>Drugs Administered Through DME</t>
  </si>
  <si>
    <t>DME|Drugs Administered Through DME</t>
  </si>
  <si>
    <t>DME - Drugs Administered Through DME</t>
  </si>
  <si>
    <t>Dermatology</t>
  </si>
  <si>
    <t>DERMATOLOGY</t>
  </si>
  <si>
    <t>Opioid Treatment Program</t>
  </si>
  <si>
    <t>OPIOID TREATMENT PROGRAM</t>
  </si>
  <si>
    <t>Home Infusion Therapy Services</t>
  </si>
  <si>
    <t>HOME INFUSION THERAPY SERVICES</t>
  </si>
  <si>
    <t>Pharmacy</t>
  </si>
  <si>
    <t>PHARMACY</t>
  </si>
  <si>
    <t>Orthopedic Surgery</t>
  </si>
  <si>
    <t>ORTHOPEDIC SURGERY</t>
  </si>
  <si>
    <t>Allergy/ Immunology</t>
  </si>
  <si>
    <t>ALLERGY/ IMMUNOLOGY</t>
  </si>
  <si>
    <t>Rheumatology</t>
  </si>
  <si>
    <t>RHEUMATOLOGY</t>
  </si>
  <si>
    <t>Pediatric Medicine</t>
  </si>
  <si>
    <t>PEDIATRIC MEDICINE</t>
  </si>
  <si>
    <t>Ambulatory Surgical Center</t>
  </si>
  <si>
    <t>Medical/Surgical Supplies</t>
  </si>
  <si>
    <t>DME|Medical/Surgical Supplies</t>
  </si>
  <si>
    <t>DME - Medical/Surgical Supplies</t>
  </si>
  <si>
    <t>AMBULATORY SURGICAL CENTER</t>
  </si>
  <si>
    <t>Podiatry</t>
  </si>
  <si>
    <t>PODIATRY</t>
  </si>
  <si>
    <t>Hand Surgery</t>
  </si>
  <si>
    <t>HAND SURGERY</t>
  </si>
  <si>
    <t>Orthotic Devices</t>
  </si>
  <si>
    <t>DME|Orthotic Devices</t>
  </si>
  <si>
    <t>DME - Orthotic Devices</t>
  </si>
  <si>
    <t>Obstetrics &amp; Gynecology</t>
  </si>
  <si>
    <t>OBSTETRICS &amp; GYNECOLOGY</t>
  </si>
  <si>
    <t>Audiologist</t>
  </si>
  <si>
    <t>AUDIOLOGIST</t>
  </si>
  <si>
    <t>Endocrinology</t>
  </si>
  <si>
    <t>Other DME</t>
  </si>
  <si>
    <t>DME|Other DME</t>
  </si>
  <si>
    <t>DME - Other DME</t>
  </si>
  <si>
    <t>ENDOCRINOLOGY</t>
  </si>
  <si>
    <t>Psychologist, Clinical</t>
  </si>
  <si>
    <t>E&amp;M</t>
  </si>
  <si>
    <t>Behavioral Health Services</t>
  </si>
  <si>
    <t>E&amp;M|Behavioral Health Services</t>
  </si>
  <si>
    <t>E&amp;M - Behavioral Health Services</t>
  </si>
  <si>
    <t>PSYCHOLOGIST, CLINICAL</t>
  </si>
  <si>
    <t>Licensed Clinical Social Worker</t>
  </si>
  <si>
    <t>LICENSED CLINICAL SOCIAL WORKER</t>
  </si>
  <si>
    <t>Psychiatry</t>
  </si>
  <si>
    <t>PSYCHIATRY</t>
  </si>
  <si>
    <t>Licensed Professional Counselor</t>
  </si>
  <si>
    <t>LICENSED PROFESSIONAL COUNSELOR</t>
  </si>
  <si>
    <t>Speech Language Pathologist</t>
  </si>
  <si>
    <t>SPEECH LANGUAGE PATHOLOGIST</t>
  </si>
  <si>
    <t>Marriage and Family Therapist</t>
  </si>
  <si>
    <t>MARRIAGE AND FAMILY THERAPIST</t>
  </si>
  <si>
    <t>Certified Clinical Nurse Specialist</t>
  </si>
  <si>
    <t>CERTIFIED CLINICAL NURSE SPECIALIST</t>
  </si>
  <si>
    <t>Geriatric Medicine</t>
  </si>
  <si>
    <t>GERIATRIC MEDICINE</t>
  </si>
  <si>
    <t>Geriatric Psychiatry</t>
  </si>
  <si>
    <t>GERIATRIC PSYCHIATRY</t>
  </si>
  <si>
    <t>Physical Therapist in Private Practice</t>
  </si>
  <si>
    <t>PHYSICAL THERAPIST IN PRIVATE PRACTICE</t>
  </si>
  <si>
    <t>Occupational Therapist in Private Practice</t>
  </si>
  <si>
    <t>OCCUPATIONAL THERAPIST IN PRIVATE PRACTICE</t>
  </si>
  <si>
    <t>Hematology-Oncology</t>
  </si>
  <si>
    <t>HEMATOLOGY-ONCOLOGY</t>
  </si>
  <si>
    <t>Neuropsychiatry</t>
  </si>
  <si>
    <t>NEUROPSYCHIATRY</t>
  </si>
  <si>
    <t>Addiction Medicine</t>
  </si>
  <si>
    <t>ADDICTION MEDICINE</t>
  </si>
  <si>
    <t>Infectious Disease</t>
  </si>
  <si>
    <t>INFECTIOUS DISEASE</t>
  </si>
  <si>
    <t>Hospice and Palliative Care</t>
  </si>
  <si>
    <t>HOSPICE AND PALLIATIVE CARE</t>
  </si>
  <si>
    <t>Sleep Medicine</t>
  </si>
  <si>
    <t>SLEEP MEDICINE</t>
  </si>
  <si>
    <t>Medical Oncology</t>
  </si>
  <si>
    <t>MEDICAL ONCOLOGY</t>
  </si>
  <si>
    <t>Hematology</t>
  </si>
  <si>
    <t>HEMATOLOGY</t>
  </si>
  <si>
    <t>Radiation Oncology</t>
  </si>
  <si>
    <t>RADIATION ONCOLOGY</t>
  </si>
  <si>
    <t>Care Management/Coordination</t>
  </si>
  <si>
    <t>E&amp;M|Care Management/Coordination</t>
  </si>
  <si>
    <t>E&amp;M - Care Management/Coordination</t>
  </si>
  <si>
    <t>Optometry</t>
  </si>
  <si>
    <t>OPTOMETRY</t>
  </si>
  <si>
    <t>Registered Dietitian or Nutrition Professional</t>
  </si>
  <si>
    <t>REGISTERED DIETITIAN OR NUTRITION PROFESSIONAL</t>
  </si>
  <si>
    <t>Otolaryngology</t>
  </si>
  <si>
    <t>OTOLARYNGOLOGY</t>
  </si>
  <si>
    <t>Gynecological Oncology</t>
  </si>
  <si>
    <t>GYNECOLOGICAL ONCOLOGY</t>
  </si>
  <si>
    <t>Micrographic Dermatologic Surgery</t>
  </si>
  <si>
    <t>MICROGRAPHIC DERMATOLOGIC SURGERY</t>
  </si>
  <si>
    <t>Surgical Oncology</t>
  </si>
  <si>
    <t>SURGICAL ONCOLOGY</t>
  </si>
  <si>
    <t>Hematopoietic Cell Transplantation and Cellular Therapy</t>
  </si>
  <si>
    <t>HEMATOPOIETIC CELL TRANSPLANTATION AND CELLULAR THERAPY</t>
  </si>
  <si>
    <t>Pathology</t>
  </si>
  <si>
    <t>PATHOLOGY</t>
  </si>
  <si>
    <t>Colorectal Surgery (Proctology)</t>
  </si>
  <si>
    <t>COLORECTAL SURGERY (PROCTOLOGY)</t>
  </si>
  <si>
    <t>Undersea and Hyperbaric Medicine</t>
  </si>
  <si>
    <t>UNDERSEA AND HYPERBARIC MEDICINE</t>
  </si>
  <si>
    <t>Adult Congenital Heart Disease</t>
  </si>
  <si>
    <t>ADULT CONGENITAL HEART DISEASE</t>
  </si>
  <si>
    <t>Critical Care Services</t>
  </si>
  <si>
    <t>E&amp;M|Critical Care Services</t>
  </si>
  <si>
    <t>E&amp;M - Critical Care Services</t>
  </si>
  <si>
    <t>Osteopathic Manipulative Medicine</t>
  </si>
  <si>
    <t>OSTEOPATHIC MANIPULATIVE MEDICINE</t>
  </si>
  <si>
    <t>E&amp;M - Miscellaneous</t>
  </si>
  <si>
    <t>E&amp;M|E&amp;M - Miscellaneous</t>
  </si>
  <si>
    <t>E&amp;M - E&amp;M - Miscellaneous</t>
  </si>
  <si>
    <t>Oral Surgery (Dentist only)</t>
  </si>
  <si>
    <t>ORAL SURGERY (DENTIST ONLY)</t>
  </si>
  <si>
    <t>Emergency Department Services</t>
  </si>
  <si>
    <t>E&amp;M|Emergency Department Services</t>
  </si>
  <si>
    <t>E&amp;M - Emergency Department Services</t>
  </si>
  <si>
    <t>Home Services</t>
  </si>
  <si>
    <t>E&amp;M|Home Services</t>
  </si>
  <si>
    <t>E&amp;M - Home Services</t>
  </si>
  <si>
    <t>Hospice</t>
  </si>
  <si>
    <t>E&amp;M|Hospice</t>
  </si>
  <si>
    <t>E&amp;M - Hospice</t>
  </si>
  <si>
    <t>Hospital Inpatient Services</t>
  </si>
  <si>
    <t>E&amp;M|Hospital Inpatient Services</t>
  </si>
  <si>
    <t>E&amp;M - Hospital Inpatient Services</t>
  </si>
  <si>
    <t>Nursing Facility Services</t>
  </si>
  <si>
    <t>E&amp;M|Nursing Facility Services</t>
  </si>
  <si>
    <t>E&amp;M - Nursing Facility Services</t>
  </si>
  <si>
    <t>Observation Care Services</t>
  </si>
  <si>
    <t>E&amp;M|Observation Care Services</t>
  </si>
  <si>
    <t>E&amp;M - Observation Care Services</t>
  </si>
  <si>
    <t>Office/Outpatient Services</t>
  </si>
  <si>
    <t>E&amp;M|Office/Outpatient Services</t>
  </si>
  <si>
    <t>E&amp;M - Office/Outpatient Services</t>
  </si>
  <si>
    <t>Dentist</t>
  </si>
  <si>
    <t>DENTIST</t>
  </si>
  <si>
    <t>Peripheral Vascular Disease</t>
  </si>
  <si>
    <t>PERIPHERAL VASCULAR DISEASE</t>
  </si>
  <si>
    <t>Certified Nurse Midwife</t>
  </si>
  <si>
    <t>CERTIFIED NURSE MIDWIFE</t>
  </si>
  <si>
    <t>Nuclear Medicine</t>
  </si>
  <si>
    <t>NUCLEAR MEDICINE</t>
  </si>
  <si>
    <t>Medical Genetics and Genomics</t>
  </si>
  <si>
    <t>MEDICAL GENETICS AND GENOMICS</t>
  </si>
  <si>
    <t>Ophthalmological Services</t>
  </si>
  <si>
    <t>E&amp;M|Ophthalmological Services</t>
  </si>
  <si>
    <t>E&amp;M - Ophthalmological Services</t>
  </si>
  <si>
    <t>Imaging</t>
  </si>
  <si>
    <t>CT Scan</t>
  </si>
  <si>
    <t>Imaging|CT Scan</t>
  </si>
  <si>
    <t>Imaging - CT Scan</t>
  </si>
  <si>
    <t>Independent Diagnostic Testing Facility (IDTF)</t>
  </si>
  <si>
    <t>INDEPENDENT DIAGNOSTIC TESTING FACILITY (IDTF)</t>
  </si>
  <si>
    <t>Imaging - Miscellaneous</t>
  </si>
  <si>
    <t>Imaging|Imaging - Miscellaneous</t>
  </si>
  <si>
    <t>Imaging - Imaging - Miscellaneous</t>
  </si>
  <si>
    <t>Magnetic Resonance</t>
  </si>
  <si>
    <t>Imaging|Magnetic Resonance</t>
  </si>
  <si>
    <t>Imaging - Magnetic Resonance</t>
  </si>
  <si>
    <t>Nuclear</t>
  </si>
  <si>
    <t>Imaging|Nuclear</t>
  </si>
  <si>
    <t>Imaging - Nuclear</t>
  </si>
  <si>
    <t>Standard X-ray</t>
  </si>
  <si>
    <t>Imaging|Standard X-ray</t>
  </si>
  <si>
    <t>Imaging - Standard X-ray</t>
  </si>
  <si>
    <t>Portable X-Ray Supplier</t>
  </si>
  <si>
    <t>PORTABLE X-RAY SUPPLIER</t>
  </si>
  <si>
    <t>Ultrasound</t>
  </si>
  <si>
    <t>Imaging|Ultrasound</t>
  </si>
  <si>
    <t>Imaging - Ultrasound</t>
  </si>
  <si>
    <t>Ambulance Service Provider</t>
  </si>
  <si>
    <t>Other</t>
  </si>
  <si>
    <t>Ambulance</t>
  </si>
  <si>
    <t>Other|Ambulance</t>
  </si>
  <si>
    <t>Other - Ambulance</t>
  </si>
  <si>
    <t>AMBULANCE SERVICE PROVIDER</t>
  </si>
  <si>
    <t>Procedure</t>
  </si>
  <si>
    <t>Breast</t>
  </si>
  <si>
    <t>Procedure|Breast</t>
  </si>
  <si>
    <t>Procedure - Breast</t>
  </si>
  <si>
    <t>Cardiovascular</t>
  </si>
  <si>
    <t>Procedure|Cardiovascular</t>
  </si>
  <si>
    <t>Procedure - Cardiovascular</t>
  </si>
  <si>
    <t>Digestive/Gastrointestinal</t>
  </si>
  <si>
    <t>Procedure|Digestive/Gastrointestinal</t>
  </si>
  <si>
    <t>Procedure - Digestive/Gastrointestinal</t>
  </si>
  <si>
    <t>Eye</t>
  </si>
  <si>
    <t>Procedure|Eye</t>
  </si>
  <si>
    <t>Procedure - Eye</t>
  </si>
  <si>
    <t>Procedure|Hematology</t>
  </si>
  <si>
    <t>Procedure - Hematology</t>
  </si>
  <si>
    <t>Musculoskeletal</t>
  </si>
  <si>
    <t>Procedure|Musculoskeletal</t>
  </si>
  <si>
    <t>Procedure - Musculoskeletal</t>
  </si>
  <si>
    <t>Other Organ Systems</t>
  </si>
  <si>
    <t>Procedure|Other Organ Systems</t>
  </si>
  <si>
    <t>Procedure - Other Organ Systems</t>
  </si>
  <si>
    <t>Skin</t>
  </si>
  <si>
    <t>Procedure|Skin</t>
  </si>
  <si>
    <t>Procedure - Skin</t>
  </si>
  <si>
    <t>Vascular</t>
  </si>
  <si>
    <t>Procedure|Vascular</t>
  </si>
  <si>
    <t>Procedure - Vascular</t>
  </si>
  <si>
    <t>Clinical Laboratory</t>
  </si>
  <si>
    <t>Test</t>
  </si>
  <si>
    <t>Anatomic Pathology</t>
  </si>
  <si>
    <t>Test|Anatomic Pathology</t>
  </si>
  <si>
    <t>Test - Anatomic Pathology</t>
  </si>
  <si>
    <t>CLINICAL LABORATORY</t>
  </si>
  <si>
    <t>Oral and Maxillofacial Pathology</t>
  </si>
  <si>
    <t>ORAL AND MAXILLOFACIAL PATHOLOGY</t>
  </si>
  <si>
    <t>Cardiography</t>
  </si>
  <si>
    <t>Test|Cardiography</t>
  </si>
  <si>
    <t>Test - Cardiography</t>
  </si>
  <si>
    <t>General Laboratory</t>
  </si>
  <si>
    <t>Test|General Laboratory</t>
  </si>
  <si>
    <t>Test - General Laboratory</t>
  </si>
  <si>
    <t>Molecular Testing</t>
  </si>
  <si>
    <t>Test|Molecular Testing</t>
  </si>
  <si>
    <t>Test - Molecular Testing</t>
  </si>
  <si>
    <t>Neurologic</t>
  </si>
  <si>
    <t>Test|Neurologic</t>
  </si>
  <si>
    <t>Test - Neurologic</t>
  </si>
  <si>
    <t>Pulmonary</t>
  </si>
  <si>
    <t>Test|Pulmonary</t>
  </si>
  <si>
    <t>Test - Pulmonary</t>
  </si>
  <si>
    <t>Test - Miscellaneous</t>
  </si>
  <si>
    <t>Test|Test - Miscellaneous</t>
  </si>
  <si>
    <t>Test - Test - Miscellaneous</t>
  </si>
  <si>
    <t>Treatment</t>
  </si>
  <si>
    <t>Chemotherapy</t>
  </si>
  <si>
    <t>Treatment|Chemotherapy</t>
  </si>
  <si>
    <t>Treatment - Chemotherapy</t>
  </si>
  <si>
    <t>Dialysis</t>
  </si>
  <si>
    <t>Treatment|Dialysis</t>
  </si>
  <si>
    <t>Treatment - Dialysis</t>
  </si>
  <si>
    <t>Injections and Infusions (nononcologic)</t>
  </si>
  <si>
    <t>Treatment|Injections and Infusions (nononcologic)</t>
  </si>
  <si>
    <t>Treatment - Injections and Infusions (nononcologic)</t>
  </si>
  <si>
    <t>Mass Immunizer Roster Biller</t>
  </si>
  <si>
    <t>MASS IMMUNIZER ROSTER BILLER</t>
  </si>
  <si>
    <t>Centralized Flu</t>
  </si>
  <si>
    <t>CENTRALIZED FLU</t>
  </si>
  <si>
    <t>Public Health or Welfare Agency</t>
  </si>
  <si>
    <t>PUBLIC HEALTH OR WELFARE AGENCY</t>
  </si>
  <si>
    <t>Treatment|Radiation Oncology</t>
  </si>
  <si>
    <t>Treatment - Radiation Oncology</t>
  </si>
  <si>
    <t>Radiation Therapy Center</t>
  </si>
  <si>
    <t>RADIATION THERAPY CENTER</t>
  </si>
  <si>
    <t>Skin and Soft Tissue Substitutes</t>
  </si>
  <si>
    <t>Treatment|Skin and Soft Tissue Substitutes</t>
  </si>
  <si>
    <t>Treatment - Skin and Soft Tissue Substitutes</t>
  </si>
  <si>
    <t>Chiropractic</t>
  </si>
  <si>
    <t>Spinal Manipulation</t>
  </si>
  <si>
    <t>Treatment|Spinal Manipulation</t>
  </si>
  <si>
    <t>Treatment - Spinal Manipulation</t>
  </si>
  <si>
    <t>CHIROPRACTIC</t>
  </si>
  <si>
    <t>Treatment - Miscellaneous</t>
  </si>
  <si>
    <t>Treatment|Treatment - Miscellaneous</t>
  </si>
  <si>
    <t>Treatment - Treatment - Miscellaneous</t>
  </si>
  <si>
    <t>Unclassified</t>
  </si>
  <si>
    <t>Unclassified|Unclassified</t>
  </si>
  <si>
    <t>Unclassified - Unclassified</t>
  </si>
  <si>
    <t>Medicare Report for TX:</t>
  </si>
  <si>
    <t>State</t>
  </si>
  <si>
    <t>Provider Type</t>
  </si>
  <si>
    <t>Place of Serv.</t>
  </si>
  <si>
    <t>PlaceOfServ_Sort</t>
  </si>
  <si>
    <t>RBCSCategory</t>
  </si>
  <si>
    <t>RBCSSubcategory</t>
  </si>
  <si>
    <t>RBCSBandKey</t>
  </si>
  <si>
    <t>RBCSBandLable</t>
  </si>
  <si>
    <t>ProviderTypeSort</t>
  </si>
  <si>
    <t>Service Count</t>
  </si>
  <si>
    <t>Est. Submitted Charges</t>
  </si>
  <si>
    <t>Est. Allowed Amt.</t>
  </si>
  <si>
    <t>Est. Medicare Payment</t>
  </si>
  <si>
    <t>Allowed Rate</t>
  </si>
  <si>
    <t>Payment Rate</t>
  </si>
  <si>
    <t>Charge Reduction</t>
  </si>
  <si>
    <t>Payment per Service</t>
  </si>
  <si>
    <t>Total</t>
  </si>
  <si>
    <t>Medicare Totals for:</t>
  </si>
  <si>
    <t>RBCS Category</t>
  </si>
  <si>
    <t>Grand Totals:</t>
  </si>
  <si>
    <t>Medicare Report for Texas, 2024 Data.</t>
  </si>
  <si>
    <t>Report Generated by A.F.</t>
  </si>
  <si>
    <t>2024 Texas Medicare</t>
  </si>
  <si>
    <t>Top 10 Categories by Estimated Medicare Payment</t>
  </si>
  <si>
    <t>Estimated Medicare Payment ($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</si>
</sst>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"/>
  </numFmts>
  <fonts count="20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sz val="10"/>
      <name val="Aptos Narrow"/>
      <family val="2"/>
    </font>
    <font>
      <b/>
      <i/>
      <u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indexed="10"/>
      <name val="Aptos Narrow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b/>
      <sz val="15"/>
      <color indexed="8"/>
      <name val="MS Sans Serif"/>
    </font>
    <font>
      <u/>
      <sz val="11"/>
      <color theme="10"/>
      <name val="Aptos Narrow"/>
      <family val="2"/>
      <scheme val="minor"/>
    </font>
    <font>
      <b/>
      <u/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3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24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0" fontId="2" fillId="2" borderId="0" xfId="0" applyNumberFormat="1" applyFont="1" applyFill="1" applyAlignment="1">
      <alignment horizontal="center" vertical="top"/>
    </xf>
    <xf numFmtId="0" fontId="0" fillId="2" borderId="0" xfId="0" applyFill="1"/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11" xfId="0" applyFill="1" applyBorder="1"/>
    <xf numFmtId="0" fontId="5" fillId="0" borderId="0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left" vertical="center"/>
    </xf>
    <xf numFmtId="0" fontId="5" fillId="0" borderId="17" xfId="0" applyNumberFormat="1" applyFont="1" applyFill="1" applyBorder="1" applyAlignment="1">
      <alignment horizontal="center" vertical="center"/>
    </xf>
    <xf numFmtId="0" fontId="5" fillId="0" borderId="17" xfId="0" applyNumberFormat="1" applyFont="1" applyFill="1" applyBorder="1" applyAlignment="1">
      <alignment horizontal="left" vertical="center"/>
    </xf>
    <xf numFmtId="0" fontId="5" fillId="0" borderId="1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left" vertical="center"/>
    </xf>
    <xf numFmtId="14" fontId="5" fillId="0" borderId="17" xfId="0" applyNumberFormat="1" applyFont="1" applyFill="1" applyBorder="1" applyAlignment="1">
      <alignment horizontal="center" vertical="center"/>
    </xf>
    <xf numFmtId="0" fontId="5" fillId="0" borderId="16" xfId="0" applyNumberFormat="1" applyFont="1" applyFill="1" applyBorder="1" applyAlignment="1">
      <alignment horizontal="left" vertical="center"/>
    </xf>
    <xf numFmtId="49" fontId="4" fillId="0" borderId="4" xfId="0" applyNumberFormat="1" applyFont="1" applyFill="1" applyBorder="1" applyAlignment="1">
      <alignment horizontal="left" vertical="center"/>
    </xf>
    <xf numFmtId="14" fontId="5" fillId="0" borderId="16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0" fontId="6" fillId="0" borderId="17" xfId="0" applyNumberFormat="1" applyFont="1" applyFill="1" applyBorder="1" applyAlignment="1">
      <alignment horizontal="center" vertical="center"/>
    </xf>
    <xf numFmtId="1" fontId="4" fillId="0" borderId="4" xfId="0" applyNumberFormat="1" applyFont="1" applyFill="1" applyBorder="1" applyAlignment="1">
      <alignment horizontal="center" vertical="center"/>
    </xf>
    <xf numFmtId="3" fontId="5" fillId="0" borderId="17" xfId="0" applyNumberFormat="1" applyFont="1" applyFill="1" applyBorder="1" applyAlignment="1">
      <alignment horizontal="center" vertical="center"/>
    </xf>
    <xf numFmtId="0" fontId="6" fillId="0" borderId="16" xfId="0" applyNumberFormat="1" applyFont="1" applyFill="1" applyBorder="1" applyAlignment="1">
      <alignment horizontal="center" vertical="center"/>
    </xf>
    <xf numFmtId="164" fontId="5" fillId="0" borderId="17" xfId="0" applyNumberFormat="1" applyFont="1" applyFill="1" applyBorder="1" applyAlignment="1">
      <alignment horizontal="right" vertical="center"/>
    </xf>
    <xf numFmtId="3" fontId="5" fillId="0" borderId="16" xfId="0" applyNumberFormat="1" applyFont="1" applyFill="1" applyBorder="1" applyAlignment="1">
      <alignment horizontal="center" vertical="center"/>
    </xf>
    <xf numFmtId="164" fontId="4" fillId="0" borderId="4" xfId="0" applyNumberFormat="1" applyFont="1" applyFill="1" applyBorder="1" applyAlignment="1">
      <alignment horizontal="center" vertical="center"/>
    </xf>
    <xf numFmtId="164" fontId="5" fillId="0" borderId="16" xfId="0" applyNumberFormat="1" applyFont="1" applyFill="1" applyBorder="1" applyAlignment="1">
      <alignment horizontal="right" vertical="center"/>
    </xf>
    <xf numFmtId="10" fontId="5" fillId="0" borderId="17" xfId="0" applyNumberFormat="1" applyFont="1" applyFill="1" applyBorder="1" applyAlignment="1">
      <alignment horizontal="right" vertical="center"/>
    </xf>
    <xf numFmtId="10" fontId="4" fillId="0" borderId="4" xfId="0" applyNumberFormat="1" applyFont="1" applyFill="1" applyBorder="1" applyAlignment="1">
      <alignment horizontal="center" vertical="center"/>
    </xf>
    <xf numFmtId="10" fontId="5" fillId="0" borderId="16" xfId="0" applyNumberFormat="1" applyFont="1" applyFill="1" applyBorder="1" applyAlignment="1">
      <alignment horizontal="right" vertical="center"/>
    </xf>
    <xf numFmtId="164" fontId="4" fillId="0" borderId="18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left" vertical="center"/>
    </xf>
    <xf numFmtId="14" fontId="5" fillId="0" borderId="13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3" fontId="5" fillId="0" borderId="13" xfId="0" applyNumberFormat="1" applyFont="1" applyFill="1" applyBorder="1" applyAlignment="1">
      <alignment horizontal="center" vertical="center"/>
    </xf>
    <xf numFmtId="164" fontId="5" fillId="0" borderId="13" xfId="0" applyNumberFormat="1" applyFont="1" applyFill="1" applyBorder="1" applyAlignment="1">
      <alignment horizontal="right" vertical="center"/>
    </xf>
    <xf numFmtId="10" fontId="5" fillId="0" borderId="13" xfId="0" applyNumberFormat="1" applyFont="1" applyFill="1" applyBorder="1" applyAlignment="1">
      <alignment horizontal="right" vertical="center"/>
    </xf>
    <xf numFmtId="0" fontId="5" fillId="0" borderId="14" xfId="0" applyNumberFormat="1" applyFont="1" applyFill="1" applyBorder="1" applyAlignment="1">
      <alignment horizontal="left" vertical="center"/>
    </xf>
    <xf numFmtId="0" fontId="5" fillId="0" borderId="19" xfId="0" applyNumberFormat="1" applyFont="1" applyFill="1" applyBorder="1" applyAlignment="1">
      <alignment horizontal="left" vertical="center"/>
    </xf>
    <xf numFmtId="164" fontId="5" fillId="0" borderId="15" xfId="0" applyNumberFormat="1" applyFont="1" applyFill="1" applyBorder="1" applyAlignment="1">
      <alignment horizontal="right" vertical="center"/>
    </xf>
    <xf numFmtId="164" fontId="5" fillId="0" borderId="20" xfId="0" applyNumberFormat="1" applyFont="1" applyFill="1" applyBorder="1" applyAlignment="1">
      <alignment horizontal="right" vertical="center"/>
    </xf>
    <xf numFmtId="0" fontId="7" fillId="3" borderId="0" xfId="0" applyNumberFormat="1" applyFont="1" applyFill="1" applyAlignment="1">
      <alignment horizontal="left" vertical="center"/>
    </xf>
    <xf numFmtId="0" fontId="7" fillId="3" borderId="16" xfId="0" applyNumberFormat="1" applyFont="1" applyFill="1" applyBorder="1" applyAlignment="1">
      <alignment horizontal="left" vertical="center"/>
    </xf>
    <xf numFmtId="164" fontId="5" fillId="0" borderId="21" xfId="0" applyNumberFormat="1" applyFont="1" applyFill="1" applyBorder="1" applyAlignment="1">
      <alignment horizontal="right" vertical="center"/>
    </xf>
    <xf numFmtId="0" fontId="5" fillId="0" borderId="22" xfId="0" applyNumberFormat="1" applyFont="1" applyFill="1" applyBorder="1" applyAlignment="1">
      <alignment horizontal="left" vertical="center"/>
    </xf>
    <xf numFmtId="0" fontId="7" fillId="3" borderId="1" xfId="0" applyNumberFormat="1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right" vertical="center"/>
    </xf>
    <xf numFmtId="3" fontId="7" fillId="4" borderId="13" xfId="0" applyNumberFormat="1" applyFont="1" applyFill="1" applyBorder="1" applyAlignment="1">
      <alignment horizontal="center" vertical="top"/>
    </xf>
    <xf numFmtId="164" fontId="7" fillId="4" borderId="13" xfId="0" applyNumberFormat="1" applyFont="1" applyFill="1" applyBorder="1" applyAlignment="1">
      <alignment horizontal="right" vertical="top"/>
    </xf>
    <xf numFmtId="10" fontId="7" fillId="4" borderId="13" xfId="0" applyNumberFormat="1" applyFont="1" applyFill="1" applyBorder="1" applyAlignment="1">
      <alignment horizontal="right" vertical="top"/>
    </xf>
    <xf numFmtId="0" fontId="7" fillId="3" borderId="7" xfId="0" applyNumberFormat="1" applyFont="1" applyFill="1" applyBorder="1" applyAlignment="1">
      <alignment horizontal="left" vertical="center"/>
    </xf>
    <xf numFmtId="164" fontId="7" fillId="4" borderId="15" xfId="0" applyNumberFormat="1" applyFont="1" applyFill="1" applyBorder="1" applyAlignment="1">
      <alignment horizontal="right" vertical="top"/>
    </xf>
    <xf numFmtId="0" fontId="3" fillId="3" borderId="0" xfId="0" applyNumberFormat="1" applyFont="1" applyFill="1" applyAlignment="1">
      <alignment horizontal="left" vertical="center"/>
    </xf>
    <xf numFmtId="0" fontId="3" fillId="3" borderId="3" xfId="0" applyNumberFormat="1" applyFont="1" applyFill="1" applyBorder="1" applyAlignment="1">
      <alignment horizontal="left" vertical="center"/>
    </xf>
    <xf numFmtId="0" fontId="8" fillId="3" borderId="3" xfId="0" applyNumberFormat="1" applyFont="1" applyFill="1" applyBorder="1" applyAlignment="1">
      <alignment horizontal="left" vertical="center"/>
    </xf>
    <xf numFmtId="0" fontId="3" fillId="3" borderId="3" xfId="0" applyNumberFormat="1" applyFont="1" applyFill="1" applyBorder="1" applyAlignment="1">
      <alignment horizontal="right" vertical="center"/>
    </xf>
    <xf numFmtId="0" fontId="3" fillId="3" borderId="9" xfId="0" applyNumberFormat="1" applyFont="1" applyFill="1" applyBorder="1" applyAlignment="1">
      <alignment horizontal="left" vertical="center"/>
    </xf>
    <xf numFmtId="0" fontId="3" fillId="3" borderId="12" xfId="0" applyNumberFormat="1" applyFont="1" applyFill="1" applyBorder="1" applyAlignment="1">
      <alignment horizontal="right" vertical="center"/>
    </xf>
    <xf numFmtId="3" fontId="5" fillId="0" borderId="4" xfId="0" applyNumberFormat="1" applyFont="1" applyFill="1" applyBorder="1" applyAlignment="1">
      <alignment horizontal="center" vertical="center"/>
    </xf>
    <xf numFmtId="164" fontId="5" fillId="0" borderId="4" xfId="0" applyNumberFormat="1" applyFont="1" applyFill="1" applyBorder="1" applyAlignment="1">
      <alignment horizontal="right" vertical="center"/>
    </xf>
    <xf numFmtId="10" fontId="5" fillId="0" borderId="4" xfId="0" applyNumberFormat="1" applyFont="1" applyFill="1" applyBorder="1" applyAlignment="1">
      <alignment horizontal="right" vertical="center"/>
    </xf>
    <xf numFmtId="164" fontId="5" fillId="0" borderId="18" xfId="0" applyNumberFormat="1" applyFont="1" applyFill="1" applyBorder="1" applyAlignment="1">
      <alignment horizontal="right" vertical="center"/>
    </xf>
    <xf numFmtId="0" fontId="5" fillId="0" borderId="7" xfId="0" applyNumberFormat="1" applyFont="1" applyFill="1" applyBorder="1" applyAlignment="1">
      <alignment horizontal="left" vertical="center"/>
    </xf>
    <xf numFmtId="14" fontId="5" fillId="0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left" vertical="center"/>
    </xf>
    <xf numFmtId="0" fontId="5" fillId="0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top"/>
    </xf>
    <xf numFmtId="49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 vertical="center" wrapText="1"/>
    </xf>
    <xf numFmtId="49" fontId="9" fillId="5" borderId="0" xfId="0" applyNumberFormat="1" applyFont="1" applyFill="1" applyBorder="1" applyAlignment="1">
      <alignment horizontal="left" vertical="center"/>
    </xf>
    <xf numFmtId="49" fontId="4" fillId="0" borderId="18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3" xfId="0" applyNumberFormat="1" applyFont="1" applyFill="1" applyBorder="1" applyAlignment="1">
      <alignment horizontal="left" vertical="center"/>
    </xf>
    <xf numFmtId="1" fontId="5" fillId="0" borderId="1" xfId="0" applyNumberFormat="1" applyFont="1" applyFill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center" vertical="center"/>
    </xf>
    <xf numFmtId="1" fontId="5" fillId="0" borderId="13" xfId="0" applyNumberFormat="1" applyFont="1" applyFill="1" applyBorder="1" applyAlignment="1">
      <alignment horizontal="center" vertical="center"/>
    </xf>
    <xf numFmtId="1" fontId="5" fillId="0" borderId="16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8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" fontId="5" fillId="0" borderId="17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left" vertical="center"/>
    </xf>
    <xf numFmtId="1" fontId="7" fillId="0" borderId="1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right" vertical="center"/>
    </xf>
    <xf numFmtId="1" fontId="7" fillId="0" borderId="4" xfId="0" applyNumberFormat="1" applyFont="1" applyFill="1" applyBorder="1" applyAlignment="1">
      <alignment horizontal="right" vertical="center"/>
    </xf>
    <xf numFmtId="3" fontId="7" fillId="4" borderId="4" xfId="0" applyNumberFormat="1" applyFont="1" applyFill="1" applyBorder="1" applyAlignment="1">
      <alignment horizontal="center" vertical="center"/>
    </xf>
    <xf numFmtId="164" fontId="7" fillId="4" borderId="4" xfId="0" applyNumberFormat="1" applyFont="1" applyFill="1" applyBorder="1" applyAlignment="1">
      <alignment horizontal="right" vertical="center"/>
    </xf>
    <xf numFmtId="10" fontId="7" fillId="4" borderId="4" xfId="0" applyNumberFormat="1" applyFont="1" applyFill="1" applyBorder="1" applyAlignment="1">
      <alignment horizontal="right" vertical="center"/>
    </xf>
    <xf numFmtId="164" fontId="7" fillId="4" borderId="18" xfId="0" applyNumberFormat="1" applyFont="1" applyFill="1" applyBorder="1" applyAlignment="1">
      <alignment horizontal="right" vertical="center"/>
    </xf>
    <xf numFmtId="0" fontId="7" fillId="2" borderId="6" xfId="0" applyNumberFormat="1" applyFont="1" applyFill="1" applyBorder="1" applyAlignment="1">
      <alignment horizontal="center" vertical="center"/>
    </xf>
    <xf numFmtId="0" fontId="7" fillId="2" borderId="23" xfId="0" applyNumberFormat="1" applyFont="1" applyFill="1" applyBorder="1" applyAlignment="1">
      <alignment horizontal="right" vertical="center"/>
    </xf>
    <xf numFmtId="0" fontId="10" fillId="3" borderId="0" xfId="0" applyNumberFormat="1" applyFont="1" applyFill="1" applyAlignment="1">
      <alignment vertical="center"/>
    </xf>
    <xf numFmtId="0" fontId="11" fillId="6" borderId="16" xfId="0" applyNumberFormat="1" applyFont="1" applyFill="1" applyBorder="1" applyAlignment="1">
      <alignment vertical="center"/>
    </xf>
    <xf numFmtId="0" fontId="13" fillId="7" borderId="16" xfId="1" applyFont="1" applyFill="1" applyBorder="1" applyAlignment="1"/>
    <xf numFmtId="0" fontId="14" fillId="7" borderId="24" xfId="0" applyFont="1" applyFill="1" applyBorder="1" applyAlignment="1"/>
    <xf numFmtId="0" fontId="10" fillId="6" borderId="24" xfId="0" applyNumberFormat="1" applyFont="1" applyFill="1" applyBorder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0" fillId="6" borderId="0" xfId="0" applyNumberFormat="1" applyFont="1" applyFill="1" applyAlignment="1">
      <alignment vertical="center"/>
    </xf>
    <xf numFmtId="0" fontId="16" fillId="6" borderId="0" xfId="0" applyFont="1" applyFill="1"/>
    <xf numFmtId="49" fontId="11" fillId="6" borderId="16" xfId="0" applyNumberFormat="1" applyFont="1" applyFill="1" applyBorder="1" applyAlignment="1">
      <alignment vertical="center"/>
    </xf>
    <xf numFmtId="0" fontId="15" fillId="7" borderId="16" xfId="0" applyFont="1" applyFill="1" applyBorder="1" applyAlignment="1"/>
    <xf numFmtId="0" fontId="15" fillId="7" borderId="24" xfId="0" applyFont="1" applyFill="1" applyBorder="1" applyAlignment="1"/>
    <xf numFmtId="0" fontId="18" fillId="8" borderId="0" xfId="0" applyFont="1" applyFill="1" applyAlignment="1">
      <alignment horizontal="left" vertical="center"/>
    </xf>
    <xf numFmtId="0" fontId="19" fillId="0" borderId="0" xfId="0" applyFont="1"/>
    <xf numFmtId="0" fontId="17" fillId="9" borderId="0" xfId="0" applyFont="1" applyFill="1" applyAlignment="1">
      <alignment horizontal="center" vertical="center"/>
    </xf>
    <xf numFmtId="165" fontId="0" fillId="0" borderId="0" xfId="0" applyNumberFormat="1"/>
    <xf numFmtId="0" fontId="0" fillId="10" borderId="0" xfId="0" applyFill="1"/>
    <xf numFmtId="165" fontId="0" fillId="1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10 Categories by Estimated Medicare Payment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Estimated Medicare Payment</c:v>
          </c:tx>
          <c:spPr>
            <a:solidFill>
              <a:srgbClr val="5B9BD5"/>
            </a:solidFill>
            <a:ln>
              <a:solidFill>
                <a:srgbClr val="1F4E79"/>
              </a:solidFill>
            </a:ln>
          </c:spPr>
          <c:invertIfNegative val="0"/>
          <c:dLbls>
            <c:numFmt formatCode="&quot;$&quot;0.0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Medicare_Chart!$A$5:$A$14</c:f>
              <c:strCache>
                <c:ptCount val="10"/>
                <c:pt idx="0">
                  <c:v>E&amp;M - Office/Outpatient Services</c:v>
                </c:pt>
                <c:pt idx="1">
                  <c:v>Treatment - Injections and Infusions (nononcologic)</c:v>
                </c:pt>
                <c:pt idx="2">
                  <c:v>E&amp;M - Hospital Inpatient Services</c:v>
                </c:pt>
                <c:pt idx="3">
                  <c:v>Test - Molecular Testing</c:v>
                </c:pt>
                <c:pt idx="4">
                  <c:v>Treatment - Skin and Soft Tissue Substitutes</c:v>
                </c:pt>
                <c:pt idx="5">
                  <c:v>Test - General Laboratory</c:v>
                </c:pt>
                <c:pt idx="6">
                  <c:v>Other - Ambulance</c:v>
                </c:pt>
                <c:pt idx="7">
                  <c:v>Procedure - Musculoskeletal</c:v>
                </c:pt>
                <c:pt idx="8">
                  <c:v>Procedure - Eye</c:v>
                </c:pt>
                <c:pt idx="9">
                  <c:v>Treatment - Chemotherapy</c:v>
                </c:pt>
              </c:strCache>
            </c:strRef>
          </c:cat>
          <c:val>
            <c:numRef>
              <c:f>Medicare_Chart!$B$5:$B$14</c:f>
              <c:numCache>
                <c:formatCode>"$"#,##0.0</c:formatCode>
                <c:ptCount val="10"/>
                <c:pt idx="0">
                  <c:v>1187.8852492168</c:v>
                </c:pt>
                <c:pt idx="1">
                  <c:v>876.29917664660002</c:v>
                </c:pt>
                <c:pt idx="2">
                  <c:v>533.62397209990002</c:v>
                </c:pt>
                <c:pt idx="3">
                  <c:v>506.85061874989998</c:v>
                </c:pt>
                <c:pt idx="4">
                  <c:v>422.6517754848</c:v>
                </c:pt>
                <c:pt idx="5">
                  <c:v>340.62936815710003</c:v>
                </c:pt>
                <c:pt idx="6">
                  <c:v>315.43768138400003</c:v>
                </c:pt>
                <c:pt idx="7">
                  <c:v>303.26122288020002</c:v>
                </c:pt>
                <c:pt idx="8">
                  <c:v>204.29029498</c:v>
                </c:pt>
                <c:pt idx="9">
                  <c:v>192.56159202000001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A-41EF-91DA-E87DFBF9E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543080"/>
        <c:axId val="651544160"/>
      </c:barChart>
      <c:catAx>
        <c:axId val="6515430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RBCS 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651544160"/>
        <c:crosses val="autoZero"/>
        <c:auto val="1"/>
        <c:lblAlgn val="ctr"/>
        <c:lblOffset val="100"/>
        <c:noMultiLvlLbl val="0"/>
      </c:catAx>
      <c:valAx>
        <c:axId val="651544160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Estimated Medicare Payment ($ Millions)</a:t>
                </a:r>
              </a:p>
            </c:rich>
          </c:tx>
          <c:overlay val="0"/>
        </c:title>
        <c:numFmt formatCode="&quot;$&quot;0" sourceLinked="0"/>
        <c:majorTickMark val="out"/>
        <c:minorTickMark val="none"/>
        <c:tickLblPos val="nextTo"/>
        <c:crossAx val="651543080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20</xdr:col>
      <xdr:colOff>50800</xdr:colOff>
      <xdr:row>32</xdr:row>
      <xdr:rowOff>0</xdr:rowOff>
    </xdr:to>
    <xdr:graphicFrame macro="">
      <xdr:nvGraphicFramePr>
        <xdr:cNvPr id="2" name="chtMedicareTop10">
          <a:extLst>
            <a:ext uri="{FF2B5EF4-FFF2-40B4-BE49-F238E27FC236}">
              <a16:creationId xmlns:a16="http://schemas.microsoft.com/office/drawing/2014/main" id="{3A75A7F4-C4B9-3F6F-27A8-5C90091CD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BF1D-4FDE-4593-8039-6B4437254EFB}">
  <dimension ref="B1:R2727"/>
  <sheetViews>
    <sheetView workbookViewId="0">
      <pane ySplit="4" topLeftCell="A5" activePane="bottomLeft" state="frozen"/>
      <selection pane="bottomLeft" activeCell="A5" sqref="A5:XFD5"/>
    </sheetView>
  </sheetViews>
  <sheetFormatPr defaultRowHeight="15" x14ac:dyDescent="0.25"/>
  <cols>
    <col min="2" max="2" width="15.5703125" hidden="1" customWidth="1"/>
    <col min="3" max="3" width="52.140625" customWidth="1"/>
    <col min="4" max="4" width="14.28515625" customWidth="1"/>
    <col min="5" max="5" width="19.7109375" hidden="1" customWidth="1"/>
    <col min="6" max="7" width="20.28515625" hidden="1" customWidth="1"/>
    <col min="8" max="9" width="16" hidden="1" customWidth="1"/>
    <col min="10" max="10" width="17.85546875" hidden="1" customWidth="1"/>
    <col min="11" max="11" width="17.85546875" customWidth="1"/>
    <col min="12" max="12" width="22.85546875" customWidth="1"/>
    <col min="13" max="13" width="20.140625" customWidth="1"/>
    <col min="14" max="18" width="22.140625" customWidth="1"/>
  </cols>
  <sheetData>
    <row r="1" spans="2:18" ht="8.1" customHeight="1" x14ac:dyDescent="0.25">
      <c r="B1" s="107"/>
    </row>
    <row r="2" spans="2:18" ht="20.25" customHeight="1" x14ac:dyDescent="0.25">
      <c r="C2" s="108" t="s">
        <v>370</v>
      </c>
      <c r="D2" s="111"/>
      <c r="K2" s="113"/>
      <c r="L2" s="113"/>
      <c r="M2" s="113"/>
      <c r="N2" s="113"/>
      <c r="O2" s="113"/>
      <c r="P2" s="113"/>
      <c r="Q2" s="115" t="s">
        <v>371</v>
      </c>
      <c r="R2" s="111"/>
    </row>
    <row r="3" spans="2:18" ht="24.95" customHeight="1" x14ac:dyDescent="0.3">
      <c r="C3" s="109" t="str">
        <f>HYPERLINK("https://data.cms.gov/provider-summary-by-type-of-service/medicare-physician-other-practitioners/medicare-physician-other-practitioners-by-provider-and-service/", "Medicare Physician &amp; Other Practitioners - by Provider and Service")</f>
        <v>Medicare Physician &amp; Other Practitioners - by Provider and Service</v>
      </c>
      <c r="D3" s="110"/>
      <c r="K3" s="114"/>
      <c r="L3" s="114"/>
      <c r="M3" s="114"/>
      <c r="N3" s="114"/>
      <c r="O3" s="114"/>
      <c r="P3" s="114"/>
      <c r="Q3" s="116" t="str">
        <f ca="1">"Report Generated at: " &amp; TEXT(NOW(),"mm/dd/yyyy h:mm AM/PM")</f>
        <v>Report Generated at: 10/19/2026 1:32 PM</v>
      </c>
      <c r="R3" s="117"/>
    </row>
    <row r="4" spans="2:18" ht="20.100000000000001" customHeight="1" x14ac:dyDescent="0.25">
      <c r="C4" s="112" t="str">
        <f>"Metadata Reporting Engine Demonstration"</f>
        <v>Metadata Reporting Engine Demonstration</v>
      </c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 spans="2:18" ht="15.75" thickBot="1" x14ac:dyDescent="0.3"/>
    <row r="6" spans="2:18" ht="15.75" x14ac:dyDescent="0.25">
      <c r="B6" s="1"/>
      <c r="C6" s="7" t="s">
        <v>348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9"/>
    </row>
    <row r="7" spans="2:18" ht="18" x14ac:dyDescent="0.25">
      <c r="B7" s="2"/>
      <c r="C7" s="8" t="s">
        <v>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10"/>
    </row>
    <row r="8" spans="2:18" ht="15.75" thickBot="1" x14ac:dyDescent="0.3">
      <c r="B8" s="3"/>
      <c r="C8" s="11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12"/>
    </row>
    <row r="9" spans="2:18" ht="17.25" customHeight="1" thickBot="1" x14ac:dyDescent="0.3">
      <c r="B9" s="14" t="s">
        <v>349</v>
      </c>
      <c r="C9" s="18" t="s">
        <v>350</v>
      </c>
      <c r="D9" s="21" t="s">
        <v>351</v>
      </c>
      <c r="E9" s="23" t="s">
        <v>352</v>
      </c>
      <c r="F9" s="21" t="s">
        <v>353</v>
      </c>
      <c r="G9" s="23" t="s">
        <v>354</v>
      </c>
      <c r="H9" s="23" t="s">
        <v>355</v>
      </c>
      <c r="I9" s="23" t="s">
        <v>356</v>
      </c>
      <c r="J9" s="25" t="s">
        <v>357</v>
      </c>
      <c r="K9" s="25" t="s">
        <v>358</v>
      </c>
      <c r="L9" s="30" t="s">
        <v>359</v>
      </c>
      <c r="M9" s="30" t="s">
        <v>360</v>
      </c>
      <c r="N9" s="30" t="s">
        <v>361</v>
      </c>
      <c r="O9" s="33" t="s">
        <v>362</v>
      </c>
      <c r="P9" s="33" t="s">
        <v>363</v>
      </c>
      <c r="Q9" s="33" t="s">
        <v>364</v>
      </c>
      <c r="R9" s="35" t="s">
        <v>365</v>
      </c>
    </row>
    <row r="10" spans="2:18" ht="12.75" customHeight="1" x14ac:dyDescent="0.25">
      <c r="B10" s="17" t="s">
        <v>0</v>
      </c>
      <c r="C10" s="43" t="s">
        <v>1</v>
      </c>
      <c r="D10" s="37" t="s">
        <v>2</v>
      </c>
      <c r="E10" s="36">
        <v>1</v>
      </c>
      <c r="F10" s="38" t="s">
        <v>3</v>
      </c>
      <c r="G10" s="38" t="s">
        <v>3</v>
      </c>
      <c r="H10" s="38" t="s">
        <v>4</v>
      </c>
      <c r="I10" s="38" t="s">
        <v>5</v>
      </c>
      <c r="J10" s="39" t="s">
        <v>6</v>
      </c>
      <c r="K10" s="40">
        <v>290617</v>
      </c>
      <c r="L10" s="41">
        <v>399701207.60002625</v>
      </c>
      <c r="M10" s="41">
        <v>33428670.739998426</v>
      </c>
      <c r="N10" s="41">
        <v>26750027.120000709</v>
      </c>
      <c r="O10" s="42">
        <f t="shared" ref="O10:O41" si="0">IFERROR(M10/L10,0)</f>
        <v>8.3634149970970045E-2</v>
      </c>
      <c r="P10" s="42">
        <f t="shared" ref="P10:P41" si="1">IFERROR(N10/M10,0)</f>
        <v>0.80021210918187913</v>
      </c>
      <c r="Q10" s="42">
        <f t="shared" ref="Q10:Q41" si="2">IFERROR(1-(M10/L10),0)</f>
        <v>0.91636585002902993</v>
      </c>
      <c r="R10" s="45">
        <f t="shared" ref="R10:R41" si="3">IFERROR(N10/K10,0)</f>
        <v>92.045637798204197</v>
      </c>
    </row>
    <row r="11" spans="2:18" ht="12.75" customHeight="1" x14ac:dyDescent="0.25">
      <c r="B11" s="17" t="s">
        <v>0</v>
      </c>
      <c r="C11" s="44" t="s">
        <v>7</v>
      </c>
      <c r="D11" s="22" t="s">
        <v>2</v>
      </c>
      <c r="E11" s="20">
        <v>1</v>
      </c>
      <c r="F11" s="17" t="s">
        <v>3</v>
      </c>
      <c r="G11" s="17" t="s">
        <v>3</v>
      </c>
      <c r="H11" s="17" t="s">
        <v>4</v>
      </c>
      <c r="I11" s="17" t="s">
        <v>5</v>
      </c>
      <c r="J11" s="27" t="s">
        <v>8</v>
      </c>
      <c r="K11" s="29">
        <v>249571</v>
      </c>
      <c r="L11" s="31">
        <v>506087828.99006981</v>
      </c>
      <c r="M11" s="31">
        <v>32908809.849992365</v>
      </c>
      <c r="N11" s="31">
        <v>26000307.909998227</v>
      </c>
      <c r="O11" s="34">
        <f t="shared" si="0"/>
        <v>6.5025886743144898E-2</v>
      </c>
      <c r="P11" s="34">
        <f t="shared" si="1"/>
        <v>0.79007135258050842</v>
      </c>
      <c r="Q11" s="34">
        <f t="shared" si="2"/>
        <v>0.93497411325685509</v>
      </c>
      <c r="R11" s="46">
        <f t="shared" si="3"/>
        <v>104.18000452776255</v>
      </c>
    </row>
    <row r="12" spans="2:18" ht="12.75" customHeight="1" x14ac:dyDescent="0.25">
      <c r="B12" s="17" t="s">
        <v>0</v>
      </c>
      <c r="C12" s="44" t="s">
        <v>1</v>
      </c>
      <c r="D12" s="22" t="s">
        <v>9</v>
      </c>
      <c r="E12" s="20">
        <v>2</v>
      </c>
      <c r="F12" s="17" t="s">
        <v>3</v>
      </c>
      <c r="G12" s="17" t="s">
        <v>3</v>
      </c>
      <c r="H12" s="17" t="s">
        <v>4</v>
      </c>
      <c r="I12" s="17" t="s">
        <v>5</v>
      </c>
      <c r="J12" s="27" t="s">
        <v>6</v>
      </c>
      <c r="K12" s="29">
        <v>15827</v>
      </c>
      <c r="L12" s="31">
        <v>24844167.160003193</v>
      </c>
      <c r="M12" s="31">
        <v>1954043.4800051884</v>
      </c>
      <c r="N12" s="31">
        <v>1542171.5500015244</v>
      </c>
      <c r="O12" s="34">
        <f t="shared" si="0"/>
        <v>7.8652001792638773E-2</v>
      </c>
      <c r="P12" s="34">
        <f t="shared" si="1"/>
        <v>0.78922069328643063</v>
      </c>
      <c r="Q12" s="34">
        <f t="shared" si="2"/>
        <v>0.92134799820736124</v>
      </c>
      <c r="R12" s="46">
        <f t="shared" si="3"/>
        <v>97.439284134802833</v>
      </c>
    </row>
    <row r="13" spans="2:18" ht="12.75" customHeight="1" x14ac:dyDescent="0.25">
      <c r="B13" s="17" t="s">
        <v>0</v>
      </c>
      <c r="C13" s="44" t="s">
        <v>10</v>
      </c>
      <c r="D13" s="22" t="s">
        <v>2</v>
      </c>
      <c r="E13" s="20">
        <v>1</v>
      </c>
      <c r="F13" s="17" t="s">
        <v>3</v>
      </c>
      <c r="G13" s="17" t="s">
        <v>3</v>
      </c>
      <c r="H13" s="17" t="s">
        <v>4</v>
      </c>
      <c r="I13" s="17" t="s">
        <v>5</v>
      </c>
      <c r="J13" s="27" t="s">
        <v>11</v>
      </c>
      <c r="K13" s="29">
        <v>13072</v>
      </c>
      <c r="L13" s="31">
        <v>16363222.92001844</v>
      </c>
      <c r="M13" s="31">
        <v>1208904.5900000976</v>
      </c>
      <c r="N13" s="31">
        <v>951979.63999933284</v>
      </c>
      <c r="O13" s="34">
        <f t="shared" si="0"/>
        <v>7.3879369358291147E-2</v>
      </c>
      <c r="P13" s="34">
        <f t="shared" si="1"/>
        <v>0.78747293034866872</v>
      </c>
      <c r="Q13" s="34">
        <f t="shared" si="2"/>
        <v>0.92612063064170891</v>
      </c>
      <c r="R13" s="46">
        <f t="shared" si="3"/>
        <v>72.825859853070142</v>
      </c>
    </row>
    <row r="14" spans="2:18" ht="12.75" customHeight="1" x14ac:dyDescent="0.25">
      <c r="B14" s="17" t="s">
        <v>0</v>
      </c>
      <c r="C14" s="44" t="s">
        <v>7</v>
      </c>
      <c r="D14" s="22" t="s">
        <v>9</v>
      </c>
      <c r="E14" s="20">
        <v>2</v>
      </c>
      <c r="F14" s="17" t="s">
        <v>3</v>
      </c>
      <c r="G14" s="17" t="s">
        <v>3</v>
      </c>
      <c r="H14" s="17" t="s">
        <v>4</v>
      </c>
      <c r="I14" s="17" t="s">
        <v>5</v>
      </c>
      <c r="J14" s="27" t="s">
        <v>8</v>
      </c>
      <c r="K14" s="29">
        <v>10817</v>
      </c>
      <c r="L14" s="31">
        <v>12788645.849962251</v>
      </c>
      <c r="M14" s="31">
        <v>939127.48999957647</v>
      </c>
      <c r="N14" s="31">
        <v>735433.77999916091</v>
      </c>
      <c r="O14" s="34">
        <f t="shared" si="0"/>
        <v>7.3434474690871873E-2</v>
      </c>
      <c r="P14" s="34">
        <f t="shared" si="1"/>
        <v>0.78310323979494256</v>
      </c>
      <c r="Q14" s="34">
        <f t="shared" si="2"/>
        <v>0.92656552530912817</v>
      </c>
      <c r="R14" s="46">
        <f t="shared" si="3"/>
        <v>67.98870111853202</v>
      </c>
    </row>
    <row r="15" spans="2:18" ht="12.75" customHeight="1" x14ac:dyDescent="0.25">
      <c r="B15" s="17" t="s">
        <v>0</v>
      </c>
      <c r="C15" s="44" t="s">
        <v>12</v>
      </c>
      <c r="D15" s="22" t="s">
        <v>2</v>
      </c>
      <c r="E15" s="20">
        <v>1</v>
      </c>
      <c r="F15" s="17" t="s">
        <v>3</v>
      </c>
      <c r="G15" s="17" t="s">
        <v>3</v>
      </c>
      <c r="H15" s="17" t="s">
        <v>4</v>
      </c>
      <c r="I15" s="17" t="s">
        <v>5</v>
      </c>
      <c r="J15" s="27" t="s">
        <v>13</v>
      </c>
      <c r="K15" s="29">
        <v>26393</v>
      </c>
      <c r="L15" s="31">
        <v>2310049.3299997845</v>
      </c>
      <c r="M15" s="31">
        <v>308756.07000008092</v>
      </c>
      <c r="N15" s="31">
        <v>246213.82000006249</v>
      </c>
      <c r="O15" s="34">
        <f t="shared" si="0"/>
        <v>0.13365778210464005</v>
      </c>
      <c r="P15" s="34">
        <f t="shared" si="1"/>
        <v>0.79743799044986541</v>
      </c>
      <c r="Q15" s="34">
        <f t="shared" si="2"/>
        <v>0.86634221789535992</v>
      </c>
      <c r="R15" s="46">
        <f t="shared" si="3"/>
        <v>9.3287545940235095</v>
      </c>
    </row>
    <row r="16" spans="2:18" ht="12.75" customHeight="1" x14ac:dyDescent="0.25">
      <c r="B16" s="17" t="s">
        <v>0</v>
      </c>
      <c r="C16" s="44" t="s">
        <v>14</v>
      </c>
      <c r="D16" s="22" t="s">
        <v>2</v>
      </c>
      <c r="E16" s="20">
        <v>1</v>
      </c>
      <c r="F16" s="17" t="s">
        <v>3</v>
      </c>
      <c r="G16" s="17" t="s">
        <v>3</v>
      </c>
      <c r="H16" s="17" t="s">
        <v>4</v>
      </c>
      <c r="I16" s="17" t="s">
        <v>5</v>
      </c>
      <c r="J16" s="27" t="s">
        <v>15</v>
      </c>
      <c r="K16" s="29">
        <v>24899</v>
      </c>
      <c r="L16" s="31">
        <v>2667285.7099991604</v>
      </c>
      <c r="M16" s="31">
        <v>292264.74000026396</v>
      </c>
      <c r="N16" s="31">
        <v>232900.4299998426</v>
      </c>
      <c r="O16" s="34">
        <f t="shared" si="0"/>
        <v>0.10957384089174158</v>
      </c>
      <c r="P16" s="34">
        <f t="shared" si="1"/>
        <v>0.79688172442434302</v>
      </c>
      <c r="Q16" s="34">
        <f t="shared" si="2"/>
        <v>0.8904261591082584</v>
      </c>
      <c r="R16" s="46">
        <f t="shared" si="3"/>
        <v>9.3538065785711311</v>
      </c>
    </row>
    <row r="17" spans="2:18" ht="12.75" customHeight="1" x14ac:dyDescent="0.25">
      <c r="B17" s="17" t="s">
        <v>0</v>
      </c>
      <c r="C17" s="44" t="s">
        <v>16</v>
      </c>
      <c r="D17" s="22" t="s">
        <v>2</v>
      </c>
      <c r="E17" s="20">
        <v>1</v>
      </c>
      <c r="F17" s="17" t="s">
        <v>3</v>
      </c>
      <c r="G17" s="17" t="s">
        <v>3</v>
      </c>
      <c r="H17" s="17" t="s">
        <v>4</v>
      </c>
      <c r="I17" s="17" t="s">
        <v>5</v>
      </c>
      <c r="J17" s="27" t="s">
        <v>17</v>
      </c>
      <c r="K17" s="29">
        <v>3570</v>
      </c>
      <c r="L17" s="31">
        <v>3840420.729996447</v>
      </c>
      <c r="M17" s="31">
        <v>182236.58000058297</v>
      </c>
      <c r="N17" s="31">
        <v>145012.93000026466</v>
      </c>
      <c r="O17" s="34">
        <f t="shared" si="0"/>
        <v>4.7452243598516242E-2</v>
      </c>
      <c r="P17" s="34">
        <f t="shared" si="1"/>
        <v>0.79573996614620823</v>
      </c>
      <c r="Q17" s="34">
        <f t="shared" si="2"/>
        <v>0.9525477564014837</v>
      </c>
      <c r="R17" s="46">
        <f t="shared" si="3"/>
        <v>40.619868347413068</v>
      </c>
    </row>
    <row r="18" spans="2:18" ht="12.75" customHeight="1" x14ac:dyDescent="0.25">
      <c r="B18" s="17" t="s">
        <v>0</v>
      </c>
      <c r="C18" s="44" t="s">
        <v>18</v>
      </c>
      <c r="D18" s="22" t="s">
        <v>2</v>
      </c>
      <c r="E18" s="20">
        <v>1</v>
      </c>
      <c r="F18" s="17" t="s">
        <v>3</v>
      </c>
      <c r="G18" s="17" t="s">
        <v>3</v>
      </c>
      <c r="H18" s="17" t="s">
        <v>4</v>
      </c>
      <c r="I18" s="17" t="s">
        <v>5</v>
      </c>
      <c r="J18" s="27" t="s">
        <v>19</v>
      </c>
      <c r="K18" s="29">
        <v>14614</v>
      </c>
      <c r="L18" s="31">
        <v>1465182.0300000324</v>
      </c>
      <c r="M18" s="31">
        <v>169863.46999993289</v>
      </c>
      <c r="N18" s="31">
        <v>134735.29999993037</v>
      </c>
      <c r="O18" s="34">
        <f t="shared" si="0"/>
        <v>0.11593335607585163</v>
      </c>
      <c r="P18" s="34">
        <f t="shared" si="1"/>
        <v>0.793197619240815</v>
      </c>
      <c r="Q18" s="34">
        <f t="shared" si="2"/>
        <v>0.88406664392414835</v>
      </c>
      <c r="R18" s="46">
        <f t="shared" si="3"/>
        <v>9.2196044888415472</v>
      </c>
    </row>
    <row r="19" spans="2:18" ht="12.75" customHeight="1" x14ac:dyDescent="0.25">
      <c r="B19" s="17" t="s">
        <v>0</v>
      </c>
      <c r="C19" s="44" t="s">
        <v>20</v>
      </c>
      <c r="D19" s="22" t="s">
        <v>9</v>
      </c>
      <c r="E19" s="20">
        <v>2</v>
      </c>
      <c r="F19" s="17" t="s">
        <v>3</v>
      </c>
      <c r="G19" s="17" t="s">
        <v>3</v>
      </c>
      <c r="H19" s="17" t="s">
        <v>4</v>
      </c>
      <c r="I19" s="17" t="s">
        <v>5</v>
      </c>
      <c r="J19" s="27" t="s">
        <v>21</v>
      </c>
      <c r="K19" s="29">
        <v>3207</v>
      </c>
      <c r="L19" s="31">
        <v>1023891.8200008791</v>
      </c>
      <c r="M19" s="31">
        <v>154988.40000110693</v>
      </c>
      <c r="N19" s="31">
        <v>123064.8600002712</v>
      </c>
      <c r="O19" s="34">
        <f t="shared" si="0"/>
        <v>0.1513718509841927</v>
      </c>
      <c r="P19" s="34">
        <f t="shared" si="1"/>
        <v>0.79402626260670006</v>
      </c>
      <c r="Q19" s="34">
        <f t="shared" si="2"/>
        <v>0.8486281490158073</v>
      </c>
      <c r="R19" s="46">
        <f t="shared" si="3"/>
        <v>38.373826005697289</v>
      </c>
    </row>
    <row r="20" spans="2:18" ht="12.75" customHeight="1" x14ac:dyDescent="0.25">
      <c r="B20" s="17" t="s">
        <v>0</v>
      </c>
      <c r="C20" s="44" t="s">
        <v>22</v>
      </c>
      <c r="D20" s="22" t="s">
        <v>9</v>
      </c>
      <c r="E20" s="20">
        <v>2</v>
      </c>
      <c r="F20" s="17" t="s">
        <v>3</v>
      </c>
      <c r="G20" s="17" t="s">
        <v>3</v>
      </c>
      <c r="H20" s="17" t="s">
        <v>4</v>
      </c>
      <c r="I20" s="17" t="s">
        <v>5</v>
      </c>
      <c r="J20" s="27" t="s">
        <v>23</v>
      </c>
      <c r="K20" s="29">
        <v>5683</v>
      </c>
      <c r="L20" s="31">
        <v>391847.390000557</v>
      </c>
      <c r="M20" s="31">
        <v>134134.33999992805</v>
      </c>
      <c r="N20" s="31">
        <v>107186.20999999848</v>
      </c>
      <c r="O20" s="34">
        <f t="shared" si="0"/>
        <v>0.34231270495316402</v>
      </c>
      <c r="P20" s="34">
        <f t="shared" si="1"/>
        <v>0.79909596602969812</v>
      </c>
      <c r="Q20" s="34">
        <f t="shared" si="2"/>
        <v>0.65768729504683598</v>
      </c>
      <c r="R20" s="46">
        <f t="shared" si="3"/>
        <v>18.860849903219862</v>
      </c>
    </row>
    <row r="21" spans="2:18" ht="12.75" customHeight="1" x14ac:dyDescent="0.25">
      <c r="B21" s="17" t="s">
        <v>0</v>
      </c>
      <c r="C21" s="44" t="s">
        <v>24</v>
      </c>
      <c r="D21" s="22" t="s">
        <v>9</v>
      </c>
      <c r="E21" s="20">
        <v>2</v>
      </c>
      <c r="F21" s="17" t="s">
        <v>3</v>
      </c>
      <c r="G21" s="17" t="s">
        <v>3</v>
      </c>
      <c r="H21" s="17" t="s">
        <v>4</v>
      </c>
      <c r="I21" s="17" t="s">
        <v>5</v>
      </c>
      <c r="J21" s="27" t="s">
        <v>25</v>
      </c>
      <c r="K21" s="29">
        <v>3655</v>
      </c>
      <c r="L21" s="31">
        <v>415677.32000008906</v>
      </c>
      <c r="M21" s="31">
        <v>130020.10000004804</v>
      </c>
      <c r="N21" s="31">
        <v>103831.08000020579</v>
      </c>
      <c r="O21" s="34">
        <f t="shared" si="0"/>
        <v>0.31279094081923975</v>
      </c>
      <c r="P21" s="34">
        <f t="shared" si="1"/>
        <v>0.79857714307378191</v>
      </c>
      <c r="Q21" s="34">
        <f t="shared" si="2"/>
        <v>0.68720905918076025</v>
      </c>
      <c r="R21" s="46">
        <f t="shared" si="3"/>
        <v>28.407956224406512</v>
      </c>
    </row>
    <row r="22" spans="2:18" ht="12.75" customHeight="1" x14ac:dyDescent="0.25">
      <c r="B22" s="17" t="s">
        <v>0</v>
      </c>
      <c r="C22" s="44" t="s">
        <v>20</v>
      </c>
      <c r="D22" s="22" t="s">
        <v>2</v>
      </c>
      <c r="E22" s="20">
        <v>1</v>
      </c>
      <c r="F22" s="17" t="s">
        <v>3</v>
      </c>
      <c r="G22" s="17" t="s">
        <v>3</v>
      </c>
      <c r="H22" s="17" t="s">
        <v>4</v>
      </c>
      <c r="I22" s="17" t="s">
        <v>5</v>
      </c>
      <c r="J22" s="27" t="s">
        <v>21</v>
      </c>
      <c r="K22" s="29">
        <v>1914</v>
      </c>
      <c r="L22" s="31">
        <v>1895750.0599994992</v>
      </c>
      <c r="M22" s="31">
        <v>112369.719999801</v>
      </c>
      <c r="N22" s="31">
        <v>88797.98999958772</v>
      </c>
      <c r="O22" s="34">
        <f t="shared" si="0"/>
        <v>5.9274543818202852E-2</v>
      </c>
      <c r="P22" s="34">
        <f t="shared" si="1"/>
        <v>0.79023058880759844</v>
      </c>
      <c r="Q22" s="34">
        <f t="shared" si="2"/>
        <v>0.94072545618179715</v>
      </c>
      <c r="R22" s="46">
        <f t="shared" si="3"/>
        <v>46.393934169063591</v>
      </c>
    </row>
    <row r="23" spans="2:18" ht="12.75" customHeight="1" x14ac:dyDescent="0.25">
      <c r="B23" s="17" t="s">
        <v>0</v>
      </c>
      <c r="C23" s="44" t="s">
        <v>26</v>
      </c>
      <c r="D23" s="22" t="s">
        <v>2</v>
      </c>
      <c r="E23" s="20">
        <v>1</v>
      </c>
      <c r="F23" s="17" t="s">
        <v>3</v>
      </c>
      <c r="G23" s="17" t="s">
        <v>3</v>
      </c>
      <c r="H23" s="17" t="s">
        <v>4</v>
      </c>
      <c r="I23" s="17" t="s">
        <v>5</v>
      </c>
      <c r="J23" s="27" t="s">
        <v>27</v>
      </c>
      <c r="K23" s="29">
        <v>8667</v>
      </c>
      <c r="L23" s="31">
        <v>807381.05000054801</v>
      </c>
      <c r="M23" s="31">
        <v>101487.34000018799</v>
      </c>
      <c r="N23" s="31">
        <v>80266.009999983304</v>
      </c>
      <c r="O23" s="34">
        <f t="shared" si="0"/>
        <v>0.12569943275250156</v>
      </c>
      <c r="P23" s="34">
        <f t="shared" si="1"/>
        <v>0.79089677589179719</v>
      </c>
      <c r="Q23" s="34">
        <f t="shared" si="2"/>
        <v>0.87430056724749838</v>
      </c>
      <c r="R23" s="46">
        <f t="shared" si="3"/>
        <v>9.2611064959020766</v>
      </c>
    </row>
    <row r="24" spans="2:18" ht="12.75" customHeight="1" x14ac:dyDescent="0.25">
      <c r="B24" s="17" t="s">
        <v>0</v>
      </c>
      <c r="C24" s="44" t="s">
        <v>14</v>
      </c>
      <c r="D24" s="22" t="s">
        <v>9</v>
      </c>
      <c r="E24" s="20">
        <v>2</v>
      </c>
      <c r="F24" s="17" t="s">
        <v>3</v>
      </c>
      <c r="G24" s="17" t="s">
        <v>3</v>
      </c>
      <c r="H24" s="17" t="s">
        <v>4</v>
      </c>
      <c r="I24" s="17" t="s">
        <v>5</v>
      </c>
      <c r="J24" s="27" t="s">
        <v>15</v>
      </c>
      <c r="K24" s="29">
        <v>3953</v>
      </c>
      <c r="L24" s="31">
        <v>401061.20999955904</v>
      </c>
      <c r="M24" s="31">
        <v>96881.850000113307</v>
      </c>
      <c r="N24" s="31">
        <v>77141.139999989158</v>
      </c>
      <c r="O24" s="34">
        <f t="shared" si="0"/>
        <v>0.24156375033182548</v>
      </c>
      <c r="P24" s="34">
        <f t="shared" si="1"/>
        <v>0.79623933688197468</v>
      </c>
      <c r="Q24" s="34">
        <f t="shared" si="2"/>
        <v>0.75843624966817447</v>
      </c>
      <c r="R24" s="46">
        <f t="shared" si="3"/>
        <v>19.514581330632218</v>
      </c>
    </row>
    <row r="25" spans="2:18" ht="12.75" customHeight="1" x14ac:dyDescent="0.25">
      <c r="B25" s="17" t="s">
        <v>0</v>
      </c>
      <c r="C25" s="44" t="s">
        <v>28</v>
      </c>
      <c r="D25" s="22" t="s">
        <v>2</v>
      </c>
      <c r="E25" s="20">
        <v>1</v>
      </c>
      <c r="F25" s="17" t="s">
        <v>3</v>
      </c>
      <c r="G25" s="17" t="s">
        <v>3</v>
      </c>
      <c r="H25" s="17" t="s">
        <v>4</v>
      </c>
      <c r="I25" s="17" t="s">
        <v>5</v>
      </c>
      <c r="J25" s="27" t="s">
        <v>29</v>
      </c>
      <c r="K25" s="29">
        <v>1017</v>
      </c>
      <c r="L25" s="31">
        <v>1285125.9999589</v>
      </c>
      <c r="M25" s="31">
        <v>99357.409999890995</v>
      </c>
      <c r="N25" s="31">
        <v>77052.950000119003</v>
      </c>
      <c r="O25" s="34">
        <f t="shared" si="0"/>
        <v>7.7313360715656337E-2</v>
      </c>
      <c r="P25" s="34">
        <f t="shared" si="1"/>
        <v>0.77551286814142539</v>
      </c>
      <c r="Q25" s="34">
        <f t="shared" si="2"/>
        <v>0.92268663928434369</v>
      </c>
      <c r="R25" s="46">
        <f t="shared" si="3"/>
        <v>75.764945919487715</v>
      </c>
    </row>
    <row r="26" spans="2:18" ht="12.75" customHeight="1" x14ac:dyDescent="0.25">
      <c r="B26" s="17" t="s">
        <v>0</v>
      </c>
      <c r="C26" s="44" t="s">
        <v>16</v>
      </c>
      <c r="D26" s="22" t="s">
        <v>9</v>
      </c>
      <c r="E26" s="20">
        <v>2</v>
      </c>
      <c r="F26" s="17" t="s">
        <v>3</v>
      </c>
      <c r="G26" s="17" t="s">
        <v>3</v>
      </c>
      <c r="H26" s="17" t="s">
        <v>4</v>
      </c>
      <c r="I26" s="17" t="s">
        <v>5</v>
      </c>
      <c r="J26" s="27" t="s">
        <v>17</v>
      </c>
      <c r="K26" s="29">
        <v>2340</v>
      </c>
      <c r="L26" s="31">
        <v>804848.21999354509</v>
      </c>
      <c r="M26" s="31">
        <v>89390.809999871024</v>
      </c>
      <c r="N26" s="31">
        <v>70867.24000019356</v>
      </c>
      <c r="O26" s="34">
        <f t="shared" si="0"/>
        <v>0.11106542547933813</v>
      </c>
      <c r="P26" s="34">
        <f t="shared" si="1"/>
        <v>0.79277992894678784</v>
      </c>
      <c r="Q26" s="34">
        <f t="shared" si="2"/>
        <v>0.88893457452066182</v>
      </c>
      <c r="R26" s="46">
        <f t="shared" si="3"/>
        <v>30.285145299228017</v>
      </c>
    </row>
    <row r="27" spans="2:18" ht="12.75" customHeight="1" x14ac:dyDescent="0.25">
      <c r="B27" s="17" t="s">
        <v>0</v>
      </c>
      <c r="C27" s="44" t="s">
        <v>18</v>
      </c>
      <c r="D27" s="22" t="s">
        <v>9</v>
      </c>
      <c r="E27" s="20">
        <v>2</v>
      </c>
      <c r="F27" s="17" t="s">
        <v>3</v>
      </c>
      <c r="G27" s="17" t="s">
        <v>3</v>
      </c>
      <c r="H27" s="17" t="s">
        <v>4</v>
      </c>
      <c r="I27" s="17" t="s">
        <v>5</v>
      </c>
      <c r="J27" s="27" t="s">
        <v>19</v>
      </c>
      <c r="K27" s="29">
        <v>3074</v>
      </c>
      <c r="L27" s="31">
        <v>257891.08999997206</v>
      </c>
      <c r="M27" s="31">
        <v>78696.87000007699</v>
      </c>
      <c r="N27" s="31">
        <v>62812.410000016906</v>
      </c>
      <c r="O27" s="34">
        <f t="shared" si="0"/>
        <v>0.30515544371884085</v>
      </c>
      <c r="P27" s="34">
        <f t="shared" si="1"/>
        <v>0.79815639427534357</v>
      </c>
      <c r="Q27" s="34">
        <f t="shared" si="2"/>
        <v>0.69484455628115915</v>
      </c>
      <c r="R27" s="46">
        <f t="shared" si="3"/>
        <v>20.433445022777132</v>
      </c>
    </row>
    <row r="28" spans="2:18" ht="12.75" customHeight="1" x14ac:dyDescent="0.25">
      <c r="B28" s="17" t="s">
        <v>0</v>
      </c>
      <c r="C28" s="44" t="s">
        <v>12</v>
      </c>
      <c r="D28" s="22" t="s">
        <v>9</v>
      </c>
      <c r="E28" s="20">
        <v>2</v>
      </c>
      <c r="F28" s="17" t="s">
        <v>3</v>
      </c>
      <c r="G28" s="17" t="s">
        <v>3</v>
      </c>
      <c r="H28" s="17" t="s">
        <v>4</v>
      </c>
      <c r="I28" s="17" t="s">
        <v>5</v>
      </c>
      <c r="J28" s="27" t="s">
        <v>13</v>
      </c>
      <c r="K28" s="29">
        <v>2827</v>
      </c>
      <c r="L28" s="31">
        <v>334617.87999953504</v>
      </c>
      <c r="M28" s="31">
        <v>68432.489999795012</v>
      </c>
      <c r="N28" s="31">
        <v>54622.629999957499</v>
      </c>
      <c r="O28" s="34">
        <f t="shared" si="0"/>
        <v>0.2045093645321347</v>
      </c>
      <c r="P28" s="34">
        <f t="shared" si="1"/>
        <v>0.7981973182638995</v>
      </c>
      <c r="Q28" s="34">
        <f t="shared" si="2"/>
        <v>0.79549063546786525</v>
      </c>
      <c r="R28" s="46">
        <f t="shared" si="3"/>
        <v>19.321765122022462</v>
      </c>
    </row>
    <row r="29" spans="2:18" ht="12.75" customHeight="1" x14ac:dyDescent="0.25">
      <c r="B29" s="17" t="s">
        <v>0</v>
      </c>
      <c r="C29" s="44" t="s">
        <v>26</v>
      </c>
      <c r="D29" s="22" t="s">
        <v>9</v>
      </c>
      <c r="E29" s="20">
        <v>2</v>
      </c>
      <c r="F29" s="17" t="s">
        <v>3</v>
      </c>
      <c r="G29" s="17" t="s">
        <v>3</v>
      </c>
      <c r="H29" s="17" t="s">
        <v>4</v>
      </c>
      <c r="I29" s="17" t="s">
        <v>5</v>
      </c>
      <c r="J29" s="27" t="s">
        <v>27</v>
      </c>
      <c r="K29" s="29">
        <v>2770</v>
      </c>
      <c r="L29" s="31">
        <v>197675.840000597</v>
      </c>
      <c r="M29" s="31">
        <v>66362.740000057005</v>
      </c>
      <c r="N29" s="31">
        <v>53045.600000061306</v>
      </c>
      <c r="O29" s="34">
        <f t="shared" si="0"/>
        <v>0.33571497659934862</v>
      </c>
      <c r="P29" s="34">
        <f t="shared" si="1"/>
        <v>0.79932805667782458</v>
      </c>
      <c r="Q29" s="34">
        <f t="shared" si="2"/>
        <v>0.66428502340065143</v>
      </c>
      <c r="R29" s="46">
        <f t="shared" si="3"/>
        <v>19.150036101105165</v>
      </c>
    </row>
    <row r="30" spans="2:18" ht="12.75" customHeight="1" x14ac:dyDescent="0.25">
      <c r="B30" s="17" t="s">
        <v>0</v>
      </c>
      <c r="C30" s="44" t="s">
        <v>30</v>
      </c>
      <c r="D30" s="22" t="s">
        <v>2</v>
      </c>
      <c r="E30" s="20">
        <v>1</v>
      </c>
      <c r="F30" s="17" t="s">
        <v>3</v>
      </c>
      <c r="G30" s="17" t="s">
        <v>3</v>
      </c>
      <c r="H30" s="17" t="s">
        <v>4</v>
      </c>
      <c r="I30" s="17" t="s">
        <v>5</v>
      </c>
      <c r="J30" s="27" t="s">
        <v>31</v>
      </c>
      <c r="K30" s="29">
        <v>2282</v>
      </c>
      <c r="L30" s="31">
        <v>585571.7900023089</v>
      </c>
      <c r="M30" s="31">
        <v>55906.940000282004</v>
      </c>
      <c r="N30" s="31">
        <v>45233.179999935695</v>
      </c>
      <c r="O30" s="34">
        <f t="shared" si="0"/>
        <v>9.5474100622336272E-2</v>
      </c>
      <c r="P30" s="34">
        <f t="shared" si="1"/>
        <v>0.80907987451481933</v>
      </c>
      <c r="Q30" s="34">
        <f t="shared" si="2"/>
        <v>0.9045258993776637</v>
      </c>
      <c r="R30" s="46">
        <f t="shared" si="3"/>
        <v>19.821726555624757</v>
      </c>
    </row>
    <row r="31" spans="2:18" ht="12.75" customHeight="1" x14ac:dyDescent="0.25">
      <c r="B31" s="17" t="s">
        <v>0</v>
      </c>
      <c r="C31" s="44" t="s">
        <v>32</v>
      </c>
      <c r="D31" s="22" t="s">
        <v>2</v>
      </c>
      <c r="E31" s="20">
        <v>1</v>
      </c>
      <c r="F31" s="17" t="s">
        <v>3</v>
      </c>
      <c r="G31" s="17" t="s">
        <v>3</v>
      </c>
      <c r="H31" s="17" t="s">
        <v>4</v>
      </c>
      <c r="I31" s="17" t="s">
        <v>5</v>
      </c>
      <c r="J31" s="27" t="s">
        <v>33</v>
      </c>
      <c r="K31" s="29">
        <v>4788</v>
      </c>
      <c r="L31" s="31">
        <v>417631.99999957101</v>
      </c>
      <c r="M31" s="31">
        <v>56052.85000025497</v>
      </c>
      <c r="N31" s="31">
        <v>44522.859999995017</v>
      </c>
      <c r="O31" s="34">
        <f t="shared" si="0"/>
        <v>0.13421588862997219</v>
      </c>
      <c r="P31" s="34">
        <f t="shared" si="1"/>
        <v>0.79430144943196457</v>
      </c>
      <c r="Q31" s="34">
        <f t="shared" si="2"/>
        <v>0.86578411137002775</v>
      </c>
      <c r="R31" s="46">
        <f t="shared" si="3"/>
        <v>9.2988429406840059</v>
      </c>
    </row>
    <row r="32" spans="2:18" ht="12.75" customHeight="1" x14ac:dyDescent="0.25">
      <c r="B32" s="17" t="s">
        <v>0</v>
      </c>
      <c r="C32" s="44" t="s">
        <v>34</v>
      </c>
      <c r="D32" s="22" t="s">
        <v>9</v>
      </c>
      <c r="E32" s="20">
        <v>2</v>
      </c>
      <c r="F32" s="17" t="s">
        <v>3</v>
      </c>
      <c r="G32" s="17" t="s">
        <v>3</v>
      </c>
      <c r="H32" s="17" t="s">
        <v>4</v>
      </c>
      <c r="I32" s="17" t="s">
        <v>5</v>
      </c>
      <c r="J32" s="27" t="s">
        <v>35</v>
      </c>
      <c r="K32" s="29">
        <v>962</v>
      </c>
      <c r="L32" s="31">
        <v>143222.36000046</v>
      </c>
      <c r="M32" s="31">
        <v>46818.689999886003</v>
      </c>
      <c r="N32" s="31">
        <v>37472.570000046995</v>
      </c>
      <c r="O32" s="34">
        <f t="shared" si="0"/>
        <v>0.32689511609594779</v>
      </c>
      <c r="P32" s="34">
        <f t="shared" si="1"/>
        <v>0.80037630271454063</v>
      </c>
      <c r="Q32" s="34">
        <f t="shared" si="2"/>
        <v>0.67310488390405221</v>
      </c>
      <c r="R32" s="46">
        <f t="shared" si="3"/>
        <v>38.952775467824317</v>
      </c>
    </row>
    <row r="33" spans="2:18" ht="12.75" customHeight="1" x14ac:dyDescent="0.25">
      <c r="B33" s="17" t="s">
        <v>0</v>
      </c>
      <c r="C33" s="44" t="s">
        <v>30</v>
      </c>
      <c r="D33" s="22" t="s">
        <v>9</v>
      </c>
      <c r="E33" s="20">
        <v>2</v>
      </c>
      <c r="F33" s="17" t="s">
        <v>3</v>
      </c>
      <c r="G33" s="17" t="s">
        <v>3</v>
      </c>
      <c r="H33" s="17" t="s">
        <v>4</v>
      </c>
      <c r="I33" s="17" t="s">
        <v>5</v>
      </c>
      <c r="J33" s="27" t="s">
        <v>31</v>
      </c>
      <c r="K33" s="29">
        <v>1194</v>
      </c>
      <c r="L33" s="31">
        <v>154759.04000062001</v>
      </c>
      <c r="M33" s="31">
        <v>44990.099999961007</v>
      </c>
      <c r="N33" s="31">
        <v>35848.150000004207</v>
      </c>
      <c r="O33" s="34">
        <f t="shared" si="0"/>
        <v>0.29071064281466702</v>
      </c>
      <c r="P33" s="34">
        <f t="shared" si="1"/>
        <v>0.79680085174372306</v>
      </c>
      <c r="Q33" s="34">
        <f t="shared" si="2"/>
        <v>0.70928935718533292</v>
      </c>
      <c r="R33" s="46">
        <f t="shared" si="3"/>
        <v>30.023576214408884</v>
      </c>
    </row>
    <row r="34" spans="2:18" ht="12.75" customHeight="1" x14ac:dyDescent="0.25">
      <c r="B34" s="17" t="s">
        <v>0</v>
      </c>
      <c r="C34" s="44" t="s">
        <v>10</v>
      </c>
      <c r="D34" s="22" t="s">
        <v>9</v>
      </c>
      <c r="E34" s="20">
        <v>2</v>
      </c>
      <c r="F34" s="17" t="s">
        <v>3</v>
      </c>
      <c r="G34" s="17" t="s">
        <v>3</v>
      </c>
      <c r="H34" s="17" t="s">
        <v>4</v>
      </c>
      <c r="I34" s="17" t="s">
        <v>5</v>
      </c>
      <c r="J34" s="27" t="s">
        <v>11</v>
      </c>
      <c r="K34" s="29">
        <v>584</v>
      </c>
      <c r="L34" s="31">
        <v>500356.85000028001</v>
      </c>
      <c r="M34" s="31">
        <v>41783.460000028994</v>
      </c>
      <c r="N34" s="31">
        <v>33314.590000028002</v>
      </c>
      <c r="O34" s="34">
        <f t="shared" si="0"/>
        <v>8.3507320825138315E-2</v>
      </c>
      <c r="P34" s="34">
        <f t="shared" si="1"/>
        <v>0.79731525345208087</v>
      </c>
      <c r="Q34" s="34">
        <f t="shared" si="2"/>
        <v>0.91649267917486166</v>
      </c>
      <c r="R34" s="46">
        <f t="shared" si="3"/>
        <v>57.045530821965755</v>
      </c>
    </row>
    <row r="35" spans="2:18" ht="12.75" customHeight="1" x14ac:dyDescent="0.25">
      <c r="B35" s="17" t="s">
        <v>0</v>
      </c>
      <c r="C35" s="44" t="s">
        <v>36</v>
      </c>
      <c r="D35" s="22" t="s">
        <v>9</v>
      </c>
      <c r="E35" s="20">
        <v>2</v>
      </c>
      <c r="F35" s="17" t="s">
        <v>3</v>
      </c>
      <c r="G35" s="17" t="s">
        <v>3</v>
      </c>
      <c r="H35" s="17" t="s">
        <v>4</v>
      </c>
      <c r="I35" s="17" t="s">
        <v>5</v>
      </c>
      <c r="J35" s="27" t="s">
        <v>37</v>
      </c>
      <c r="K35" s="29">
        <v>1490</v>
      </c>
      <c r="L35" s="31">
        <v>200508.999999986</v>
      </c>
      <c r="M35" s="31">
        <v>40658.680000211003</v>
      </c>
      <c r="N35" s="31">
        <v>32359.7200000105</v>
      </c>
      <c r="O35" s="34">
        <f t="shared" si="0"/>
        <v>0.20277733169191328</v>
      </c>
      <c r="P35" s="34">
        <f t="shared" si="1"/>
        <v>0.79588712668100803</v>
      </c>
      <c r="Q35" s="34">
        <f t="shared" si="2"/>
        <v>0.79722266830808675</v>
      </c>
      <c r="R35" s="46">
        <f t="shared" si="3"/>
        <v>21.717932885913086</v>
      </c>
    </row>
    <row r="36" spans="2:18" ht="12.75" customHeight="1" x14ac:dyDescent="0.25">
      <c r="B36" s="17" t="s">
        <v>0</v>
      </c>
      <c r="C36" s="44" t="s">
        <v>24</v>
      </c>
      <c r="D36" s="22" t="s">
        <v>2</v>
      </c>
      <c r="E36" s="20">
        <v>1</v>
      </c>
      <c r="F36" s="17" t="s">
        <v>3</v>
      </c>
      <c r="G36" s="17" t="s">
        <v>3</v>
      </c>
      <c r="H36" s="17" t="s">
        <v>4</v>
      </c>
      <c r="I36" s="17" t="s">
        <v>5</v>
      </c>
      <c r="J36" s="27" t="s">
        <v>25</v>
      </c>
      <c r="K36" s="29">
        <v>3308</v>
      </c>
      <c r="L36" s="31">
        <v>205641.16000055199</v>
      </c>
      <c r="M36" s="31">
        <v>39143.600000070008</v>
      </c>
      <c r="N36" s="31">
        <v>31181.269999983404</v>
      </c>
      <c r="O36" s="34">
        <f t="shared" si="0"/>
        <v>0.19034905268947586</v>
      </c>
      <c r="P36" s="34">
        <f t="shared" si="1"/>
        <v>0.79658667061608124</v>
      </c>
      <c r="Q36" s="34">
        <f t="shared" si="2"/>
        <v>0.80965094731052412</v>
      </c>
      <c r="R36" s="46">
        <f t="shared" si="3"/>
        <v>9.426018742437547</v>
      </c>
    </row>
    <row r="37" spans="2:18" ht="12.75" customHeight="1" x14ac:dyDescent="0.25">
      <c r="B37" s="17" t="s">
        <v>0</v>
      </c>
      <c r="C37" s="44" t="s">
        <v>22</v>
      </c>
      <c r="D37" s="22" t="s">
        <v>2</v>
      </c>
      <c r="E37" s="20">
        <v>1</v>
      </c>
      <c r="F37" s="17" t="s">
        <v>3</v>
      </c>
      <c r="G37" s="17" t="s">
        <v>3</v>
      </c>
      <c r="H37" s="17" t="s">
        <v>4</v>
      </c>
      <c r="I37" s="17" t="s">
        <v>5</v>
      </c>
      <c r="J37" s="27" t="s">
        <v>23</v>
      </c>
      <c r="K37" s="29">
        <v>2560</v>
      </c>
      <c r="L37" s="31">
        <v>252262.03000054002</v>
      </c>
      <c r="M37" s="31">
        <v>30449.539999829001</v>
      </c>
      <c r="N37" s="31">
        <v>24336.699999964898</v>
      </c>
      <c r="O37" s="34">
        <f t="shared" si="0"/>
        <v>0.12070599764761988</v>
      </c>
      <c r="P37" s="34">
        <f t="shared" si="1"/>
        <v>0.79924688517795561</v>
      </c>
      <c r="Q37" s="34">
        <f t="shared" si="2"/>
        <v>0.87929400235238009</v>
      </c>
      <c r="R37" s="46">
        <f t="shared" si="3"/>
        <v>9.5065234374862886</v>
      </c>
    </row>
    <row r="38" spans="2:18" ht="12.75" customHeight="1" x14ac:dyDescent="0.25">
      <c r="B38" s="17" t="s">
        <v>0</v>
      </c>
      <c r="C38" s="44" t="s">
        <v>38</v>
      </c>
      <c r="D38" s="22" t="s">
        <v>2</v>
      </c>
      <c r="E38" s="20">
        <v>1</v>
      </c>
      <c r="F38" s="17" t="s">
        <v>3</v>
      </c>
      <c r="G38" s="17" t="s">
        <v>3</v>
      </c>
      <c r="H38" s="17" t="s">
        <v>4</v>
      </c>
      <c r="I38" s="17" t="s">
        <v>5</v>
      </c>
      <c r="J38" s="27" t="s">
        <v>39</v>
      </c>
      <c r="K38" s="29">
        <v>263</v>
      </c>
      <c r="L38" s="31">
        <v>375582.29999972001</v>
      </c>
      <c r="M38" s="31">
        <v>28652.330000141999</v>
      </c>
      <c r="N38" s="31">
        <v>22765.819999966803</v>
      </c>
      <c r="O38" s="34">
        <f t="shared" si="0"/>
        <v>7.6287753709808365E-2</v>
      </c>
      <c r="P38" s="34">
        <f t="shared" si="1"/>
        <v>0.79455388095327595</v>
      </c>
      <c r="Q38" s="34">
        <f t="shared" si="2"/>
        <v>0.92371224629019166</v>
      </c>
      <c r="R38" s="46">
        <f t="shared" si="3"/>
        <v>86.562053231812939</v>
      </c>
    </row>
    <row r="39" spans="2:18" ht="12.75" customHeight="1" x14ac:dyDescent="0.25">
      <c r="B39" s="17" t="s">
        <v>0</v>
      </c>
      <c r="C39" s="44" t="s">
        <v>40</v>
      </c>
      <c r="D39" s="22" t="s">
        <v>2</v>
      </c>
      <c r="E39" s="20">
        <v>1</v>
      </c>
      <c r="F39" s="17" t="s">
        <v>3</v>
      </c>
      <c r="G39" s="17" t="s">
        <v>3</v>
      </c>
      <c r="H39" s="17" t="s">
        <v>4</v>
      </c>
      <c r="I39" s="17" t="s">
        <v>5</v>
      </c>
      <c r="J39" s="27" t="s">
        <v>41</v>
      </c>
      <c r="K39" s="29">
        <v>146</v>
      </c>
      <c r="L39" s="31">
        <v>371460.00000130001</v>
      </c>
      <c r="M39" s="31">
        <v>21042.61000026</v>
      </c>
      <c r="N39" s="31">
        <v>16629.209999975999</v>
      </c>
      <c r="O39" s="34">
        <f t="shared" si="0"/>
        <v>5.6648387444641027E-2</v>
      </c>
      <c r="P39" s="34">
        <f t="shared" si="1"/>
        <v>0.79026366024796979</v>
      </c>
      <c r="Q39" s="34">
        <f t="shared" si="2"/>
        <v>0.94335161255535893</v>
      </c>
      <c r="R39" s="46">
        <f t="shared" si="3"/>
        <v>113.8986986299726</v>
      </c>
    </row>
    <row r="40" spans="2:18" ht="12.75" customHeight="1" x14ac:dyDescent="0.25">
      <c r="B40" s="17" t="s">
        <v>0</v>
      </c>
      <c r="C40" s="44" t="s">
        <v>42</v>
      </c>
      <c r="D40" s="22" t="s">
        <v>9</v>
      </c>
      <c r="E40" s="20">
        <v>2</v>
      </c>
      <c r="F40" s="17" t="s">
        <v>3</v>
      </c>
      <c r="G40" s="17" t="s">
        <v>3</v>
      </c>
      <c r="H40" s="17" t="s">
        <v>4</v>
      </c>
      <c r="I40" s="17" t="s">
        <v>5</v>
      </c>
      <c r="J40" s="27" t="s">
        <v>43</v>
      </c>
      <c r="K40" s="29">
        <v>648</v>
      </c>
      <c r="L40" s="31">
        <v>31943.000000330001</v>
      </c>
      <c r="M40" s="31">
        <v>14059.470000085003</v>
      </c>
      <c r="N40" s="31">
        <v>11260.9799999406</v>
      </c>
      <c r="O40" s="34">
        <f t="shared" si="0"/>
        <v>0.44014244122154322</v>
      </c>
      <c r="P40" s="34">
        <f t="shared" si="1"/>
        <v>0.80095337874560824</v>
      </c>
      <c r="Q40" s="34">
        <f t="shared" si="2"/>
        <v>0.55985755877845678</v>
      </c>
      <c r="R40" s="46">
        <f t="shared" si="3"/>
        <v>17.378055555463888</v>
      </c>
    </row>
    <row r="41" spans="2:18" ht="12.75" customHeight="1" x14ac:dyDescent="0.25">
      <c r="B41" s="17" t="s">
        <v>0</v>
      </c>
      <c r="C41" s="44" t="s">
        <v>44</v>
      </c>
      <c r="D41" s="22" t="s">
        <v>2</v>
      </c>
      <c r="E41" s="20">
        <v>1</v>
      </c>
      <c r="F41" s="17" t="s">
        <v>3</v>
      </c>
      <c r="G41" s="17" t="s">
        <v>3</v>
      </c>
      <c r="H41" s="17" t="s">
        <v>4</v>
      </c>
      <c r="I41" s="17" t="s">
        <v>5</v>
      </c>
      <c r="J41" s="27" t="s">
        <v>45</v>
      </c>
      <c r="K41" s="29">
        <v>1097</v>
      </c>
      <c r="L41" s="31">
        <v>140407.45999994999</v>
      </c>
      <c r="M41" s="31">
        <v>13068.550000066001</v>
      </c>
      <c r="N41" s="31">
        <v>10343.520000006802</v>
      </c>
      <c r="O41" s="34">
        <f t="shared" si="0"/>
        <v>9.3075894970756232E-2</v>
      </c>
      <c r="P41" s="34">
        <f t="shared" si="1"/>
        <v>0.79148183998642263</v>
      </c>
      <c r="Q41" s="34">
        <f t="shared" si="2"/>
        <v>0.90692410502924381</v>
      </c>
      <c r="R41" s="46">
        <f t="shared" si="3"/>
        <v>9.4289152233425728</v>
      </c>
    </row>
    <row r="42" spans="2:18" ht="12.75" customHeight="1" x14ac:dyDescent="0.25">
      <c r="B42" s="17" t="s">
        <v>0</v>
      </c>
      <c r="C42" s="44" t="s">
        <v>46</v>
      </c>
      <c r="D42" s="22" t="s">
        <v>2</v>
      </c>
      <c r="E42" s="20">
        <v>1</v>
      </c>
      <c r="F42" s="17" t="s">
        <v>3</v>
      </c>
      <c r="G42" s="17" t="s">
        <v>3</v>
      </c>
      <c r="H42" s="17" t="s">
        <v>4</v>
      </c>
      <c r="I42" s="17" t="s">
        <v>5</v>
      </c>
      <c r="J42" s="27" t="s">
        <v>47</v>
      </c>
      <c r="K42" s="29">
        <v>301</v>
      </c>
      <c r="L42" s="31">
        <v>67323.000000139989</v>
      </c>
      <c r="M42" s="31">
        <v>11916.169999969105</v>
      </c>
      <c r="N42" s="31">
        <v>9422.9999999943993</v>
      </c>
      <c r="O42" s="34">
        <f t="shared" ref="O42:O65" si="4">IFERROR(M42/L42,0)</f>
        <v>0.17699998514540835</v>
      </c>
      <c r="P42" s="34">
        <f t="shared" ref="P42:P65" si="5">IFERROR(N42/M42,0)</f>
        <v>0.79077421688502525</v>
      </c>
      <c r="Q42" s="34">
        <f t="shared" ref="Q42:Q65" si="6">IFERROR(1-(M42/L42),0)</f>
        <v>0.82300001485459162</v>
      </c>
      <c r="R42" s="46">
        <f t="shared" ref="R42:R65" si="7">IFERROR(N42/K42,0)</f>
        <v>31.305647840512954</v>
      </c>
    </row>
    <row r="43" spans="2:18" ht="12.75" customHeight="1" x14ac:dyDescent="0.25">
      <c r="B43" s="17" t="s">
        <v>0</v>
      </c>
      <c r="C43" s="44" t="s">
        <v>48</v>
      </c>
      <c r="D43" s="22" t="s">
        <v>2</v>
      </c>
      <c r="E43" s="20">
        <v>1</v>
      </c>
      <c r="F43" s="17" t="s">
        <v>3</v>
      </c>
      <c r="G43" s="17" t="s">
        <v>3</v>
      </c>
      <c r="H43" s="17" t="s">
        <v>4</v>
      </c>
      <c r="I43" s="17" t="s">
        <v>5</v>
      </c>
      <c r="J43" s="27" t="s">
        <v>49</v>
      </c>
      <c r="K43" s="29">
        <v>995</v>
      </c>
      <c r="L43" s="31">
        <v>104032.00000049001</v>
      </c>
      <c r="M43" s="31">
        <v>10832.800000188003</v>
      </c>
      <c r="N43" s="31">
        <v>8301.4999999938009</v>
      </c>
      <c r="O43" s="34">
        <f t="shared" si="4"/>
        <v>0.10412949861712721</v>
      </c>
      <c r="P43" s="34">
        <f t="shared" si="5"/>
        <v>0.76633003469552918</v>
      </c>
      <c r="Q43" s="34">
        <f t="shared" si="6"/>
        <v>0.89587050138287283</v>
      </c>
      <c r="R43" s="46">
        <f t="shared" si="7"/>
        <v>8.3432160803957807</v>
      </c>
    </row>
    <row r="44" spans="2:18" ht="12.75" customHeight="1" x14ac:dyDescent="0.25">
      <c r="B44" s="17" t="s">
        <v>0</v>
      </c>
      <c r="C44" s="44" t="s">
        <v>50</v>
      </c>
      <c r="D44" s="22" t="s">
        <v>2</v>
      </c>
      <c r="E44" s="20">
        <v>1</v>
      </c>
      <c r="F44" s="17" t="s">
        <v>3</v>
      </c>
      <c r="G44" s="17" t="s">
        <v>3</v>
      </c>
      <c r="H44" s="17" t="s">
        <v>4</v>
      </c>
      <c r="I44" s="17" t="s">
        <v>5</v>
      </c>
      <c r="J44" s="27" t="s">
        <v>51</v>
      </c>
      <c r="K44" s="29">
        <v>907</v>
      </c>
      <c r="L44" s="31">
        <v>47757.000000059998</v>
      </c>
      <c r="M44" s="31">
        <v>9084.479999976802</v>
      </c>
      <c r="N44" s="31">
        <v>7256.5600000052</v>
      </c>
      <c r="O44" s="34">
        <f t="shared" si="4"/>
        <v>0.1902230039568103</v>
      </c>
      <c r="P44" s="34">
        <f t="shared" si="5"/>
        <v>0.79878650181669508</v>
      </c>
      <c r="Q44" s="34">
        <f t="shared" si="6"/>
        <v>0.80977699604318976</v>
      </c>
      <c r="R44" s="46">
        <f t="shared" si="7"/>
        <v>8.0006174200718849</v>
      </c>
    </row>
    <row r="45" spans="2:18" ht="12.75" customHeight="1" x14ac:dyDescent="0.25">
      <c r="B45" s="17" t="s">
        <v>0</v>
      </c>
      <c r="C45" s="44" t="s">
        <v>52</v>
      </c>
      <c r="D45" s="22" t="s">
        <v>2</v>
      </c>
      <c r="E45" s="20">
        <v>1</v>
      </c>
      <c r="F45" s="17" t="s">
        <v>3</v>
      </c>
      <c r="G45" s="17" t="s">
        <v>3</v>
      </c>
      <c r="H45" s="17" t="s">
        <v>4</v>
      </c>
      <c r="I45" s="17" t="s">
        <v>5</v>
      </c>
      <c r="J45" s="27" t="s">
        <v>53</v>
      </c>
      <c r="K45" s="29">
        <v>622</v>
      </c>
      <c r="L45" s="31">
        <v>43362.399999961002</v>
      </c>
      <c r="M45" s="31">
        <v>7401.5100000050006</v>
      </c>
      <c r="N45" s="31">
        <v>5858.5600000066997</v>
      </c>
      <c r="O45" s="34">
        <f t="shared" si="4"/>
        <v>0.17068958360265246</v>
      </c>
      <c r="P45" s="34">
        <f t="shared" si="5"/>
        <v>0.7915357812125825</v>
      </c>
      <c r="Q45" s="34">
        <f t="shared" si="6"/>
        <v>0.82931041639734748</v>
      </c>
      <c r="R45" s="46">
        <f t="shared" si="7"/>
        <v>9.4189067524223464</v>
      </c>
    </row>
    <row r="46" spans="2:18" ht="12.75" customHeight="1" x14ac:dyDescent="0.25">
      <c r="B46" s="17" t="s">
        <v>0</v>
      </c>
      <c r="C46" s="44" t="s">
        <v>54</v>
      </c>
      <c r="D46" s="22" t="s">
        <v>2</v>
      </c>
      <c r="E46" s="20">
        <v>1</v>
      </c>
      <c r="F46" s="17" t="s">
        <v>3</v>
      </c>
      <c r="G46" s="17" t="s">
        <v>3</v>
      </c>
      <c r="H46" s="17" t="s">
        <v>4</v>
      </c>
      <c r="I46" s="17" t="s">
        <v>5</v>
      </c>
      <c r="J46" s="27" t="s">
        <v>55</v>
      </c>
      <c r="K46" s="29">
        <v>409</v>
      </c>
      <c r="L46" s="31">
        <v>111687.99999988</v>
      </c>
      <c r="M46" s="31">
        <v>6308.810000169</v>
      </c>
      <c r="N46" s="31">
        <v>4941.2899999795</v>
      </c>
      <c r="O46" s="34">
        <f t="shared" si="4"/>
        <v>5.6486014613707634E-2</v>
      </c>
      <c r="P46" s="34">
        <f t="shared" si="5"/>
        <v>0.78323645819847687</v>
      </c>
      <c r="Q46" s="34">
        <f t="shared" si="6"/>
        <v>0.94351398538629239</v>
      </c>
      <c r="R46" s="46">
        <f t="shared" si="7"/>
        <v>12.081393642981663</v>
      </c>
    </row>
    <row r="47" spans="2:18" ht="12.75" customHeight="1" x14ac:dyDescent="0.25">
      <c r="B47" s="17" t="s">
        <v>0</v>
      </c>
      <c r="C47" s="44" t="s">
        <v>56</v>
      </c>
      <c r="D47" s="22" t="s">
        <v>9</v>
      </c>
      <c r="E47" s="20">
        <v>2</v>
      </c>
      <c r="F47" s="17" t="s">
        <v>3</v>
      </c>
      <c r="G47" s="17" t="s">
        <v>3</v>
      </c>
      <c r="H47" s="17" t="s">
        <v>4</v>
      </c>
      <c r="I47" s="17" t="s">
        <v>5</v>
      </c>
      <c r="J47" s="27" t="s">
        <v>57</v>
      </c>
      <c r="K47" s="29">
        <v>188</v>
      </c>
      <c r="L47" s="31">
        <v>11168</v>
      </c>
      <c r="M47" s="31">
        <v>4447.4300000260009</v>
      </c>
      <c r="N47" s="31">
        <v>3548.4299999771993</v>
      </c>
      <c r="O47" s="34">
        <f t="shared" si="4"/>
        <v>0.39822976361264334</v>
      </c>
      <c r="P47" s="34">
        <f t="shared" si="5"/>
        <v>0.79786078700653051</v>
      </c>
      <c r="Q47" s="34">
        <f t="shared" si="6"/>
        <v>0.60177023638735672</v>
      </c>
      <c r="R47" s="46">
        <f t="shared" si="7"/>
        <v>18.874627659453189</v>
      </c>
    </row>
    <row r="48" spans="2:18" ht="12.75" customHeight="1" x14ac:dyDescent="0.25">
      <c r="B48" s="17" t="s">
        <v>0</v>
      </c>
      <c r="C48" s="44" t="s">
        <v>58</v>
      </c>
      <c r="D48" s="22" t="s">
        <v>2</v>
      </c>
      <c r="E48" s="20">
        <v>1</v>
      </c>
      <c r="F48" s="17" t="s">
        <v>3</v>
      </c>
      <c r="G48" s="17" t="s">
        <v>3</v>
      </c>
      <c r="H48" s="17" t="s">
        <v>4</v>
      </c>
      <c r="I48" s="17" t="s">
        <v>5</v>
      </c>
      <c r="J48" s="27" t="s">
        <v>59</v>
      </c>
      <c r="K48" s="29">
        <v>367</v>
      </c>
      <c r="L48" s="31">
        <v>31006.340000066</v>
      </c>
      <c r="M48" s="31">
        <v>4241.1600000529997</v>
      </c>
      <c r="N48" s="31">
        <v>3363.59</v>
      </c>
      <c r="O48" s="34">
        <f t="shared" si="4"/>
        <v>0.13678363844439467</v>
      </c>
      <c r="P48" s="34">
        <f t="shared" si="5"/>
        <v>0.79308255287656371</v>
      </c>
      <c r="Q48" s="34">
        <f t="shared" si="6"/>
        <v>0.86321636155560533</v>
      </c>
      <c r="R48" s="46">
        <f t="shared" si="7"/>
        <v>9.1650953678474121</v>
      </c>
    </row>
    <row r="49" spans="2:18" ht="12.75" customHeight="1" x14ac:dyDescent="0.25">
      <c r="B49" s="17" t="s">
        <v>0</v>
      </c>
      <c r="C49" s="44" t="s">
        <v>36</v>
      </c>
      <c r="D49" s="22" t="s">
        <v>2</v>
      </c>
      <c r="E49" s="20">
        <v>1</v>
      </c>
      <c r="F49" s="17" t="s">
        <v>3</v>
      </c>
      <c r="G49" s="17" t="s">
        <v>3</v>
      </c>
      <c r="H49" s="17" t="s">
        <v>4</v>
      </c>
      <c r="I49" s="17" t="s">
        <v>5</v>
      </c>
      <c r="J49" s="27" t="s">
        <v>37</v>
      </c>
      <c r="K49" s="29">
        <v>236</v>
      </c>
      <c r="L49" s="31">
        <v>13975.000000029999</v>
      </c>
      <c r="M49" s="31">
        <v>4033.6700000219998</v>
      </c>
      <c r="N49" s="31">
        <v>3178.6999999593995</v>
      </c>
      <c r="O49" s="34">
        <f t="shared" si="4"/>
        <v>0.28863470483100834</v>
      </c>
      <c r="P49" s="34">
        <f t="shared" si="5"/>
        <v>0.78804165931820469</v>
      </c>
      <c r="Q49" s="34">
        <f t="shared" si="6"/>
        <v>0.71136529516899172</v>
      </c>
      <c r="R49" s="46">
        <f t="shared" si="7"/>
        <v>13.469067796438134</v>
      </c>
    </row>
    <row r="50" spans="2:18" ht="12.75" customHeight="1" x14ac:dyDescent="0.25">
      <c r="B50" s="17" t="s">
        <v>0</v>
      </c>
      <c r="C50" s="44" t="s">
        <v>60</v>
      </c>
      <c r="D50" s="22" t="s">
        <v>9</v>
      </c>
      <c r="E50" s="20">
        <v>2</v>
      </c>
      <c r="F50" s="17" t="s">
        <v>3</v>
      </c>
      <c r="G50" s="17" t="s">
        <v>3</v>
      </c>
      <c r="H50" s="17" t="s">
        <v>4</v>
      </c>
      <c r="I50" s="17" t="s">
        <v>5</v>
      </c>
      <c r="J50" s="27" t="s">
        <v>61</v>
      </c>
      <c r="K50" s="29">
        <v>177</v>
      </c>
      <c r="L50" s="31">
        <v>37476</v>
      </c>
      <c r="M50" s="31">
        <v>3578.730000005</v>
      </c>
      <c r="N50" s="31">
        <v>2851.3500000048007</v>
      </c>
      <c r="O50" s="34">
        <f t="shared" si="4"/>
        <v>9.5493916106441451E-2</v>
      </c>
      <c r="P50" s="34">
        <f t="shared" si="5"/>
        <v>0.79674912608685677</v>
      </c>
      <c r="Q50" s="34">
        <f t="shared" si="6"/>
        <v>0.90450608389355858</v>
      </c>
      <c r="R50" s="46">
        <f t="shared" si="7"/>
        <v>16.109322033925427</v>
      </c>
    </row>
    <row r="51" spans="2:18" ht="12.75" customHeight="1" x14ac:dyDescent="0.25">
      <c r="B51" s="17" t="s">
        <v>0</v>
      </c>
      <c r="C51" s="44" t="s">
        <v>62</v>
      </c>
      <c r="D51" s="22" t="s">
        <v>9</v>
      </c>
      <c r="E51" s="20">
        <v>2</v>
      </c>
      <c r="F51" s="17" t="s">
        <v>3</v>
      </c>
      <c r="G51" s="17" t="s">
        <v>3</v>
      </c>
      <c r="H51" s="17" t="s">
        <v>4</v>
      </c>
      <c r="I51" s="17" t="s">
        <v>5</v>
      </c>
      <c r="J51" s="27" t="s">
        <v>63</v>
      </c>
      <c r="K51" s="29">
        <v>77</v>
      </c>
      <c r="L51" s="31">
        <v>15400</v>
      </c>
      <c r="M51" s="31">
        <v>3591.7100000319997</v>
      </c>
      <c r="N51" s="31">
        <v>2748.1700000370001</v>
      </c>
      <c r="O51" s="34">
        <f t="shared" si="4"/>
        <v>0.23322792207999998</v>
      </c>
      <c r="P51" s="34">
        <f t="shared" si="5"/>
        <v>0.76514250872495715</v>
      </c>
      <c r="Q51" s="34">
        <f t="shared" si="6"/>
        <v>0.76677207792000002</v>
      </c>
      <c r="R51" s="46">
        <f t="shared" si="7"/>
        <v>35.690519481000003</v>
      </c>
    </row>
    <row r="52" spans="2:18" ht="12.75" customHeight="1" x14ac:dyDescent="0.25">
      <c r="B52" s="17" t="s">
        <v>0</v>
      </c>
      <c r="C52" s="44" t="s">
        <v>64</v>
      </c>
      <c r="D52" s="22" t="s">
        <v>2</v>
      </c>
      <c r="E52" s="20">
        <v>1</v>
      </c>
      <c r="F52" s="17" t="s">
        <v>3</v>
      </c>
      <c r="G52" s="17" t="s">
        <v>3</v>
      </c>
      <c r="H52" s="17" t="s">
        <v>4</v>
      </c>
      <c r="I52" s="17" t="s">
        <v>5</v>
      </c>
      <c r="J52" s="27" t="s">
        <v>65</v>
      </c>
      <c r="K52" s="29">
        <v>269</v>
      </c>
      <c r="L52" s="31">
        <v>34690</v>
      </c>
      <c r="M52" s="31">
        <v>3164.8799999929997</v>
      </c>
      <c r="N52" s="31">
        <v>2520.8100000070003</v>
      </c>
      <c r="O52" s="34">
        <f t="shared" si="4"/>
        <v>9.1233208417209569E-2</v>
      </c>
      <c r="P52" s="34">
        <f t="shared" si="5"/>
        <v>0.79649465382971107</v>
      </c>
      <c r="Q52" s="34">
        <f t="shared" si="6"/>
        <v>0.90876679158279039</v>
      </c>
      <c r="R52" s="46">
        <f t="shared" si="7"/>
        <v>9.371040892219332</v>
      </c>
    </row>
    <row r="53" spans="2:18" ht="12.75" customHeight="1" x14ac:dyDescent="0.25">
      <c r="B53" s="17" t="s">
        <v>0</v>
      </c>
      <c r="C53" s="44" t="s">
        <v>62</v>
      </c>
      <c r="D53" s="22" t="s">
        <v>2</v>
      </c>
      <c r="E53" s="20">
        <v>1</v>
      </c>
      <c r="F53" s="17" t="s">
        <v>3</v>
      </c>
      <c r="G53" s="17" t="s">
        <v>3</v>
      </c>
      <c r="H53" s="17" t="s">
        <v>4</v>
      </c>
      <c r="I53" s="17" t="s">
        <v>5</v>
      </c>
      <c r="J53" s="27" t="s">
        <v>63</v>
      </c>
      <c r="K53" s="29">
        <v>229</v>
      </c>
      <c r="L53" s="31">
        <v>11450</v>
      </c>
      <c r="M53" s="31">
        <v>2700.4600000629998</v>
      </c>
      <c r="N53" s="31">
        <v>2148.1800000099997</v>
      </c>
      <c r="O53" s="34">
        <f t="shared" si="4"/>
        <v>0.23584803493999998</v>
      </c>
      <c r="P53" s="34">
        <f t="shared" si="5"/>
        <v>0.79548669484453916</v>
      </c>
      <c r="Q53" s="34">
        <f t="shared" si="6"/>
        <v>0.76415196506000005</v>
      </c>
      <c r="R53" s="46">
        <f t="shared" si="7"/>
        <v>9.3806986899999991</v>
      </c>
    </row>
    <row r="54" spans="2:18" ht="12.75" customHeight="1" x14ac:dyDescent="0.25">
      <c r="B54" s="17" t="s">
        <v>0</v>
      </c>
      <c r="C54" s="44" t="s">
        <v>50</v>
      </c>
      <c r="D54" s="22" t="s">
        <v>9</v>
      </c>
      <c r="E54" s="20">
        <v>2</v>
      </c>
      <c r="F54" s="17" t="s">
        <v>3</v>
      </c>
      <c r="G54" s="17" t="s">
        <v>3</v>
      </c>
      <c r="H54" s="17" t="s">
        <v>4</v>
      </c>
      <c r="I54" s="17" t="s">
        <v>5</v>
      </c>
      <c r="J54" s="27" t="s">
        <v>51</v>
      </c>
      <c r="K54" s="29">
        <v>95</v>
      </c>
      <c r="L54" s="31">
        <v>3664.7399999889999</v>
      </c>
      <c r="M54" s="31">
        <v>3130.8699999820001</v>
      </c>
      <c r="N54" s="31">
        <v>2132.8499999868</v>
      </c>
      <c r="O54" s="34">
        <f t="shared" si="4"/>
        <v>0.8543225440253327</v>
      </c>
      <c r="P54" s="34">
        <f t="shared" si="5"/>
        <v>0.68123237311004992</v>
      </c>
      <c r="Q54" s="34">
        <f t="shared" si="6"/>
        <v>0.1456774559746673</v>
      </c>
      <c r="R54" s="46">
        <f t="shared" si="7"/>
        <v>22.45105263144</v>
      </c>
    </row>
    <row r="55" spans="2:18" ht="12.75" customHeight="1" x14ac:dyDescent="0.25">
      <c r="B55" s="17" t="s">
        <v>0</v>
      </c>
      <c r="C55" s="44" t="s">
        <v>66</v>
      </c>
      <c r="D55" s="22" t="s">
        <v>2</v>
      </c>
      <c r="E55" s="20">
        <v>1</v>
      </c>
      <c r="F55" s="17" t="s">
        <v>3</v>
      </c>
      <c r="G55" s="17" t="s">
        <v>3</v>
      </c>
      <c r="H55" s="17" t="s">
        <v>4</v>
      </c>
      <c r="I55" s="17" t="s">
        <v>5</v>
      </c>
      <c r="J55" s="27" t="s">
        <v>67</v>
      </c>
      <c r="K55" s="29">
        <v>208</v>
      </c>
      <c r="L55" s="31">
        <v>10678.839999991998</v>
      </c>
      <c r="M55" s="31">
        <v>2405.1400000100002</v>
      </c>
      <c r="N55" s="31">
        <v>1918.4499999988998</v>
      </c>
      <c r="O55" s="34">
        <f t="shared" si="4"/>
        <v>0.22522483715570252</v>
      </c>
      <c r="P55" s="34">
        <f t="shared" si="5"/>
        <v>0.79764587508042073</v>
      </c>
      <c r="Q55" s="34">
        <f t="shared" si="6"/>
        <v>0.77477516284429748</v>
      </c>
      <c r="R55" s="46">
        <f t="shared" si="7"/>
        <v>9.2233173076870187</v>
      </c>
    </row>
    <row r="56" spans="2:18" ht="12.75" customHeight="1" x14ac:dyDescent="0.25">
      <c r="B56" s="17" t="s">
        <v>0</v>
      </c>
      <c r="C56" s="44" t="s">
        <v>68</v>
      </c>
      <c r="D56" s="22" t="s">
        <v>2</v>
      </c>
      <c r="E56" s="20">
        <v>1</v>
      </c>
      <c r="F56" s="17" t="s">
        <v>3</v>
      </c>
      <c r="G56" s="17" t="s">
        <v>3</v>
      </c>
      <c r="H56" s="17" t="s">
        <v>4</v>
      </c>
      <c r="I56" s="17" t="s">
        <v>5</v>
      </c>
      <c r="J56" s="27" t="s">
        <v>69</v>
      </c>
      <c r="K56" s="29">
        <v>177</v>
      </c>
      <c r="L56" s="31">
        <v>21395.000000004999</v>
      </c>
      <c r="M56" s="31">
        <v>2083.849999993</v>
      </c>
      <c r="N56" s="31">
        <v>1662.5799999977</v>
      </c>
      <c r="O56" s="34">
        <f t="shared" si="4"/>
        <v>9.7398924982122603E-2</v>
      </c>
      <c r="P56" s="34">
        <f t="shared" si="5"/>
        <v>0.79784053554876067</v>
      </c>
      <c r="Q56" s="34">
        <f t="shared" si="6"/>
        <v>0.90260107501787745</v>
      </c>
      <c r="R56" s="46">
        <f t="shared" si="7"/>
        <v>9.393107344619775</v>
      </c>
    </row>
    <row r="57" spans="2:18" ht="12.75" customHeight="1" x14ac:dyDescent="0.25">
      <c r="B57" s="17" t="s">
        <v>0</v>
      </c>
      <c r="C57" s="44" t="s">
        <v>70</v>
      </c>
      <c r="D57" s="22" t="s">
        <v>2</v>
      </c>
      <c r="E57" s="20">
        <v>1</v>
      </c>
      <c r="F57" s="17" t="s">
        <v>3</v>
      </c>
      <c r="G57" s="17" t="s">
        <v>3</v>
      </c>
      <c r="H57" s="17" t="s">
        <v>4</v>
      </c>
      <c r="I57" s="17" t="s">
        <v>5</v>
      </c>
      <c r="J57" s="27" t="s">
        <v>71</v>
      </c>
      <c r="K57" s="29">
        <v>14</v>
      </c>
      <c r="L57" s="31">
        <v>4625.0000000400005</v>
      </c>
      <c r="M57" s="31">
        <v>1860.68999998</v>
      </c>
      <c r="N57" s="31">
        <v>1382.8600000039999</v>
      </c>
      <c r="O57" s="34">
        <f t="shared" si="4"/>
        <v>0.40231135134354756</v>
      </c>
      <c r="P57" s="34">
        <f t="shared" si="5"/>
        <v>0.74319741602247757</v>
      </c>
      <c r="Q57" s="34">
        <f t="shared" si="6"/>
        <v>0.59768864865645244</v>
      </c>
      <c r="R57" s="46">
        <f t="shared" si="7"/>
        <v>98.775714285999996</v>
      </c>
    </row>
    <row r="58" spans="2:18" ht="12.75" customHeight="1" x14ac:dyDescent="0.25">
      <c r="B58" s="17" t="s">
        <v>0</v>
      </c>
      <c r="C58" s="44" t="s">
        <v>68</v>
      </c>
      <c r="D58" s="22" t="s">
        <v>9</v>
      </c>
      <c r="E58" s="20">
        <v>2</v>
      </c>
      <c r="F58" s="17" t="s">
        <v>3</v>
      </c>
      <c r="G58" s="17" t="s">
        <v>3</v>
      </c>
      <c r="H58" s="17" t="s">
        <v>4</v>
      </c>
      <c r="I58" s="17" t="s">
        <v>5</v>
      </c>
      <c r="J58" s="27" t="s">
        <v>69</v>
      </c>
      <c r="K58" s="29">
        <v>67</v>
      </c>
      <c r="L58" s="31">
        <v>6516.5200000299992</v>
      </c>
      <c r="M58" s="31">
        <v>1740.3299999960002</v>
      </c>
      <c r="N58" s="31">
        <v>1361.5800000193999</v>
      </c>
      <c r="O58" s="34">
        <f t="shared" si="4"/>
        <v>0.26706432267344971</v>
      </c>
      <c r="P58" s="34">
        <f t="shared" si="5"/>
        <v>0.78236886109101678</v>
      </c>
      <c r="Q58" s="34">
        <f t="shared" si="6"/>
        <v>0.73293567732655029</v>
      </c>
      <c r="R58" s="46">
        <f t="shared" si="7"/>
        <v>20.322089552528357</v>
      </c>
    </row>
    <row r="59" spans="2:18" ht="12.75" customHeight="1" x14ac:dyDescent="0.25">
      <c r="B59" s="17" t="s">
        <v>0</v>
      </c>
      <c r="C59" s="44" t="s">
        <v>72</v>
      </c>
      <c r="D59" s="22" t="s">
        <v>9</v>
      </c>
      <c r="E59" s="20">
        <v>2</v>
      </c>
      <c r="F59" s="17" t="s">
        <v>3</v>
      </c>
      <c r="G59" s="17" t="s">
        <v>3</v>
      </c>
      <c r="H59" s="17" t="s">
        <v>4</v>
      </c>
      <c r="I59" s="17" t="s">
        <v>5</v>
      </c>
      <c r="J59" s="27" t="s">
        <v>73</v>
      </c>
      <c r="K59" s="29">
        <v>51</v>
      </c>
      <c r="L59" s="31">
        <v>5370</v>
      </c>
      <c r="M59" s="31">
        <v>1672.039999998</v>
      </c>
      <c r="N59" s="31">
        <v>1334.3500000004001</v>
      </c>
      <c r="O59" s="34">
        <f t="shared" si="4"/>
        <v>0.3113668528860335</v>
      </c>
      <c r="P59" s="34">
        <f t="shared" si="5"/>
        <v>0.79803712829955997</v>
      </c>
      <c r="Q59" s="34">
        <f t="shared" si="6"/>
        <v>0.6886331471139665</v>
      </c>
      <c r="R59" s="46">
        <f t="shared" si="7"/>
        <v>26.163725490203923</v>
      </c>
    </row>
    <row r="60" spans="2:18" ht="12.75" customHeight="1" x14ac:dyDescent="0.25">
      <c r="B60" s="17" t="s">
        <v>0</v>
      </c>
      <c r="C60" s="44" t="s">
        <v>32</v>
      </c>
      <c r="D60" s="22" t="s">
        <v>9</v>
      </c>
      <c r="E60" s="20">
        <v>2</v>
      </c>
      <c r="F60" s="17" t="s">
        <v>3</v>
      </c>
      <c r="G60" s="17" t="s">
        <v>3</v>
      </c>
      <c r="H60" s="17" t="s">
        <v>4</v>
      </c>
      <c r="I60" s="17" t="s">
        <v>5</v>
      </c>
      <c r="J60" s="27" t="s">
        <v>33</v>
      </c>
      <c r="K60" s="29">
        <v>49</v>
      </c>
      <c r="L60" s="31">
        <v>5419.68</v>
      </c>
      <c r="M60" s="31">
        <v>1656.7999999879999</v>
      </c>
      <c r="N60" s="31">
        <v>1234.0800000081001</v>
      </c>
      <c r="O60" s="34">
        <f t="shared" si="4"/>
        <v>0.3057007055744988</v>
      </c>
      <c r="P60" s="34">
        <f t="shared" si="5"/>
        <v>0.74485755674616039</v>
      </c>
      <c r="Q60" s="34">
        <f t="shared" si="6"/>
        <v>0.6942992944255012</v>
      </c>
      <c r="R60" s="46">
        <f t="shared" si="7"/>
        <v>25.185306122614289</v>
      </c>
    </row>
    <row r="61" spans="2:18" ht="12.75" customHeight="1" x14ac:dyDescent="0.25">
      <c r="B61" s="17" t="s">
        <v>0</v>
      </c>
      <c r="C61" s="44" t="s">
        <v>58</v>
      </c>
      <c r="D61" s="22" t="s">
        <v>9</v>
      </c>
      <c r="E61" s="20">
        <v>2</v>
      </c>
      <c r="F61" s="17" t="s">
        <v>3</v>
      </c>
      <c r="G61" s="17" t="s">
        <v>3</v>
      </c>
      <c r="H61" s="17" t="s">
        <v>4</v>
      </c>
      <c r="I61" s="17" t="s">
        <v>5</v>
      </c>
      <c r="J61" s="27" t="s">
        <v>59</v>
      </c>
      <c r="K61" s="29">
        <v>44</v>
      </c>
      <c r="L61" s="31">
        <v>7866.3600000000006</v>
      </c>
      <c r="M61" s="31">
        <v>1427.470000004</v>
      </c>
      <c r="N61" s="31">
        <v>1126.5800000088002</v>
      </c>
      <c r="O61" s="34">
        <f t="shared" si="4"/>
        <v>0.18146512491215758</v>
      </c>
      <c r="P61" s="34">
        <f t="shared" si="5"/>
        <v>0.78921448437140074</v>
      </c>
      <c r="Q61" s="34">
        <f t="shared" si="6"/>
        <v>0.8185348750878424</v>
      </c>
      <c r="R61" s="46">
        <f t="shared" si="7"/>
        <v>25.604090909290914</v>
      </c>
    </row>
    <row r="62" spans="2:18" ht="12.75" customHeight="1" x14ac:dyDescent="0.25">
      <c r="B62" s="17" t="s">
        <v>0</v>
      </c>
      <c r="C62" s="44" t="s">
        <v>74</v>
      </c>
      <c r="D62" s="22" t="s">
        <v>2</v>
      </c>
      <c r="E62" s="20">
        <v>1</v>
      </c>
      <c r="F62" s="17" t="s">
        <v>3</v>
      </c>
      <c r="G62" s="17" t="s">
        <v>3</v>
      </c>
      <c r="H62" s="17" t="s">
        <v>4</v>
      </c>
      <c r="I62" s="17" t="s">
        <v>5</v>
      </c>
      <c r="J62" s="27" t="s">
        <v>75</v>
      </c>
      <c r="K62" s="29">
        <v>55</v>
      </c>
      <c r="L62" s="31">
        <v>6775</v>
      </c>
      <c r="M62" s="31">
        <v>605.01999999500003</v>
      </c>
      <c r="N62" s="31">
        <v>482.02000000049998</v>
      </c>
      <c r="O62" s="34">
        <f t="shared" si="4"/>
        <v>8.9301845017712184E-2</v>
      </c>
      <c r="P62" s="34">
        <f t="shared" si="5"/>
        <v>0.79670093551367471</v>
      </c>
      <c r="Q62" s="34">
        <f t="shared" si="6"/>
        <v>0.91069815498228779</v>
      </c>
      <c r="R62" s="46">
        <f t="shared" si="7"/>
        <v>8.7640000000090907</v>
      </c>
    </row>
    <row r="63" spans="2:18" ht="12.75" customHeight="1" x14ac:dyDescent="0.25">
      <c r="B63" s="17" t="s">
        <v>0</v>
      </c>
      <c r="C63" s="44" t="s">
        <v>42</v>
      </c>
      <c r="D63" s="22" t="s">
        <v>2</v>
      </c>
      <c r="E63" s="20">
        <v>1</v>
      </c>
      <c r="F63" s="17" t="s">
        <v>3</v>
      </c>
      <c r="G63" s="17" t="s">
        <v>3</v>
      </c>
      <c r="H63" s="17" t="s">
        <v>4</v>
      </c>
      <c r="I63" s="17" t="s">
        <v>5</v>
      </c>
      <c r="J63" s="27" t="s">
        <v>43</v>
      </c>
      <c r="K63" s="29">
        <v>49</v>
      </c>
      <c r="L63" s="31">
        <v>2904</v>
      </c>
      <c r="M63" s="31">
        <v>524.51000000099998</v>
      </c>
      <c r="N63" s="31">
        <v>413.93999999899995</v>
      </c>
      <c r="O63" s="34">
        <f t="shared" si="4"/>
        <v>0.18061639118491735</v>
      </c>
      <c r="P63" s="34">
        <f t="shared" si="5"/>
        <v>0.78919372366248641</v>
      </c>
      <c r="Q63" s="34">
        <f t="shared" si="6"/>
        <v>0.81938360881508265</v>
      </c>
      <c r="R63" s="46">
        <f t="shared" si="7"/>
        <v>8.4477551020204071</v>
      </c>
    </row>
    <row r="64" spans="2:18" ht="12.75" customHeight="1" x14ac:dyDescent="0.25">
      <c r="B64" s="17" t="s">
        <v>0</v>
      </c>
      <c r="C64" s="44" t="s">
        <v>34</v>
      </c>
      <c r="D64" s="22" t="s">
        <v>2</v>
      </c>
      <c r="E64" s="20">
        <v>1</v>
      </c>
      <c r="F64" s="17" t="s">
        <v>3</v>
      </c>
      <c r="G64" s="17" t="s">
        <v>3</v>
      </c>
      <c r="H64" s="17" t="s">
        <v>4</v>
      </c>
      <c r="I64" s="17" t="s">
        <v>5</v>
      </c>
      <c r="J64" s="27" t="s">
        <v>35</v>
      </c>
      <c r="K64" s="29">
        <v>23</v>
      </c>
      <c r="L64" s="31">
        <v>3462.4199999999996</v>
      </c>
      <c r="M64" s="31">
        <v>281.06</v>
      </c>
      <c r="N64" s="31">
        <v>226.09</v>
      </c>
      <c r="O64" s="34">
        <f t="shared" si="4"/>
        <v>8.1174438687392061E-2</v>
      </c>
      <c r="P64" s="34">
        <f t="shared" si="5"/>
        <v>0.80441898527004907</v>
      </c>
      <c r="Q64" s="34">
        <f t="shared" si="6"/>
        <v>0.91882556131260795</v>
      </c>
      <c r="R64" s="46">
        <f t="shared" si="7"/>
        <v>9.83</v>
      </c>
    </row>
    <row r="65" spans="2:18" ht="12.75" customHeight="1" thickBot="1" x14ac:dyDescent="0.3">
      <c r="B65" s="15" t="s">
        <v>0</v>
      </c>
      <c r="C65" s="50" t="s">
        <v>76</v>
      </c>
      <c r="D65" s="19" t="s">
        <v>2</v>
      </c>
      <c r="E65" s="16">
        <v>1</v>
      </c>
      <c r="F65" s="15" t="s">
        <v>3</v>
      </c>
      <c r="G65" s="15" t="s">
        <v>3</v>
      </c>
      <c r="H65" s="15" t="s">
        <v>4</v>
      </c>
      <c r="I65" s="15" t="s">
        <v>5</v>
      </c>
      <c r="J65" s="24" t="s">
        <v>77</v>
      </c>
      <c r="K65" s="26">
        <v>21</v>
      </c>
      <c r="L65" s="28">
        <v>2688</v>
      </c>
      <c r="M65" s="28">
        <v>239.109999996</v>
      </c>
      <c r="N65" s="28">
        <v>190.5799999992</v>
      </c>
      <c r="O65" s="32">
        <f t="shared" si="4"/>
        <v>8.8954613093749996E-2</v>
      </c>
      <c r="P65" s="32">
        <f t="shared" si="5"/>
        <v>0.79703901970803459</v>
      </c>
      <c r="Q65" s="32">
        <f t="shared" si="6"/>
        <v>0.91104538690625003</v>
      </c>
      <c r="R65" s="49">
        <f t="shared" si="7"/>
        <v>9.0752380951999996</v>
      </c>
    </row>
    <row r="66" spans="2:18" ht="17.25" customHeight="1" x14ac:dyDescent="0.25">
      <c r="B66" s="48"/>
      <c r="C66" s="58"/>
      <c r="D66" s="51" t="s">
        <v>366</v>
      </c>
      <c r="E66" s="52"/>
      <c r="F66" s="52"/>
      <c r="G66" s="53"/>
      <c r="H66" s="53"/>
      <c r="I66" s="53"/>
      <c r="J66" s="54"/>
      <c r="K66" s="55">
        <f>SUM(K10:K65)</f>
        <v>713439</v>
      </c>
      <c r="L66" s="56">
        <f>SUM(L10:L65)</f>
        <v>981873818.4900353</v>
      </c>
      <c r="M66" s="56">
        <f>SUM(M10:M65)</f>
        <v>73046354.599998951</v>
      </c>
      <c r="N66" s="56">
        <f>SUM(N10:N65)</f>
        <v>58052345.269999281</v>
      </c>
      <c r="O66" s="57">
        <f>IFERROR(M66/L66,0)</f>
        <v>7.4394849138897046E-2</v>
      </c>
      <c r="P66" s="57">
        <f>IFERROR(N66/M66,0)</f>
        <v>0.79473295536640121</v>
      </c>
      <c r="Q66" s="57">
        <f>IFERROR(1-(M66/L66),0)</f>
        <v>0.92560515086110295</v>
      </c>
      <c r="R66" s="59">
        <f>IFERROR(N66/K66,0)</f>
        <v>81.369739066688652</v>
      </c>
    </row>
    <row r="67" spans="2:18" ht="15.75" thickBot="1" x14ac:dyDescent="0.3">
      <c r="B67" s="60"/>
      <c r="C67" s="64"/>
      <c r="D67" s="62" t="s">
        <v>5</v>
      </c>
      <c r="E67" s="61"/>
      <c r="F67" s="61"/>
      <c r="G67" s="61"/>
      <c r="H67" s="61"/>
      <c r="I67" s="61"/>
      <c r="J67" s="61"/>
      <c r="K67" s="63"/>
      <c r="L67" s="63"/>
      <c r="M67" s="63"/>
      <c r="N67" s="63"/>
      <c r="O67" s="63"/>
      <c r="P67" s="63"/>
      <c r="Q67" s="63"/>
      <c r="R67" s="65"/>
    </row>
    <row r="68" spans="2:18" ht="15.75" thickBot="1" x14ac:dyDescent="0.3"/>
    <row r="69" spans="2:18" ht="15.75" x14ac:dyDescent="0.25">
      <c r="B69" s="1"/>
      <c r="C69" s="7" t="s">
        <v>348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9"/>
    </row>
    <row r="70" spans="2:18" ht="18" x14ac:dyDescent="0.25">
      <c r="B70" s="2"/>
      <c r="C70" s="8" t="s">
        <v>81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10"/>
    </row>
    <row r="71" spans="2:18" ht="15.75" thickBot="1" x14ac:dyDescent="0.3">
      <c r="B71" s="3"/>
      <c r="C71" s="11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12"/>
    </row>
    <row r="72" spans="2:18" ht="17.25" customHeight="1" thickBot="1" x14ac:dyDescent="0.3">
      <c r="B72" s="14" t="s">
        <v>349</v>
      </c>
      <c r="C72" s="18" t="s">
        <v>350</v>
      </c>
      <c r="D72" s="21" t="s">
        <v>351</v>
      </c>
      <c r="E72" s="23" t="s">
        <v>352</v>
      </c>
      <c r="F72" s="21" t="s">
        <v>353</v>
      </c>
      <c r="G72" s="23" t="s">
        <v>354</v>
      </c>
      <c r="H72" s="23" t="s">
        <v>355</v>
      </c>
      <c r="I72" s="23" t="s">
        <v>356</v>
      </c>
      <c r="J72" s="25" t="s">
        <v>357</v>
      </c>
      <c r="K72" s="25" t="s">
        <v>358</v>
      </c>
      <c r="L72" s="30" t="s">
        <v>359</v>
      </c>
      <c r="M72" s="30" t="s">
        <v>360</v>
      </c>
      <c r="N72" s="30" t="s">
        <v>361</v>
      </c>
      <c r="O72" s="33" t="s">
        <v>362</v>
      </c>
      <c r="P72" s="33" t="s">
        <v>363</v>
      </c>
      <c r="Q72" s="33" t="s">
        <v>364</v>
      </c>
      <c r="R72" s="35" t="s">
        <v>365</v>
      </c>
    </row>
    <row r="73" spans="2:18" ht="12.75" customHeight="1" x14ac:dyDescent="0.25">
      <c r="B73" s="17" t="s">
        <v>0</v>
      </c>
      <c r="C73" s="43" t="s">
        <v>34</v>
      </c>
      <c r="D73" s="37" t="s">
        <v>9</v>
      </c>
      <c r="E73" s="36">
        <v>2</v>
      </c>
      <c r="F73" s="38" t="s">
        <v>78</v>
      </c>
      <c r="G73" s="38" t="s">
        <v>79</v>
      </c>
      <c r="H73" s="38" t="s">
        <v>80</v>
      </c>
      <c r="I73" s="38" t="s">
        <v>81</v>
      </c>
      <c r="J73" s="39" t="s">
        <v>35</v>
      </c>
      <c r="K73" s="40">
        <v>26490</v>
      </c>
      <c r="L73" s="41">
        <v>7415909.0999932466</v>
      </c>
      <c r="M73" s="41">
        <v>3236611.4100020318</v>
      </c>
      <c r="N73" s="41">
        <v>2546351.4499971019</v>
      </c>
      <c r="O73" s="42">
        <f t="shared" ref="O73:O93" si="8">IFERROR(M73/L73,0)</f>
        <v>0.43644162386038138</v>
      </c>
      <c r="P73" s="42">
        <f t="shared" ref="P73:P93" si="9">IFERROR(N73/M73,0)</f>
        <v>0.78673375559641356</v>
      </c>
      <c r="Q73" s="42">
        <f t="shared" ref="Q73:Q93" si="10">IFERROR(1-(M73/L73),0)</f>
        <v>0.56355837613961857</v>
      </c>
      <c r="R73" s="45">
        <f t="shared" ref="R73:R93" si="11">IFERROR(N73/K73,0)</f>
        <v>96.125007549909469</v>
      </c>
    </row>
    <row r="74" spans="2:18" ht="12.75" customHeight="1" x14ac:dyDescent="0.25">
      <c r="B74" s="17" t="s">
        <v>0</v>
      </c>
      <c r="C74" s="44" t="s">
        <v>82</v>
      </c>
      <c r="D74" s="22" t="s">
        <v>9</v>
      </c>
      <c r="E74" s="20">
        <v>2</v>
      </c>
      <c r="F74" s="17" t="s">
        <v>78</v>
      </c>
      <c r="G74" s="17" t="s">
        <v>79</v>
      </c>
      <c r="H74" s="17" t="s">
        <v>80</v>
      </c>
      <c r="I74" s="17" t="s">
        <v>81</v>
      </c>
      <c r="J74" s="27" t="s">
        <v>83</v>
      </c>
      <c r="K74" s="29">
        <v>3172</v>
      </c>
      <c r="L74" s="31">
        <v>2347542.4200016898</v>
      </c>
      <c r="M74" s="31">
        <v>1226840.4900027602</v>
      </c>
      <c r="N74" s="31">
        <v>959224.85000304983</v>
      </c>
      <c r="O74" s="34">
        <f t="shared" si="8"/>
        <v>0.52260631354294207</v>
      </c>
      <c r="P74" s="34">
        <f t="shared" si="9"/>
        <v>0.78186598650725303</v>
      </c>
      <c r="Q74" s="34">
        <f t="shared" si="10"/>
        <v>0.47739368645705793</v>
      </c>
      <c r="R74" s="46">
        <f t="shared" si="11"/>
        <v>302.40379886603085</v>
      </c>
    </row>
    <row r="75" spans="2:18" ht="12.75" customHeight="1" x14ac:dyDescent="0.25">
      <c r="B75" s="17" t="s">
        <v>0</v>
      </c>
      <c r="C75" s="44" t="s">
        <v>50</v>
      </c>
      <c r="D75" s="22" t="s">
        <v>9</v>
      </c>
      <c r="E75" s="20">
        <v>2</v>
      </c>
      <c r="F75" s="17" t="s">
        <v>78</v>
      </c>
      <c r="G75" s="17" t="s">
        <v>79</v>
      </c>
      <c r="H75" s="17" t="s">
        <v>80</v>
      </c>
      <c r="I75" s="17" t="s">
        <v>81</v>
      </c>
      <c r="J75" s="27" t="s">
        <v>51</v>
      </c>
      <c r="K75" s="29">
        <v>1605</v>
      </c>
      <c r="L75" s="31">
        <v>573764.58999992174</v>
      </c>
      <c r="M75" s="31">
        <v>297074.1200014638</v>
      </c>
      <c r="N75" s="31">
        <v>234686.95000077839</v>
      </c>
      <c r="O75" s="34">
        <f t="shared" si="8"/>
        <v>0.51776307771363916</v>
      </c>
      <c r="P75" s="34">
        <f t="shared" si="9"/>
        <v>0.78999459797986438</v>
      </c>
      <c r="Q75" s="34">
        <f t="shared" si="10"/>
        <v>0.48223692228636084</v>
      </c>
      <c r="R75" s="46">
        <f t="shared" si="11"/>
        <v>146.22239875437907</v>
      </c>
    </row>
    <row r="76" spans="2:18" ht="12.75" customHeight="1" x14ac:dyDescent="0.25">
      <c r="B76" s="17" t="s">
        <v>0</v>
      </c>
      <c r="C76" s="44" t="s">
        <v>7</v>
      </c>
      <c r="D76" s="22" t="s">
        <v>9</v>
      </c>
      <c r="E76" s="20">
        <v>2</v>
      </c>
      <c r="F76" s="17" t="s">
        <v>78</v>
      </c>
      <c r="G76" s="17" t="s">
        <v>79</v>
      </c>
      <c r="H76" s="17" t="s">
        <v>80</v>
      </c>
      <c r="I76" s="17" t="s">
        <v>81</v>
      </c>
      <c r="J76" s="27" t="s">
        <v>8</v>
      </c>
      <c r="K76" s="29">
        <v>747</v>
      </c>
      <c r="L76" s="31">
        <v>659743.78000243986</v>
      </c>
      <c r="M76" s="31">
        <v>286612.96000195004</v>
      </c>
      <c r="N76" s="31">
        <v>227662.08999865802</v>
      </c>
      <c r="O76" s="34">
        <f t="shared" si="8"/>
        <v>0.43443071187558613</v>
      </c>
      <c r="P76" s="34">
        <f t="shared" si="9"/>
        <v>0.79431889610682316</v>
      </c>
      <c r="Q76" s="34">
        <f t="shared" si="10"/>
        <v>0.56556928812441387</v>
      </c>
      <c r="R76" s="46">
        <f t="shared" si="11"/>
        <v>304.76852744130929</v>
      </c>
    </row>
    <row r="77" spans="2:18" ht="12.75" customHeight="1" x14ac:dyDescent="0.25">
      <c r="B77" s="17" t="s">
        <v>0</v>
      </c>
      <c r="C77" s="44" t="s">
        <v>20</v>
      </c>
      <c r="D77" s="22" t="s">
        <v>9</v>
      </c>
      <c r="E77" s="20">
        <v>2</v>
      </c>
      <c r="F77" s="17" t="s">
        <v>78</v>
      </c>
      <c r="G77" s="17" t="s">
        <v>79</v>
      </c>
      <c r="H77" s="17" t="s">
        <v>80</v>
      </c>
      <c r="I77" s="17" t="s">
        <v>81</v>
      </c>
      <c r="J77" s="27" t="s">
        <v>21</v>
      </c>
      <c r="K77" s="29">
        <v>1546</v>
      </c>
      <c r="L77" s="31">
        <v>422233.559999655</v>
      </c>
      <c r="M77" s="31">
        <v>222063.04999994708</v>
      </c>
      <c r="N77" s="31">
        <v>175601.69999952297</v>
      </c>
      <c r="O77" s="34">
        <f t="shared" si="8"/>
        <v>0.52592468017020844</v>
      </c>
      <c r="P77" s="34">
        <f t="shared" si="9"/>
        <v>0.79077406168907804</v>
      </c>
      <c r="Q77" s="34">
        <f t="shared" si="10"/>
        <v>0.47407531982979156</v>
      </c>
      <c r="R77" s="46">
        <f t="shared" si="11"/>
        <v>113.58454075001485</v>
      </c>
    </row>
    <row r="78" spans="2:18" ht="12.75" customHeight="1" x14ac:dyDescent="0.25">
      <c r="B78" s="17" t="s">
        <v>0</v>
      </c>
      <c r="C78" s="44" t="s">
        <v>84</v>
      </c>
      <c r="D78" s="22" t="s">
        <v>9</v>
      </c>
      <c r="E78" s="20">
        <v>2</v>
      </c>
      <c r="F78" s="17" t="s">
        <v>78</v>
      </c>
      <c r="G78" s="17" t="s">
        <v>79</v>
      </c>
      <c r="H78" s="17" t="s">
        <v>80</v>
      </c>
      <c r="I78" s="17" t="s">
        <v>81</v>
      </c>
      <c r="J78" s="27" t="s">
        <v>85</v>
      </c>
      <c r="K78" s="29">
        <v>4529</v>
      </c>
      <c r="L78" s="31">
        <v>180342.11000093698</v>
      </c>
      <c r="M78" s="31">
        <v>127702.5499995838</v>
      </c>
      <c r="N78" s="31">
        <v>125524.22999927581</v>
      </c>
      <c r="O78" s="34">
        <f t="shared" si="8"/>
        <v>0.70811276411771118</v>
      </c>
      <c r="P78" s="34">
        <f t="shared" si="9"/>
        <v>0.98294223568507366</v>
      </c>
      <c r="Q78" s="34">
        <f t="shared" si="10"/>
        <v>0.29188723588228882</v>
      </c>
      <c r="R78" s="46">
        <f t="shared" si="11"/>
        <v>27.715661293723958</v>
      </c>
    </row>
    <row r="79" spans="2:18" ht="12.75" customHeight="1" x14ac:dyDescent="0.25">
      <c r="B79" s="17" t="s">
        <v>0</v>
      </c>
      <c r="C79" s="44" t="s">
        <v>86</v>
      </c>
      <c r="D79" s="22" t="s">
        <v>9</v>
      </c>
      <c r="E79" s="20">
        <v>2</v>
      </c>
      <c r="F79" s="17" t="s">
        <v>78</v>
      </c>
      <c r="G79" s="17" t="s">
        <v>79</v>
      </c>
      <c r="H79" s="17" t="s">
        <v>80</v>
      </c>
      <c r="I79" s="17" t="s">
        <v>81</v>
      </c>
      <c r="J79" s="27" t="s">
        <v>87</v>
      </c>
      <c r="K79" s="29">
        <v>472</v>
      </c>
      <c r="L79" s="31">
        <v>304039.99999863998</v>
      </c>
      <c r="M79" s="31">
        <v>131064.57000055999</v>
      </c>
      <c r="N79" s="31">
        <v>103878.21000008</v>
      </c>
      <c r="O79" s="34">
        <f t="shared" si="8"/>
        <v>0.43107673332833268</v>
      </c>
      <c r="P79" s="34">
        <f t="shared" si="9"/>
        <v>0.79257277538572146</v>
      </c>
      <c r="Q79" s="34">
        <f t="shared" si="10"/>
        <v>0.56892326667166726</v>
      </c>
      <c r="R79" s="46">
        <f t="shared" si="11"/>
        <v>220.08095338999999</v>
      </c>
    </row>
    <row r="80" spans="2:18" ht="12.75" customHeight="1" x14ac:dyDescent="0.25">
      <c r="B80" s="17" t="s">
        <v>0</v>
      </c>
      <c r="C80" s="44" t="s">
        <v>46</v>
      </c>
      <c r="D80" s="22" t="s">
        <v>9</v>
      </c>
      <c r="E80" s="20">
        <v>2</v>
      </c>
      <c r="F80" s="17" t="s">
        <v>78</v>
      </c>
      <c r="G80" s="17" t="s">
        <v>79</v>
      </c>
      <c r="H80" s="17" t="s">
        <v>80</v>
      </c>
      <c r="I80" s="17" t="s">
        <v>81</v>
      </c>
      <c r="J80" s="27" t="s">
        <v>47</v>
      </c>
      <c r="K80" s="29">
        <v>1702</v>
      </c>
      <c r="L80" s="31">
        <v>261897.29918365841</v>
      </c>
      <c r="M80" s="31">
        <v>69346.035921945499</v>
      </c>
      <c r="N80" s="31">
        <v>54575.21502374189</v>
      </c>
      <c r="O80" s="34">
        <f t="shared" si="8"/>
        <v>0.26478331826291884</v>
      </c>
      <c r="P80" s="34">
        <f t="shared" si="9"/>
        <v>0.78699833809059616</v>
      </c>
      <c r="Q80" s="34">
        <f t="shared" si="10"/>
        <v>0.7352166817370811</v>
      </c>
      <c r="R80" s="46">
        <f t="shared" si="11"/>
        <v>32.065343727227905</v>
      </c>
    </row>
    <row r="81" spans="2:18" ht="12.75" customHeight="1" x14ac:dyDescent="0.25">
      <c r="B81" s="17" t="s">
        <v>0</v>
      </c>
      <c r="C81" s="44" t="s">
        <v>16</v>
      </c>
      <c r="D81" s="22" t="s">
        <v>9</v>
      </c>
      <c r="E81" s="20">
        <v>2</v>
      </c>
      <c r="F81" s="17" t="s">
        <v>78</v>
      </c>
      <c r="G81" s="17" t="s">
        <v>79</v>
      </c>
      <c r="H81" s="17" t="s">
        <v>80</v>
      </c>
      <c r="I81" s="17" t="s">
        <v>81</v>
      </c>
      <c r="J81" s="27" t="s">
        <v>17</v>
      </c>
      <c r="K81" s="29">
        <v>299</v>
      </c>
      <c r="L81" s="31">
        <v>149945.3099997</v>
      </c>
      <c r="M81" s="31">
        <v>29490.510000052003</v>
      </c>
      <c r="N81" s="31">
        <v>23094.700000182998</v>
      </c>
      <c r="O81" s="34">
        <f t="shared" si="8"/>
        <v>0.19667510774502389</v>
      </c>
      <c r="P81" s="34">
        <f t="shared" si="9"/>
        <v>0.78312311316902539</v>
      </c>
      <c r="Q81" s="34">
        <f t="shared" si="10"/>
        <v>0.80332489225497605</v>
      </c>
      <c r="R81" s="46">
        <f t="shared" si="11"/>
        <v>77.239799331715716</v>
      </c>
    </row>
    <row r="82" spans="2:18" ht="12.75" customHeight="1" x14ac:dyDescent="0.25">
      <c r="B82" s="17" t="s">
        <v>0</v>
      </c>
      <c r="C82" s="44" t="s">
        <v>88</v>
      </c>
      <c r="D82" s="22" t="s">
        <v>9</v>
      </c>
      <c r="E82" s="20">
        <v>2</v>
      </c>
      <c r="F82" s="17" t="s">
        <v>78</v>
      </c>
      <c r="G82" s="17" t="s">
        <v>79</v>
      </c>
      <c r="H82" s="17" t="s">
        <v>80</v>
      </c>
      <c r="I82" s="17" t="s">
        <v>81</v>
      </c>
      <c r="J82" s="27" t="s">
        <v>89</v>
      </c>
      <c r="K82" s="29">
        <v>28</v>
      </c>
      <c r="L82" s="31">
        <v>32562.32</v>
      </c>
      <c r="M82" s="31">
        <v>24561.43999988</v>
      </c>
      <c r="N82" s="31">
        <v>19569.27</v>
      </c>
      <c r="O82" s="34">
        <f t="shared" si="8"/>
        <v>0.75429023484444602</v>
      </c>
      <c r="P82" s="34">
        <f t="shared" si="9"/>
        <v>0.79674766626450277</v>
      </c>
      <c r="Q82" s="34">
        <f t="shared" si="10"/>
        <v>0.24570976515555398</v>
      </c>
      <c r="R82" s="46">
        <f t="shared" si="11"/>
        <v>698.90250000000003</v>
      </c>
    </row>
    <row r="83" spans="2:18" ht="12.75" customHeight="1" x14ac:dyDescent="0.25">
      <c r="B83" s="17" t="s">
        <v>0</v>
      </c>
      <c r="C83" s="44" t="s">
        <v>58</v>
      </c>
      <c r="D83" s="22" t="s">
        <v>9</v>
      </c>
      <c r="E83" s="20">
        <v>2</v>
      </c>
      <c r="F83" s="17" t="s">
        <v>78</v>
      </c>
      <c r="G83" s="17" t="s">
        <v>79</v>
      </c>
      <c r="H83" s="17" t="s">
        <v>80</v>
      </c>
      <c r="I83" s="17" t="s">
        <v>81</v>
      </c>
      <c r="J83" s="27" t="s">
        <v>59</v>
      </c>
      <c r="K83" s="29">
        <v>240</v>
      </c>
      <c r="L83" s="31">
        <v>49469.000000045002</v>
      </c>
      <c r="M83" s="31">
        <v>17262.200000023</v>
      </c>
      <c r="N83" s="31">
        <v>13708.850000054001</v>
      </c>
      <c r="O83" s="34">
        <f t="shared" si="8"/>
        <v>0.34894984737931423</v>
      </c>
      <c r="P83" s="34">
        <f t="shared" si="9"/>
        <v>0.79415427929439675</v>
      </c>
      <c r="Q83" s="34">
        <f t="shared" si="10"/>
        <v>0.65105015262068577</v>
      </c>
      <c r="R83" s="46">
        <f t="shared" si="11"/>
        <v>57.120208333558338</v>
      </c>
    </row>
    <row r="84" spans="2:18" ht="12.75" customHeight="1" x14ac:dyDescent="0.25">
      <c r="B84" s="17" t="s">
        <v>0</v>
      </c>
      <c r="C84" s="44" t="s">
        <v>90</v>
      </c>
      <c r="D84" s="22" t="s">
        <v>9</v>
      </c>
      <c r="E84" s="20">
        <v>2</v>
      </c>
      <c r="F84" s="17" t="s">
        <v>78</v>
      </c>
      <c r="G84" s="17" t="s">
        <v>79</v>
      </c>
      <c r="H84" s="17" t="s">
        <v>80</v>
      </c>
      <c r="I84" s="17" t="s">
        <v>81</v>
      </c>
      <c r="J84" s="27" t="s">
        <v>91</v>
      </c>
      <c r="K84" s="29">
        <v>271</v>
      </c>
      <c r="L84" s="31">
        <v>14263.999999905998</v>
      </c>
      <c r="M84" s="31">
        <v>13807.999999946998</v>
      </c>
      <c r="N84" s="31">
        <v>10956.060000009</v>
      </c>
      <c r="O84" s="34">
        <f t="shared" si="8"/>
        <v>0.96803140774242813</v>
      </c>
      <c r="P84" s="34">
        <f t="shared" si="9"/>
        <v>0.79345741599442743</v>
      </c>
      <c r="Q84" s="34">
        <f t="shared" si="10"/>
        <v>3.1968592257571871E-2</v>
      </c>
      <c r="R84" s="46">
        <f t="shared" si="11"/>
        <v>40.428265682690039</v>
      </c>
    </row>
    <row r="85" spans="2:18" ht="12.75" customHeight="1" x14ac:dyDescent="0.25">
      <c r="B85" s="17" t="s">
        <v>0</v>
      </c>
      <c r="C85" s="44" t="s">
        <v>54</v>
      </c>
      <c r="D85" s="22" t="s">
        <v>9</v>
      </c>
      <c r="E85" s="20">
        <v>2</v>
      </c>
      <c r="F85" s="17" t="s">
        <v>78</v>
      </c>
      <c r="G85" s="17" t="s">
        <v>79</v>
      </c>
      <c r="H85" s="17" t="s">
        <v>80</v>
      </c>
      <c r="I85" s="17" t="s">
        <v>81</v>
      </c>
      <c r="J85" s="27" t="s">
        <v>55</v>
      </c>
      <c r="K85" s="29">
        <v>1060</v>
      </c>
      <c r="L85" s="31">
        <v>19013.570000025997</v>
      </c>
      <c r="M85" s="31">
        <v>1312.3400000050999</v>
      </c>
      <c r="N85" s="31">
        <v>1033.6299999972</v>
      </c>
      <c r="O85" s="34">
        <f t="shared" si="8"/>
        <v>6.9021230626510735E-2</v>
      </c>
      <c r="P85" s="34">
        <f t="shared" si="9"/>
        <v>0.78762363411401248</v>
      </c>
      <c r="Q85" s="34">
        <f t="shared" si="10"/>
        <v>0.93097876937348922</v>
      </c>
      <c r="R85" s="46">
        <f t="shared" si="11"/>
        <v>0.97512264150679251</v>
      </c>
    </row>
    <row r="86" spans="2:18" ht="12.75" customHeight="1" x14ac:dyDescent="0.25">
      <c r="B86" s="17" t="s">
        <v>0</v>
      </c>
      <c r="C86" s="44" t="s">
        <v>92</v>
      </c>
      <c r="D86" s="22" t="s">
        <v>9</v>
      </c>
      <c r="E86" s="20">
        <v>2</v>
      </c>
      <c r="F86" s="17" t="s">
        <v>78</v>
      </c>
      <c r="G86" s="17" t="s">
        <v>79</v>
      </c>
      <c r="H86" s="17" t="s">
        <v>80</v>
      </c>
      <c r="I86" s="17" t="s">
        <v>81</v>
      </c>
      <c r="J86" s="27" t="s">
        <v>93</v>
      </c>
      <c r="K86" s="29">
        <v>636</v>
      </c>
      <c r="L86" s="31">
        <v>9148.4999999304</v>
      </c>
      <c r="M86" s="31">
        <v>415.97000001340001</v>
      </c>
      <c r="N86" s="31">
        <v>314.90999999669998</v>
      </c>
      <c r="O86" s="34">
        <f t="shared" si="8"/>
        <v>4.5468656065646242E-2</v>
      </c>
      <c r="P86" s="34">
        <f t="shared" si="9"/>
        <v>0.7570497872119516</v>
      </c>
      <c r="Q86" s="34">
        <f t="shared" si="10"/>
        <v>0.95453134393435379</v>
      </c>
      <c r="R86" s="46">
        <f t="shared" si="11"/>
        <v>0.49514150942877355</v>
      </c>
    </row>
    <row r="87" spans="2:18" ht="12.75" customHeight="1" x14ac:dyDescent="0.25">
      <c r="B87" s="17" t="s">
        <v>0</v>
      </c>
      <c r="C87" s="44" t="s">
        <v>44</v>
      </c>
      <c r="D87" s="22" t="s">
        <v>9</v>
      </c>
      <c r="E87" s="20">
        <v>2</v>
      </c>
      <c r="F87" s="17" t="s">
        <v>78</v>
      </c>
      <c r="G87" s="17" t="s">
        <v>79</v>
      </c>
      <c r="H87" s="17" t="s">
        <v>80</v>
      </c>
      <c r="I87" s="17" t="s">
        <v>81</v>
      </c>
      <c r="J87" s="27" t="s">
        <v>45</v>
      </c>
      <c r="K87" s="29">
        <v>5426</v>
      </c>
      <c r="L87" s="31">
        <v>28977.969999992198</v>
      </c>
      <c r="M87" s="31">
        <v>335.40999998210003</v>
      </c>
      <c r="N87" s="31">
        <v>256.72999995949999</v>
      </c>
      <c r="O87" s="34">
        <f t="shared" si="8"/>
        <v>1.1574654814750321E-2</v>
      </c>
      <c r="P87" s="34">
        <f t="shared" si="9"/>
        <v>0.76542142444530881</v>
      </c>
      <c r="Q87" s="34">
        <f t="shared" si="10"/>
        <v>0.98842534518524972</v>
      </c>
      <c r="R87" s="46">
        <f t="shared" si="11"/>
        <v>4.7314780678123849E-2</v>
      </c>
    </row>
    <row r="88" spans="2:18" ht="12.75" customHeight="1" x14ac:dyDescent="0.25">
      <c r="B88" s="17" t="s">
        <v>0</v>
      </c>
      <c r="C88" s="44" t="s">
        <v>30</v>
      </c>
      <c r="D88" s="22" t="s">
        <v>9</v>
      </c>
      <c r="E88" s="20">
        <v>2</v>
      </c>
      <c r="F88" s="17" t="s">
        <v>78</v>
      </c>
      <c r="G88" s="17" t="s">
        <v>79</v>
      </c>
      <c r="H88" s="17" t="s">
        <v>80</v>
      </c>
      <c r="I88" s="17" t="s">
        <v>81</v>
      </c>
      <c r="J88" s="27" t="s">
        <v>31</v>
      </c>
      <c r="K88" s="29">
        <v>1046</v>
      </c>
      <c r="L88" s="31">
        <v>12460.339999897798</v>
      </c>
      <c r="M88" s="31">
        <v>98.539999988599988</v>
      </c>
      <c r="N88" s="31">
        <v>73.640000003099985</v>
      </c>
      <c r="O88" s="34">
        <f t="shared" si="8"/>
        <v>7.9082914261896734E-3</v>
      </c>
      <c r="P88" s="34">
        <f t="shared" si="9"/>
        <v>0.74731073687456195</v>
      </c>
      <c r="Q88" s="34">
        <f t="shared" si="10"/>
        <v>0.99209170857381035</v>
      </c>
      <c r="R88" s="46">
        <f t="shared" si="11"/>
        <v>7.0401529639674942E-2</v>
      </c>
    </row>
    <row r="89" spans="2:18" ht="12.75" customHeight="1" x14ac:dyDescent="0.25">
      <c r="B89" s="17" t="s">
        <v>0</v>
      </c>
      <c r="C89" s="44" t="s">
        <v>94</v>
      </c>
      <c r="D89" s="22" t="s">
        <v>9</v>
      </c>
      <c r="E89" s="20">
        <v>2</v>
      </c>
      <c r="F89" s="17" t="s">
        <v>78</v>
      </c>
      <c r="G89" s="17" t="s">
        <v>79</v>
      </c>
      <c r="H89" s="17" t="s">
        <v>80</v>
      </c>
      <c r="I89" s="17" t="s">
        <v>81</v>
      </c>
      <c r="J89" s="27" t="s">
        <v>95</v>
      </c>
      <c r="K89" s="29">
        <v>1230</v>
      </c>
      <c r="L89" s="31">
        <v>674.1</v>
      </c>
      <c r="M89" s="31">
        <v>59.899999999500004</v>
      </c>
      <c r="N89" s="31">
        <v>46.140000014999998</v>
      </c>
      <c r="O89" s="34">
        <f t="shared" si="8"/>
        <v>8.8859219699599465E-2</v>
      </c>
      <c r="P89" s="34">
        <f t="shared" si="9"/>
        <v>0.77028380660075357</v>
      </c>
      <c r="Q89" s="34">
        <f t="shared" si="10"/>
        <v>0.91114078030040058</v>
      </c>
      <c r="R89" s="46">
        <f t="shared" si="11"/>
        <v>3.7512195134146338E-2</v>
      </c>
    </row>
    <row r="90" spans="2:18" ht="12.75" customHeight="1" x14ac:dyDescent="0.25">
      <c r="B90" s="17" t="s">
        <v>0</v>
      </c>
      <c r="C90" s="44" t="s">
        <v>38</v>
      </c>
      <c r="D90" s="22" t="s">
        <v>9</v>
      </c>
      <c r="E90" s="20">
        <v>2</v>
      </c>
      <c r="F90" s="17" t="s">
        <v>78</v>
      </c>
      <c r="G90" s="17" t="s">
        <v>79</v>
      </c>
      <c r="H90" s="17" t="s">
        <v>80</v>
      </c>
      <c r="I90" s="17" t="s">
        <v>81</v>
      </c>
      <c r="J90" s="27" t="s">
        <v>39</v>
      </c>
      <c r="K90" s="29">
        <v>286</v>
      </c>
      <c r="L90" s="31">
        <v>9369.7500000077998</v>
      </c>
      <c r="M90" s="31">
        <v>40.430000004199997</v>
      </c>
      <c r="N90" s="31">
        <v>31.660000000500002</v>
      </c>
      <c r="O90" s="34">
        <f t="shared" si="8"/>
        <v>4.314949705612886E-3</v>
      </c>
      <c r="P90" s="34">
        <f t="shared" si="9"/>
        <v>0.78308186982960826</v>
      </c>
      <c r="Q90" s="34">
        <f t="shared" si="10"/>
        <v>0.99568505029438714</v>
      </c>
      <c r="R90" s="46">
        <f t="shared" si="11"/>
        <v>0.11069930070104896</v>
      </c>
    </row>
    <row r="91" spans="2:18" ht="12.75" customHeight="1" x14ac:dyDescent="0.25">
      <c r="B91" s="17" t="s">
        <v>0</v>
      </c>
      <c r="C91" s="44" t="s">
        <v>28</v>
      </c>
      <c r="D91" s="22" t="s">
        <v>9</v>
      </c>
      <c r="E91" s="20">
        <v>2</v>
      </c>
      <c r="F91" s="17" t="s">
        <v>78</v>
      </c>
      <c r="G91" s="17" t="s">
        <v>79</v>
      </c>
      <c r="H91" s="17" t="s">
        <v>80</v>
      </c>
      <c r="I91" s="17" t="s">
        <v>81</v>
      </c>
      <c r="J91" s="27" t="s">
        <v>29</v>
      </c>
      <c r="K91" s="29">
        <v>265</v>
      </c>
      <c r="L91" s="31">
        <v>3850.6000000008999</v>
      </c>
      <c r="M91" s="31">
        <v>37.440000006200002</v>
      </c>
      <c r="N91" s="31">
        <v>24.6500000003</v>
      </c>
      <c r="O91" s="34">
        <f t="shared" si="8"/>
        <v>9.7231600286166453E-3</v>
      </c>
      <c r="P91" s="34">
        <f t="shared" si="9"/>
        <v>0.65838675203573727</v>
      </c>
      <c r="Q91" s="34">
        <f t="shared" si="10"/>
        <v>0.99027683997138338</v>
      </c>
      <c r="R91" s="46">
        <f t="shared" si="11"/>
        <v>9.3018867925660373E-2</v>
      </c>
    </row>
    <row r="92" spans="2:18" ht="12.75" customHeight="1" x14ac:dyDescent="0.25">
      <c r="B92" s="17" t="s">
        <v>0</v>
      </c>
      <c r="C92" s="44" t="s">
        <v>96</v>
      </c>
      <c r="D92" s="22" t="s">
        <v>9</v>
      </c>
      <c r="E92" s="20">
        <v>2</v>
      </c>
      <c r="F92" s="17" t="s">
        <v>78</v>
      </c>
      <c r="G92" s="17" t="s">
        <v>79</v>
      </c>
      <c r="H92" s="17" t="s">
        <v>80</v>
      </c>
      <c r="I92" s="17" t="s">
        <v>81</v>
      </c>
      <c r="J92" s="27" t="s">
        <v>97</v>
      </c>
      <c r="K92" s="29">
        <v>112</v>
      </c>
      <c r="L92" s="31">
        <v>56</v>
      </c>
      <c r="M92" s="31">
        <v>5.4899999951999998</v>
      </c>
      <c r="N92" s="31">
        <v>4.0099999967999995</v>
      </c>
      <c r="O92" s="34">
        <f t="shared" si="8"/>
        <v>9.8035714199999999E-2</v>
      </c>
      <c r="P92" s="34">
        <f t="shared" si="9"/>
        <v>0.73041894358943726</v>
      </c>
      <c r="Q92" s="34">
        <f t="shared" si="10"/>
        <v>0.90196428579999999</v>
      </c>
      <c r="R92" s="46">
        <f t="shared" si="11"/>
        <v>3.5803571399999998E-2</v>
      </c>
    </row>
    <row r="93" spans="2:18" ht="12.75" customHeight="1" thickBot="1" x14ac:dyDescent="0.3">
      <c r="B93" s="15" t="s">
        <v>0</v>
      </c>
      <c r="C93" s="50" t="s">
        <v>70</v>
      </c>
      <c r="D93" s="19" t="s">
        <v>9</v>
      </c>
      <c r="E93" s="16">
        <v>2</v>
      </c>
      <c r="F93" s="15" t="s">
        <v>78</v>
      </c>
      <c r="G93" s="15" t="s">
        <v>79</v>
      </c>
      <c r="H93" s="15" t="s">
        <v>80</v>
      </c>
      <c r="I93" s="15" t="s">
        <v>81</v>
      </c>
      <c r="J93" s="24" t="s">
        <v>71</v>
      </c>
      <c r="K93" s="26">
        <v>26</v>
      </c>
      <c r="L93" s="28">
        <v>780</v>
      </c>
      <c r="M93" s="28">
        <v>4.7600000005999998</v>
      </c>
      <c r="N93" s="28">
        <v>3.6700000011999996</v>
      </c>
      <c r="O93" s="32">
        <f t="shared" si="8"/>
        <v>6.1025641033333328E-3</v>
      </c>
      <c r="P93" s="32">
        <f t="shared" si="9"/>
        <v>0.77100840351625943</v>
      </c>
      <c r="Q93" s="32">
        <f t="shared" si="10"/>
        <v>0.99389743589666668</v>
      </c>
      <c r="R93" s="49">
        <f t="shared" si="11"/>
        <v>0.14115384619999999</v>
      </c>
    </row>
    <row r="94" spans="2:18" ht="17.25" customHeight="1" x14ac:dyDescent="0.25">
      <c r="B94" s="48"/>
      <c r="C94" s="58"/>
      <c r="D94" s="51" t="s">
        <v>366</v>
      </c>
      <c r="E94" s="52"/>
      <c r="F94" s="52"/>
      <c r="G94" s="53"/>
      <c r="H94" s="53"/>
      <c r="I94" s="53"/>
      <c r="J94" s="54"/>
      <c r="K94" s="55">
        <f>SUM(K73:K93)</f>
        <v>51188</v>
      </c>
      <c r="L94" s="56">
        <f>SUM(L73:L93)</f>
        <v>12496044.319179695</v>
      </c>
      <c r="M94" s="56">
        <f>SUM(M73:M93)</f>
        <v>5684747.61593014</v>
      </c>
      <c r="N94" s="56">
        <f>SUM(N73:N93)</f>
        <v>4496622.6150224227</v>
      </c>
      <c r="O94" s="57">
        <f>IFERROR(M94/L94,0)</f>
        <v>0.45492377193355826</v>
      </c>
      <c r="P94" s="57">
        <f>IFERROR(N94/M94,0)</f>
        <v>0.79099775730090771</v>
      </c>
      <c r="Q94" s="57">
        <f>IFERROR(1-(M94/L94),0)</f>
        <v>0.54507622806644174</v>
      </c>
      <c r="R94" s="59">
        <f>IFERROR(N94/K94,0)</f>
        <v>87.845249179933248</v>
      </c>
    </row>
    <row r="95" spans="2:18" ht="15.75" thickBot="1" x14ac:dyDescent="0.3">
      <c r="B95" s="60"/>
      <c r="C95" s="64"/>
      <c r="D95" s="62" t="s">
        <v>81</v>
      </c>
      <c r="E95" s="61"/>
      <c r="F95" s="61"/>
      <c r="G95" s="61"/>
      <c r="H95" s="61"/>
      <c r="I95" s="61"/>
      <c r="J95" s="61"/>
      <c r="K95" s="63"/>
      <c r="L95" s="63"/>
      <c r="M95" s="63"/>
      <c r="N95" s="63"/>
      <c r="O95" s="63"/>
      <c r="P95" s="63"/>
      <c r="Q95" s="63"/>
      <c r="R95" s="65"/>
    </row>
    <row r="96" spans="2:18" ht="15.75" thickBot="1" x14ac:dyDescent="0.3"/>
    <row r="97" spans="2:18" ht="15.75" x14ac:dyDescent="0.25">
      <c r="B97" s="1"/>
      <c r="C97" s="7" t="s">
        <v>348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9"/>
    </row>
    <row r="98" spans="2:18" ht="18" x14ac:dyDescent="0.25">
      <c r="B98" s="2"/>
      <c r="C98" s="8" t="s">
        <v>101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10"/>
    </row>
    <row r="99" spans="2:18" ht="15.75" thickBot="1" x14ac:dyDescent="0.3">
      <c r="B99" s="3"/>
      <c r="C99" s="11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12"/>
    </row>
    <row r="100" spans="2:18" ht="17.25" customHeight="1" thickBot="1" x14ac:dyDescent="0.3">
      <c r="B100" s="14" t="s">
        <v>349</v>
      </c>
      <c r="C100" s="18" t="s">
        <v>350</v>
      </c>
      <c r="D100" s="21" t="s">
        <v>351</v>
      </c>
      <c r="E100" s="23" t="s">
        <v>352</v>
      </c>
      <c r="F100" s="21" t="s">
        <v>353</v>
      </c>
      <c r="G100" s="23" t="s">
        <v>354</v>
      </c>
      <c r="H100" s="23" t="s">
        <v>355</v>
      </c>
      <c r="I100" s="23" t="s">
        <v>356</v>
      </c>
      <c r="J100" s="25" t="s">
        <v>357</v>
      </c>
      <c r="K100" s="25" t="s">
        <v>358</v>
      </c>
      <c r="L100" s="30" t="s">
        <v>359</v>
      </c>
      <c r="M100" s="30" t="s">
        <v>360</v>
      </c>
      <c r="N100" s="30" t="s">
        <v>361</v>
      </c>
      <c r="O100" s="33" t="s">
        <v>362</v>
      </c>
      <c r="P100" s="33" t="s">
        <v>363</v>
      </c>
      <c r="Q100" s="33" t="s">
        <v>364</v>
      </c>
      <c r="R100" s="35" t="s">
        <v>365</v>
      </c>
    </row>
    <row r="101" spans="2:18" ht="12.75" customHeight="1" x14ac:dyDescent="0.25">
      <c r="B101" s="17" t="s">
        <v>0</v>
      </c>
      <c r="C101" s="43" t="s">
        <v>98</v>
      </c>
      <c r="D101" s="37" t="s">
        <v>2</v>
      </c>
      <c r="E101" s="36">
        <v>1</v>
      </c>
      <c r="F101" s="38" t="s">
        <v>78</v>
      </c>
      <c r="G101" s="38" t="s">
        <v>99</v>
      </c>
      <c r="H101" s="38" t="s">
        <v>100</v>
      </c>
      <c r="I101" s="38" t="s">
        <v>101</v>
      </c>
      <c r="J101" s="39" t="s">
        <v>102</v>
      </c>
      <c r="K101" s="40">
        <v>66</v>
      </c>
      <c r="L101" s="41">
        <v>147169.4999995</v>
      </c>
      <c r="M101" s="41">
        <v>135876.90999850002</v>
      </c>
      <c r="N101" s="41">
        <v>108259.64999959999</v>
      </c>
      <c r="O101" s="42">
        <f t="shared" ref="O101:O110" si="12">IFERROR(M101/L101,0)</f>
        <v>0.92326813639348959</v>
      </c>
      <c r="P101" s="42">
        <f t="shared" ref="P101:P110" si="13">IFERROR(N101/M101,0)</f>
        <v>0.79674795372366869</v>
      </c>
      <c r="Q101" s="42">
        <f t="shared" ref="Q101:Q110" si="14">IFERROR(1-(M101/L101),0)</f>
        <v>7.6731863606510409E-2</v>
      </c>
      <c r="R101" s="45">
        <f t="shared" ref="R101:R110" si="15">IFERROR(N101/K101,0)</f>
        <v>1640.2977272666665</v>
      </c>
    </row>
    <row r="102" spans="2:18" ht="12.75" customHeight="1" x14ac:dyDescent="0.25">
      <c r="B102" s="17" t="s">
        <v>0</v>
      </c>
      <c r="C102" s="44" t="s">
        <v>90</v>
      </c>
      <c r="D102" s="22" t="s">
        <v>9</v>
      </c>
      <c r="E102" s="20">
        <v>2</v>
      </c>
      <c r="F102" s="17" t="s">
        <v>78</v>
      </c>
      <c r="G102" s="17" t="s">
        <v>99</v>
      </c>
      <c r="H102" s="17" t="s">
        <v>100</v>
      </c>
      <c r="I102" s="17" t="s">
        <v>101</v>
      </c>
      <c r="J102" s="27" t="s">
        <v>91</v>
      </c>
      <c r="K102" s="29">
        <v>2318</v>
      </c>
      <c r="L102" s="31">
        <v>150565.09000003099</v>
      </c>
      <c r="M102" s="31">
        <v>73848.359999888999</v>
      </c>
      <c r="N102" s="31">
        <v>57464.039999903522</v>
      </c>
      <c r="O102" s="34">
        <f t="shared" si="12"/>
        <v>0.49047465119486727</v>
      </c>
      <c r="P102" s="34">
        <f t="shared" si="13"/>
        <v>0.77813562819797077</v>
      </c>
      <c r="Q102" s="34">
        <f t="shared" si="14"/>
        <v>0.50952534880513278</v>
      </c>
      <c r="R102" s="46">
        <f t="shared" si="15"/>
        <v>24.790353753193926</v>
      </c>
    </row>
    <row r="103" spans="2:18" ht="12.75" customHeight="1" x14ac:dyDescent="0.25">
      <c r="B103" s="17" t="s">
        <v>0</v>
      </c>
      <c r="C103" s="44" t="s">
        <v>103</v>
      </c>
      <c r="D103" s="22" t="s">
        <v>9</v>
      </c>
      <c r="E103" s="20">
        <v>2</v>
      </c>
      <c r="F103" s="17" t="s">
        <v>78</v>
      </c>
      <c r="G103" s="17" t="s">
        <v>99</v>
      </c>
      <c r="H103" s="17" t="s">
        <v>100</v>
      </c>
      <c r="I103" s="17" t="s">
        <v>101</v>
      </c>
      <c r="J103" s="27" t="s">
        <v>104</v>
      </c>
      <c r="K103" s="29">
        <v>688</v>
      </c>
      <c r="L103" s="31">
        <v>109134.9</v>
      </c>
      <c r="M103" s="31">
        <v>36302.639999980005</v>
      </c>
      <c r="N103" s="31">
        <v>28563.929999866003</v>
      </c>
      <c r="O103" s="34">
        <f t="shared" si="12"/>
        <v>0.33264006289445452</v>
      </c>
      <c r="P103" s="34">
        <f t="shared" si="13"/>
        <v>0.78682790011640302</v>
      </c>
      <c r="Q103" s="34">
        <f t="shared" si="14"/>
        <v>0.66735993710554542</v>
      </c>
      <c r="R103" s="46">
        <f t="shared" si="15"/>
        <v>41.517340116084306</v>
      </c>
    </row>
    <row r="104" spans="2:18" ht="12.75" customHeight="1" x14ac:dyDescent="0.25">
      <c r="B104" s="17" t="s">
        <v>0</v>
      </c>
      <c r="C104" s="44" t="s">
        <v>50</v>
      </c>
      <c r="D104" s="22" t="s">
        <v>9</v>
      </c>
      <c r="E104" s="20">
        <v>2</v>
      </c>
      <c r="F104" s="17" t="s">
        <v>78</v>
      </c>
      <c r="G104" s="17" t="s">
        <v>99</v>
      </c>
      <c r="H104" s="17" t="s">
        <v>100</v>
      </c>
      <c r="I104" s="17" t="s">
        <v>101</v>
      </c>
      <c r="J104" s="27" t="s">
        <v>51</v>
      </c>
      <c r="K104" s="29">
        <v>698</v>
      </c>
      <c r="L104" s="31">
        <v>49337.999999781998</v>
      </c>
      <c r="M104" s="31">
        <v>27243.969999877001</v>
      </c>
      <c r="N104" s="31">
        <v>20813.929999936601</v>
      </c>
      <c r="O104" s="34">
        <f t="shared" si="12"/>
        <v>0.55219040090796911</v>
      </c>
      <c r="P104" s="34">
        <f t="shared" si="13"/>
        <v>0.76398300247836748</v>
      </c>
      <c r="Q104" s="34">
        <f t="shared" si="14"/>
        <v>0.44780959909203089</v>
      </c>
      <c r="R104" s="46">
        <f t="shared" si="15"/>
        <v>29.819383954063898</v>
      </c>
    </row>
    <row r="105" spans="2:18" ht="12.75" customHeight="1" x14ac:dyDescent="0.25">
      <c r="B105" s="17" t="s">
        <v>0</v>
      </c>
      <c r="C105" s="44" t="s">
        <v>105</v>
      </c>
      <c r="D105" s="22" t="s">
        <v>9</v>
      </c>
      <c r="E105" s="20">
        <v>2</v>
      </c>
      <c r="F105" s="17" t="s">
        <v>78</v>
      </c>
      <c r="G105" s="17" t="s">
        <v>99</v>
      </c>
      <c r="H105" s="17" t="s">
        <v>100</v>
      </c>
      <c r="I105" s="17" t="s">
        <v>101</v>
      </c>
      <c r="J105" s="27" t="s">
        <v>106</v>
      </c>
      <c r="K105" s="29">
        <v>1158</v>
      </c>
      <c r="L105" s="31">
        <v>55461.649999999994</v>
      </c>
      <c r="M105" s="31">
        <v>21747.940000004401</v>
      </c>
      <c r="N105" s="31">
        <v>16727.449999943205</v>
      </c>
      <c r="O105" s="34">
        <f t="shared" si="12"/>
        <v>0.39212573012170399</v>
      </c>
      <c r="P105" s="34">
        <f t="shared" si="13"/>
        <v>0.76915100924224633</v>
      </c>
      <c r="Q105" s="34">
        <f t="shared" si="14"/>
        <v>0.60787426987829596</v>
      </c>
      <c r="R105" s="46">
        <f t="shared" si="15"/>
        <v>14.445120898051126</v>
      </c>
    </row>
    <row r="106" spans="2:18" ht="12.75" customHeight="1" x14ac:dyDescent="0.25">
      <c r="B106" s="17" t="s">
        <v>0</v>
      </c>
      <c r="C106" s="44" t="s">
        <v>36</v>
      </c>
      <c r="D106" s="22" t="s">
        <v>9</v>
      </c>
      <c r="E106" s="20">
        <v>2</v>
      </c>
      <c r="F106" s="17" t="s">
        <v>78</v>
      </c>
      <c r="G106" s="17" t="s">
        <v>99</v>
      </c>
      <c r="H106" s="17" t="s">
        <v>100</v>
      </c>
      <c r="I106" s="17" t="s">
        <v>101</v>
      </c>
      <c r="J106" s="27" t="s">
        <v>37</v>
      </c>
      <c r="K106" s="29">
        <v>59</v>
      </c>
      <c r="L106" s="31">
        <v>1349</v>
      </c>
      <c r="M106" s="31">
        <v>1256.9799999829997</v>
      </c>
      <c r="N106" s="31">
        <v>932.80999998100003</v>
      </c>
      <c r="O106" s="34">
        <f t="shared" si="12"/>
        <v>0.9317865085122311</v>
      </c>
      <c r="P106" s="34">
        <f t="shared" si="13"/>
        <v>0.74210409075213291</v>
      </c>
      <c r="Q106" s="34">
        <f t="shared" si="14"/>
        <v>6.8213491487768896E-2</v>
      </c>
      <c r="R106" s="46">
        <f t="shared" si="15"/>
        <v>15.810338982728814</v>
      </c>
    </row>
    <row r="107" spans="2:18" ht="12.75" customHeight="1" x14ac:dyDescent="0.25">
      <c r="B107" s="17" t="s">
        <v>0</v>
      </c>
      <c r="C107" s="44" t="s">
        <v>74</v>
      </c>
      <c r="D107" s="22" t="s">
        <v>9</v>
      </c>
      <c r="E107" s="20">
        <v>2</v>
      </c>
      <c r="F107" s="17" t="s">
        <v>78</v>
      </c>
      <c r="G107" s="17" t="s">
        <v>99</v>
      </c>
      <c r="H107" s="17" t="s">
        <v>100</v>
      </c>
      <c r="I107" s="17" t="s">
        <v>101</v>
      </c>
      <c r="J107" s="27" t="s">
        <v>75</v>
      </c>
      <c r="K107" s="29">
        <v>56</v>
      </c>
      <c r="L107" s="31">
        <v>4940</v>
      </c>
      <c r="M107" s="31">
        <v>817.8</v>
      </c>
      <c r="N107" s="31">
        <v>641.84</v>
      </c>
      <c r="O107" s="34">
        <f t="shared" si="12"/>
        <v>0.16554655870445342</v>
      </c>
      <c r="P107" s="34">
        <f t="shared" si="13"/>
        <v>0.78483736854976771</v>
      </c>
      <c r="Q107" s="34">
        <f t="shared" si="14"/>
        <v>0.83445344129554655</v>
      </c>
      <c r="R107" s="46">
        <f t="shared" si="15"/>
        <v>11.461428571428572</v>
      </c>
    </row>
    <row r="108" spans="2:18" ht="12.75" customHeight="1" x14ac:dyDescent="0.25">
      <c r="B108" s="17" t="s">
        <v>0</v>
      </c>
      <c r="C108" s="44" t="s">
        <v>30</v>
      </c>
      <c r="D108" s="22" t="s">
        <v>9</v>
      </c>
      <c r="E108" s="20">
        <v>2</v>
      </c>
      <c r="F108" s="17" t="s">
        <v>78</v>
      </c>
      <c r="G108" s="17" t="s">
        <v>99</v>
      </c>
      <c r="H108" s="17" t="s">
        <v>100</v>
      </c>
      <c r="I108" s="17" t="s">
        <v>101</v>
      </c>
      <c r="J108" s="27" t="s">
        <v>31</v>
      </c>
      <c r="K108" s="29">
        <v>29</v>
      </c>
      <c r="L108" s="31">
        <v>993</v>
      </c>
      <c r="M108" s="31">
        <v>546.28</v>
      </c>
      <c r="N108" s="31">
        <v>423.36000000499996</v>
      </c>
      <c r="O108" s="34">
        <f t="shared" si="12"/>
        <v>0.5501309164149043</v>
      </c>
      <c r="P108" s="34">
        <f t="shared" si="13"/>
        <v>0.77498718606758432</v>
      </c>
      <c r="Q108" s="34">
        <f t="shared" si="14"/>
        <v>0.4498690835850957</v>
      </c>
      <c r="R108" s="46">
        <f t="shared" si="15"/>
        <v>14.598620689827586</v>
      </c>
    </row>
    <row r="109" spans="2:18" ht="12.75" customHeight="1" x14ac:dyDescent="0.25">
      <c r="B109" s="17" t="s">
        <v>0</v>
      </c>
      <c r="C109" s="44" t="s">
        <v>46</v>
      </c>
      <c r="D109" s="22" t="s">
        <v>9</v>
      </c>
      <c r="E109" s="20">
        <v>2</v>
      </c>
      <c r="F109" s="17" t="s">
        <v>78</v>
      </c>
      <c r="G109" s="17" t="s">
        <v>99</v>
      </c>
      <c r="H109" s="17" t="s">
        <v>100</v>
      </c>
      <c r="I109" s="17" t="s">
        <v>101</v>
      </c>
      <c r="J109" s="27" t="s">
        <v>47</v>
      </c>
      <c r="K109" s="29">
        <v>26</v>
      </c>
      <c r="L109" s="31">
        <v>1146</v>
      </c>
      <c r="M109" s="31">
        <v>511</v>
      </c>
      <c r="N109" s="31">
        <v>407.08</v>
      </c>
      <c r="O109" s="34">
        <f t="shared" si="12"/>
        <v>0.44589877835951136</v>
      </c>
      <c r="P109" s="34">
        <f t="shared" si="13"/>
        <v>0.79663405088062622</v>
      </c>
      <c r="Q109" s="34">
        <f t="shared" si="14"/>
        <v>0.55410122164048858</v>
      </c>
      <c r="R109" s="46">
        <f t="shared" si="15"/>
        <v>15.656923076923077</v>
      </c>
    </row>
    <row r="110" spans="2:18" ht="12.75" customHeight="1" thickBot="1" x14ac:dyDescent="0.3">
      <c r="B110" s="15" t="s">
        <v>0</v>
      </c>
      <c r="C110" s="50" t="s">
        <v>54</v>
      </c>
      <c r="D110" s="19" t="s">
        <v>9</v>
      </c>
      <c r="E110" s="16">
        <v>2</v>
      </c>
      <c r="F110" s="15" t="s">
        <v>78</v>
      </c>
      <c r="G110" s="15" t="s">
        <v>99</v>
      </c>
      <c r="H110" s="15" t="s">
        <v>100</v>
      </c>
      <c r="I110" s="15" t="s">
        <v>101</v>
      </c>
      <c r="J110" s="24" t="s">
        <v>55</v>
      </c>
      <c r="K110" s="26">
        <v>25</v>
      </c>
      <c r="L110" s="28">
        <v>320</v>
      </c>
      <c r="M110" s="28">
        <v>164.98999999859998</v>
      </c>
      <c r="N110" s="28">
        <v>121.09000000019999</v>
      </c>
      <c r="O110" s="32">
        <f t="shared" si="12"/>
        <v>0.51559374999562491</v>
      </c>
      <c r="P110" s="32">
        <f t="shared" si="13"/>
        <v>0.73392326808429298</v>
      </c>
      <c r="Q110" s="32">
        <f t="shared" si="14"/>
        <v>0.48440625000437509</v>
      </c>
      <c r="R110" s="49">
        <f t="shared" si="15"/>
        <v>4.8436000000079993</v>
      </c>
    </row>
    <row r="111" spans="2:18" ht="17.25" customHeight="1" x14ac:dyDescent="0.25">
      <c r="B111" s="48"/>
      <c r="C111" s="58"/>
      <c r="D111" s="51" t="s">
        <v>366</v>
      </c>
      <c r="E111" s="52"/>
      <c r="F111" s="52"/>
      <c r="G111" s="53"/>
      <c r="H111" s="53"/>
      <c r="I111" s="53"/>
      <c r="J111" s="54"/>
      <c r="K111" s="55">
        <f>SUM(K101:K110)</f>
        <v>5123</v>
      </c>
      <c r="L111" s="56">
        <f>SUM(L101:L110)</f>
        <v>520417.13999931293</v>
      </c>
      <c r="M111" s="56">
        <f>SUM(M101:M110)</f>
        <v>298316.869998232</v>
      </c>
      <c r="N111" s="56">
        <f>SUM(N101:N110)</f>
        <v>234355.17999923549</v>
      </c>
      <c r="O111" s="57">
        <f>IFERROR(M111/L111,0)</f>
        <v>0.57322645060965105</v>
      </c>
      <c r="P111" s="57">
        <f>IFERROR(N111/M111,0)</f>
        <v>0.78559144174657114</v>
      </c>
      <c r="Q111" s="57">
        <f>IFERROR(1-(M111/L111),0)</f>
        <v>0.42677354939034895</v>
      </c>
      <c r="R111" s="59">
        <f>IFERROR(N111/K111,0)</f>
        <v>45.745691977207784</v>
      </c>
    </row>
    <row r="112" spans="2:18" ht="15.75" thickBot="1" x14ac:dyDescent="0.3">
      <c r="B112" s="60"/>
      <c r="C112" s="64"/>
      <c r="D112" s="62" t="s">
        <v>101</v>
      </c>
      <c r="E112" s="61"/>
      <c r="F112" s="61"/>
      <c r="G112" s="61"/>
      <c r="H112" s="61"/>
      <c r="I112" s="61"/>
      <c r="J112" s="61"/>
      <c r="K112" s="63"/>
      <c r="L112" s="63"/>
      <c r="M112" s="63"/>
      <c r="N112" s="63"/>
      <c r="O112" s="63"/>
      <c r="P112" s="63"/>
      <c r="Q112" s="63"/>
      <c r="R112" s="65"/>
    </row>
    <row r="113" spans="2:18" ht="15.75" thickBot="1" x14ac:dyDescent="0.3"/>
    <row r="114" spans="2:18" ht="15.75" x14ac:dyDescent="0.25">
      <c r="B114" s="1"/>
      <c r="C114" s="7" t="s">
        <v>348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9"/>
    </row>
    <row r="115" spans="2:18" ht="18" x14ac:dyDescent="0.25">
      <c r="B115" s="2"/>
      <c r="C115" s="8" t="s">
        <v>109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10"/>
    </row>
    <row r="116" spans="2:18" ht="15.75" thickBot="1" x14ac:dyDescent="0.3">
      <c r="B116" s="3"/>
      <c r="C116" s="11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12"/>
    </row>
    <row r="117" spans="2:18" ht="17.25" customHeight="1" thickBot="1" x14ac:dyDescent="0.3">
      <c r="B117" s="14" t="s">
        <v>349</v>
      </c>
      <c r="C117" s="18" t="s">
        <v>350</v>
      </c>
      <c r="D117" s="21" t="s">
        <v>351</v>
      </c>
      <c r="E117" s="23" t="s">
        <v>352</v>
      </c>
      <c r="F117" s="21" t="s">
        <v>353</v>
      </c>
      <c r="G117" s="23" t="s">
        <v>354</v>
      </c>
      <c r="H117" s="23" t="s">
        <v>355</v>
      </c>
      <c r="I117" s="23" t="s">
        <v>356</v>
      </c>
      <c r="J117" s="25" t="s">
        <v>357</v>
      </c>
      <c r="K117" s="25" t="s">
        <v>358</v>
      </c>
      <c r="L117" s="30" t="s">
        <v>359</v>
      </c>
      <c r="M117" s="30" t="s">
        <v>360</v>
      </c>
      <c r="N117" s="30" t="s">
        <v>361</v>
      </c>
      <c r="O117" s="33" t="s">
        <v>362</v>
      </c>
      <c r="P117" s="33" t="s">
        <v>363</v>
      </c>
      <c r="Q117" s="33" t="s">
        <v>364</v>
      </c>
      <c r="R117" s="35" t="s">
        <v>365</v>
      </c>
    </row>
    <row r="118" spans="2:18" ht="12.75" customHeight="1" x14ac:dyDescent="0.25">
      <c r="B118" s="17" t="s">
        <v>0</v>
      </c>
      <c r="C118" s="43" t="s">
        <v>46</v>
      </c>
      <c r="D118" s="37" t="s">
        <v>9</v>
      </c>
      <c r="E118" s="36">
        <v>2</v>
      </c>
      <c r="F118" s="38" t="s">
        <v>78</v>
      </c>
      <c r="G118" s="38" t="s">
        <v>107</v>
      </c>
      <c r="H118" s="38" t="s">
        <v>108</v>
      </c>
      <c r="I118" s="38" t="s">
        <v>109</v>
      </c>
      <c r="J118" s="39" t="s">
        <v>47</v>
      </c>
      <c r="K118" s="40">
        <v>669</v>
      </c>
      <c r="L118" s="41">
        <v>85993.000000000015</v>
      </c>
      <c r="M118" s="41">
        <v>45381.469999979003</v>
      </c>
      <c r="N118" s="41">
        <v>34071.359999974993</v>
      </c>
      <c r="O118" s="42">
        <f t="shared" ref="O118:O122" si="16">IFERROR(M118/L118,0)</f>
        <v>0.52773446675867797</v>
      </c>
      <c r="P118" s="42">
        <f t="shared" ref="P118:P122" si="17">IFERROR(N118/M118,0)</f>
        <v>0.75077691401337943</v>
      </c>
      <c r="Q118" s="42">
        <f t="shared" ref="Q118:Q122" si="18">IFERROR(1-(M118/L118),0)</f>
        <v>0.47226553324132203</v>
      </c>
      <c r="R118" s="45">
        <f t="shared" ref="R118:R122" si="19">IFERROR(N118/K118,0)</f>
        <v>50.928789237630781</v>
      </c>
    </row>
    <row r="119" spans="2:18" ht="12.75" customHeight="1" x14ac:dyDescent="0.25">
      <c r="B119" s="17" t="s">
        <v>0</v>
      </c>
      <c r="C119" s="44" t="s">
        <v>110</v>
      </c>
      <c r="D119" s="22" t="s">
        <v>9</v>
      </c>
      <c r="E119" s="20">
        <v>2</v>
      </c>
      <c r="F119" s="17" t="s">
        <v>78</v>
      </c>
      <c r="G119" s="17" t="s">
        <v>107</v>
      </c>
      <c r="H119" s="17" t="s">
        <v>108</v>
      </c>
      <c r="I119" s="17" t="s">
        <v>109</v>
      </c>
      <c r="J119" s="27" t="s">
        <v>111</v>
      </c>
      <c r="K119" s="29">
        <v>591</v>
      </c>
      <c r="L119" s="31">
        <v>81724.470000062996</v>
      </c>
      <c r="M119" s="31">
        <v>38646.079999941998</v>
      </c>
      <c r="N119" s="31">
        <v>29429.679999988002</v>
      </c>
      <c r="O119" s="34">
        <f t="shared" si="16"/>
        <v>0.47288260174599123</v>
      </c>
      <c r="P119" s="34">
        <f t="shared" si="17"/>
        <v>0.76151785640437974</v>
      </c>
      <c r="Q119" s="34">
        <f t="shared" si="18"/>
        <v>0.52711739825400872</v>
      </c>
      <c r="R119" s="46">
        <f t="shared" si="19"/>
        <v>49.796412859539764</v>
      </c>
    </row>
    <row r="120" spans="2:18" ht="12.75" customHeight="1" x14ac:dyDescent="0.25">
      <c r="B120" s="17" t="s">
        <v>0</v>
      </c>
      <c r="C120" s="44" t="s">
        <v>112</v>
      </c>
      <c r="D120" s="22" t="s">
        <v>9</v>
      </c>
      <c r="E120" s="20">
        <v>2</v>
      </c>
      <c r="F120" s="17" t="s">
        <v>78</v>
      </c>
      <c r="G120" s="17" t="s">
        <v>107</v>
      </c>
      <c r="H120" s="17" t="s">
        <v>108</v>
      </c>
      <c r="I120" s="17" t="s">
        <v>109</v>
      </c>
      <c r="J120" s="27" t="s">
        <v>113</v>
      </c>
      <c r="K120" s="29">
        <v>1694</v>
      </c>
      <c r="L120" s="31">
        <v>720749.99999991001</v>
      </c>
      <c r="M120" s="31">
        <v>30087.069999711002</v>
      </c>
      <c r="N120" s="31">
        <v>20431.400000089998</v>
      </c>
      <c r="O120" s="34">
        <f t="shared" si="16"/>
        <v>4.174411376998232E-2</v>
      </c>
      <c r="P120" s="34">
        <f t="shared" si="17"/>
        <v>0.67907576245497647</v>
      </c>
      <c r="Q120" s="34">
        <f t="shared" si="18"/>
        <v>0.95825588623001767</v>
      </c>
      <c r="R120" s="46">
        <f t="shared" si="19"/>
        <v>12.061038961092088</v>
      </c>
    </row>
    <row r="121" spans="2:18" ht="12.75" customHeight="1" x14ac:dyDescent="0.25">
      <c r="B121" s="17" t="s">
        <v>0</v>
      </c>
      <c r="C121" s="44" t="s">
        <v>56</v>
      </c>
      <c r="D121" s="22" t="s">
        <v>9</v>
      </c>
      <c r="E121" s="20">
        <v>2</v>
      </c>
      <c r="F121" s="17" t="s">
        <v>78</v>
      </c>
      <c r="G121" s="17" t="s">
        <v>107</v>
      </c>
      <c r="H121" s="17" t="s">
        <v>108</v>
      </c>
      <c r="I121" s="17" t="s">
        <v>109</v>
      </c>
      <c r="J121" s="27" t="s">
        <v>57</v>
      </c>
      <c r="K121" s="29">
        <v>78</v>
      </c>
      <c r="L121" s="31">
        <v>19797.43000004</v>
      </c>
      <c r="M121" s="31">
        <v>9803.729999997</v>
      </c>
      <c r="N121" s="31">
        <v>7750.0799999949995</v>
      </c>
      <c r="O121" s="34">
        <f t="shared" si="16"/>
        <v>0.49520215502604087</v>
      </c>
      <c r="P121" s="34">
        <f t="shared" si="17"/>
        <v>0.79052360683100931</v>
      </c>
      <c r="Q121" s="34">
        <f t="shared" si="18"/>
        <v>0.50479784497395919</v>
      </c>
      <c r="R121" s="46">
        <f t="shared" si="19"/>
        <v>99.359999999935894</v>
      </c>
    </row>
    <row r="122" spans="2:18" ht="12.75" customHeight="1" thickBot="1" x14ac:dyDescent="0.3">
      <c r="B122" s="15" t="s">
        <v>0</v>
      </c>
      <c r="C122" s="50" t="s">
        <v>50</v>
      </c>
      <c r="D122" s="19" t="s">
        <v>9</v>
      </c>
      <c r="E122" s="16">
        <v>2</v>
      </c>
      <c r="F122" s="15" t="s">
        <v>78</v>
      </c>
      <c r="G122" s="15" t="s">
        <v>107</v>
      </c>
      <c r="H122" s="15" t="s">
        <v>108</v>
      </c>
      <c r="I122" s="15" t="s">
        <v>109</v>
      </c>
      <c r="J122" s="24" t="s">
        <v>51</v>
      </c>
      <c r="K122" s="26">
        <v>64</v>
      </c>
      <c r="L122" s="28">
        <v>5137.92</v>
      </c>
      <c r="M122" s="28">
        <v>4410.68</v>
      </c>
      <c r="N122" s="28">
        <v>2920.16</v>
      </c>
      <c r="O122" s="32">
        <f t="shared" si="16"/>
        <v>0.85845634030891882</v>
      </c>
      <c r="P122" s="32">
        <f t="shared" si="17"/>
        <v>0.66206571322335772</v>
      </c>
      <c r="Q122" s="32">
        <f t="shared" si="18"/>
        <v>0.14154365969108118</v>
      </c>
      <c r="R122" s="49">
        <f t="shared" si="19"/>
        <v>45.627499999999998</v>
      </c>
    </row>
    <row r="123" spans="2:18" ht="17.25" customHeight="1" x14ac:dyDescent="0.25">
      <c r="B123" s="48"/>
      <c r="C123" s="58"/>
      <c r="D123" s="51" t="s">
        <v>366</v>
      </c>
      <c r="E123" s="52"/>
      <c r="F123" s="52"/>
      <c r="G123" s="53"/>
      <c r="H123" s="53"/>
      <c r="I123" s="53"/>
      <c r="J123" s="54"/>
      <c r="K123" s="55">
        <f>SUM(K118:K122)</f>
        <v>3096</v>
      </c>
      <c r="L123" s="56">
        <f>SUM(L118:L122)</f>
        <v>913402.82000001299</v>
      </c>
      <c r="M123" s="56">
        <f>SUM(M118:M122)</f>
        <v>128329.02999962901</v>
      </c>
      <c r="N123" s="56">
        <f>SUM(N118:N122)</f>
        <v>94602.680000048</v>
      </c>
      <c r="O123" s="57">
        <f>IFERROR(M123/L123,0)</f>
        <v>0.14049554828353517</v>
      </c>
      <c r="P123" s="57">
        <f>IFERROR(N123/M123,0)</f>
        <v>0.73718846001034599</v>
      </c>
      <c r="Q123" s="57">
        <f>IFERROR(1-(M123/L123),0)</f>
        <v>0.85950445171646483</v>
      </c>
      <c r="R123" s="59">
        <f>IFERROR(N123/K123,0)</f>
        <v>30.556421188645995</v>
      </c>
    </row>
    <row r="124" spans="2:18" ht="15.75" thickBot="1" x14ac:dyDescent="0.3">
      <c r="B124" s="60"/>
      <c r="C124" s="64"/>
      <c r="D124" s="62" t="s">
        <v>109</v>
      </c>
      <c r="E124" s="61"/>
      <c r="F124" s="61"/>
      <c r="G124" s="61"/>
      <c r="H124" s="61"/>
      <c r="I124" s="61"/>
      <c r="J124" s="61"/>
      <c r="K124" s="63"/>
      <c r="L124" s="63"/>
      <c r="M124" s="63"/>
      <c r="N124" s="63"/>
      <c r="O124" s="63"/>
      <c r="P124" s="63"/>
      <c r="Q124" s="63"/>
      <c r="R124" s="65"/>
    </row>
    <row r="125" spans="2:18" ht="15.75" thickBot="1" x14ac:dyDescent="0.3"/>
    <row r="126" spans="2:18" ht="15.75" x14ac:dyDescent="0.25">
      <c r="B126" s="1"/>
      <c r="C126" s="7" t="s">
        <v>348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9"/>
    </row>
    <row r="127" spans="2:18" ht="18" x14ac:dyDescent="0.25">
      <c r="B127" s="2"/>
      <c r="C127" s="8" t="s">
        <v>117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10"/>
    </row>
    <row r="128" spans="2:18" ht="15.75" thickBot="1" x14ac:dyDescent="0.3">
      <c r="B128" s="3"/>
      <c r="C128" s="11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12"/>
    </row>
    <row r="129" spans="2:18" ht="17.25" customHeight="1" thickBot="1" x14ac:dyDescent="0.3">
      <c r="B129" s="14" t="s">
        <v>349</v>
      </c>
      <c r="C129" s="18" t="s">
        <v>350</v>
      </c>
      <c r="D129" s="21" t="s">
        <v>351</v>
      </c>
      <c r="E129" s="23" t="s">
        <v>352</v>
      </c>
      <c r="F129" s="21" t="s">
        <v>353</v>
      </c>
      <c r="G129" s="23" t="s">
        <v>354</v>
      </c>
      <c r="H129" s="23" t="s">
        <v>355</v>
      </c>
      <c r="I129" s="23" t="s">
        <v>356</v>
      </c>
      <c r="J129" s="25" t="s">
        <v>357</v>
      </c>
      <c r="K129" s="25" t="s">
        <v>358</v>
      </c>
      <c r="L129" s="30" t="s">
        <v>359</v>
      </c>
      <c r="M129" s="30" t="s">
        <v>360</v>
      </c>
      <c r="N129" s="30" t="s">
        <v>361</v>
      </c>
      <c r="O129" s="33" t="s">
        <v>362</v>
      </c>
      <c r="P129" s="33" t="s">
        <v>363</v>
      </c>
      <c r="Q129" s="33" t="s">
        <v>364</v>
      </c>
      <c r="R129" s="35" t="s">
        <v>365</v>
      </c>
    </row>
    <row r="130" spans="2:18" ht="12.75" customHeight="1" x14ac:dyDescent="0.25">
      <c r="B130" s="17" t="s">
        <v>0</v>
      </c>
      <c r="C130" s="43" t="s">
        <v>114</v>
      </c>
      <c r="D130" s="37" t="s">
        <v>9</v>
      </c>
      <c r="E130" s="36">
        <v>2</v>
      </c>
      <c r="F130" s="38" t="s">
        <v>78</v>
      </c>
      <c r="G130" s="38" t="s">
        <v>115</v>
      </c>
      <c r="H130" s="38" t="s">
        <v>116</v>
      </c>
      <c r="I130" s="38" t="s">
        <v>117</v>
      </c>
      <c r="J130" s="39" t="s">
        <v>118</v>
      </c>
      <c r="K130" s="40">
        <v>115</v>
      </c>
      <c r="L130" s="41">
        <v>1056092</v>
      </c>
      <c r="M130" s="41">
        <v>1039206.6200005</v>
      </c>
      <c r="N130" s="41">
        <v>827384.18000050006</v>
      </c>
      <c r="O130" s="42">
        <f t="shared" ref="O130:O134" si="20">IFERROR(M130/L130,0)</f>
        <v>0.98401144976053223</v>
      </c>
      <c r="P130" s="42">
        <f t="shared" ref="P130:P134" si="21">IFERROR(N130/M130,0)</f>
        <v>0.79616908137103859</v>
      </c>
      <c r="Q130" s="42">
        <f t="shared" ref="Q130:Q134" si="22">IFERROR(1-(M130/L130),0)</f>
        <v>1.5988550239467769E-2</v>
      </c>
      <c r="R130" s="45">
        <f t="shared" ref="R130:R134" si="23">IFERROR(N130/K130,0)</f>
        <v>7194.6450434826093</v>
      </c>
    </row>
    <row r="131" spans="2:18" ht="12.75" customHeight="1" x14ac:dyDescent="0.25">
      <c r="B131" s="17" t="s">
        <v>0</v>
      </c>
      <c r="C131" s="44" t="s">
        <v>46</v>
      </c>
      <c r="D131" s="22" t="s">
        <v>9</v>
      </c>
      <c r="E131" s="20">
        <v>2</v>
      </c>
      <c r="F131" s="17" t="s">
        <v>78</v>
      </c>
      <c r="G131" s="17" t="s">
        <v>115</v>
      </c>
      <c r="H131" s="17" t="s">
        <v>116</v>
      </c>
      <c r="I131" s="17" t="s">
        <v>117</v>
      </c>
      <c r="J131" s="27" t="s">
        <v>47</v>
      </c>
      <c r="K131" s="29">
        <v>92</v>
      </c>
      <c r="L131" s="31">
        <v>920000</v>
      </c>
      <c r="M131" s="31">
        <v>895343.68999680004</v>
      </c>
      <c r="N131" s="31">
        <v>709255.96999639994</v>
      </c>
      <c r="O131" s="34">
        <f t="shared" si="20"/>
        <v>0.97319966304000005</v>
      </c>
      <c r="P131" s="34">
        <f t="shared" si="21"/>
        <v>0.79216057243775828</v>
      </c>
      <c r="Q131" s="34">
        <f t="shared" si="22"/>
        <v>2.6800336959999949E-2</v>
      </c>
      <c r="R131" s="46">
        <f t="shared" si="23"/>
        <v>7709.3040216999998</v>
      </c>
    </row>
    <row r="132" spans="2:18" ht="12.75" customHeight="1" x14ac:dyDescent="0.25">
      <c r="B132" s="17" t="s">
        <v>0</v>
      </c>
      <c r="C132" s="44" t="s">
        <v>98</v>
      </c>
      <c r="D132" s="22" t="s">
        <v>2</v>
      </c>
      <c r="E132" s="20">
        <v>1</v>
      </c>
      <c r="F132" s="17" t="s">
        <v>78</v>
      </c>
      <c r="G132" s="17" t="s">
        <v>115</v>
      </c>
      <c r="H132" s="17" t="s">
        <v>116</v>
      </c>
      <c r="I132" s="17" t="s">
        <v>117</v>
      </c>
      <c r="J132" s="27" t="s">
        <v>102</v>
      </c>
      <c r="K132" s="29">
        <v>58</v>
      </c>
      <c r="L132" s="31">
        <v>484623.50000811007</v>
      </c>
      <c r="M132" s="31">
        <v>449799.19000806002</v>
      </c>
      <c r="N132" s="31">
        <v>358376.58999193006</v>
      </c>
      <c r="O132" s="34">
        <f t="shared" si="20"/>
        <v>0.92814151604396555</v>
      </c>
      <c r="P132" s="34">
        <f t="shared" si="21"/>
        <v>0.79674796654371083</v>
      </c>
      <c r="Q132" s="34">
        <f t="shared" si="22"/>
        <v>7.1858483956034447E-2</v>
      </c>
      <c r="R132" s="46">
        <f t="shared" si="23"/>
        <v>6178.9067239987944</v>
      </c>
    </row>
    <row r="133" spans="2:18" ht="12.75" customHeight="1" x14ac:dyDescent="0.25">
      <c r="B133" s="17" t="s">
        <v>0</v>
      </c>
      <c r="C133" s="44" t="s">
        <v>20</v>
      </c>
      <c r="D133" s="22" t="s">
        <v>9</v>
      </c>
      <c r="E133" s="20">
        <v>2</v>
      </c>
      <c r="F133" s="17" t="s">
        <v>78</v>
      </c>
      <c r="G133" s="17" t="s">
        <v>115</v>
      </c>
      <c r="H133" s="17" t="s">
        <v>116</v>
      </c>
      <c r="I133" s="17" t="s">
        <v>117</v>
      </c>
      <c r="J133" s="27" t="s">
        <v>21</v>
      </c>
      <c r="K133" s="29">
        <v>24</v>
      </c>
      <c r="L133" s="31">
        <v>154500</v>
      </c>
      <c r="M133" s="31">
        <v>146236.45999920001</v>
      </c>
      <c r="N133" s="31">
        <v>116228.80000079999</v>
      </c>
      <c r="O133" s="34">
        <f t="shared" si="20"/>
        <v>0.94651430420194183</v>
      </c>
      <c r="P133" s="34">
        <f t="shared" si="21"/>
        <v>0.79480042119069227</v>
      </c>
      <c r="Q133" s="34">
        <f t="shared" si="22"/>
        <v>5.3485695798058175E-2</v>
      </c>
      <c r="R133" s="46">
        <f t="shared" si="23"/>
        <v>4842.8666666999998</v>
      </c>
    </row>
    <row r="134" spans="2:18" ht="12.75" customHeight="1" thickBot="1" x14ac:dyDescent="0.3">
      <c r="B134" s="15" t="s">
        <v>0</v>
      </c>
      <c r="C134" s="50" t="s">
        <v>7</v>
      </c>
      <c r="D134" s="19" t="s">
        <v>9</v>
      </c>
      <c r="E134" s="16">
        <v>2</v>
      </c>
      <c r="F134" s="15" t="s">
        <v>78</v>
      </c>
      <c r="G134" s="15" t="s">
        <v>115</v>
      </c>
      <c r="H134" s="15" t="s">
        <v>116</v>
      </c>
      <c r="I134" s="15" t="s">
        <v>117</v>
      </c>
      <c r="J134" s="24" t="s">
        <v>8</v>
      </c>
      <c r="K134" s="26">
        <v>67</v>
      </c>
      <c r="L134" s="28">
        <v>1340</v>
      </c>
      <c r="M134" s="28">
        <v>1268.31</v>
      </c>
      <c r="N134" s="28">
        <v>1000.31</v>
      </c>
      <c r="O134" s="32">
        <f t="shared" si="20"/>
        <v>0.94650000000000001</v>
      </c>
      <c r="P134" s="32">
        <f t="shared" si="21"/>
        <v>0.78869519281563649</v>
      </c>
      <c r="Q134" s="32">
        <f t="shared" si="22"/>
        <v>5.3499999999999992E-2</v>
      </c>
      <c r="R134" s="49">
        <f t="shared" si="23"/>
        <v>14.93</v>
      </c>
    </row>
    <row r="135" spans="2:18" ht="17.25" customHeight="1" x14ac:dyDescent="0.25">
      <c r="B135" s="48"/>
      <c r="C135" s="58"/>
      <c r="D135" s="51" t="s">
        <v>366</v>
      </c>
      <c r="E135" s="52"/>
      <c r="F135" s="52"/>
      <c r="G135" s="53"/>
      <c r="H135" s="53"/>
      <c r="I135" s="53"/>
      <c r="J135" s="54"/>
      <c r="K135" s="55">
        <f>SUM(K130:K134)</f>
        <v>356</v>
      </c>
      <c r="L135" s="56">
        <f>SUM(L130:L134)</f>
        <v>2616555.50000811</v>
      </c>
      <c r="M135" s="56">
        <f>SUM(M130:M134)</f>
        <v>2531854.2700045602</v>
      </c>
      <c r="N135" s="56">
        <f>SUM(N130:N134)</f>
        <v>2012245.84998963</v>
      </c>
      <c r="O135" s="57">
        <f>IFERROR(M135/L135,0)</f>
        <v>0.96762872791985988</v>
      </c>
      <c r="P135" s="57">
        <f>IFERROR(N135/M135,0)</f>
        <v>0.79477159243687656</v>
      </c>
      <c r="Q135" s="57">
        <f>IFERROR(1-(M135/L135),0)</f>
        <v>3.2371272080140123E-2</v>
      </c>
      <c r="R135" s="59">
        <f>IFERROR(N135/K135,0)</f>
        <v>5652.3759831169382</v>
      </c>
    </row>
    <row r="136" spans="2:18" ht="15.75" thickBot="1" x14ac:dyDescent="0.3">
      <c r="B136" s="60"/>
      <c r="C136" s="64"/>
      <c r="D136" s="62" t="s">
        <v>117</v>
      </c>
      <c r="E136" s="61"/>
      <c r="F136" s="61"/>
      <c r="G136" s="61"/>
      <c r="H136" s="61"/>
      <c r="I136" s="61"/>
      <c r="J136" s="61"/>
      <c r="K136" s="63"/>
      <c r="L136" s="63"/>
      <c r="M136" s="63"/>
      <c r="N136" s="63"/>
      <c r="O136" s="63"/>
      <c r="P136" s="63"/>
      <c r="Q136" s="63"/>
      <c r="R136" s="65"/>
    </row>
    <row r="137" spans="2:18" ht="15.75" thickBot="1" x14ac:dyDescent="0.3"/>
    <row r="138" spans="2:18" ht="15.75" x14ac:dyDescent="0.25">
      <c r="B138" s="1"/>
      <c r="C138" s="7" t="s">
        <v>348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9"/>
    </row>
    <row r="139" spans="2:18" ht="18" x14ac:dyDescent="0.25">
      <c r="B139" s="2"/>
      <c r="C139" s="8" t="s">
        <v>123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10"/>
    </row>
    <row r="140" spans="2:18" ht="15.75" thickBot="1" x14ac:dyDescent="0.3">
      <c r="B140" s="3"/>
      <c r="C140" s="11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12"/>
    </row>
    <row r="141" spans="2:18" ht="17.25" customHeight="1" thickBot="1" x14ac:dyDescent="0.3">
      <c r="B141" s="14" t="s">
        <v>349</v>
      </c>
      <c r="C141" s="18" t="s">
        <v>350</v>
      </c>
      <c r="D141" s="21" t="s">
        <v>351</v>
      </c>
      <c r="E141" s="23" t="s">
        <v>352</v>
      </c>
      <c r="F141" s="21" t="s">
        <v>353</v>
      </c>
      <c r="G141" s="23" t="s">
        <v>354</v>
      </c>
      <c r="H141" s="23" t="s">
        <v>355</v>
      </c>
      <c r="I141" s="23" t="s">
        <v>356</v>
      </c>
      <c r="J141" s="25" t="s">
        <v>357</v>
      </c>
      <c r="K141" s="25" t="s">
        <v>358</v>
      </c>
      <c r="L141" s="30" t="s">
        <v>359</v>
      </c>
      <c r="M141" s="30" t="s">
        <v>360</v>
      </c>
      <c r="N141" s="30" t="s">
        <v>361</v>
      </c>
      <c r="O141" s="33" t="s">
        <v>362</v>
      </c>
      <c r="P141" s="33" t="s">
        <v>363</v>
      </c>
      <c r="Q141" s="33" t="s">
        <v>364</v>
      </c>
      <c r="R141" s="35" t="s">
        <v>365</v>
      </c>
    </row>
    <row r="142" spans="2:18" ht="12.75" customHeight="1" x14ac:dyDescent="0.25">
      <c r="B142" s="17" t="s">
        <v>0</v>
      </c>
      <c r="C142" s="43" t="s">
        <v>119</v>
      </c>
      <c r="D142" s="37" t="s">
        <v>9</v>
      </c>
      <c r="E142" s="36">
        <v>2</v>
      </c>
      <c r="F142" s="38" t="s">
        <v>120</v>
      </c>
      <c r="G142" s="38" t="s">
        <v>121</v>
      </c>
      <c r="H142" s="38" t="s">
        <v>122</v>
      </c>
      <c r="I142" s="38" t="s">
        <v>123</v>
      </c>
      <c r="J142" s="39" t="s">
        <v>124</v>
      </c>
      <c r="K142" s="40">
        <v>315540</v>
      </c>
      <c r="L142" s="41">
        <v>54231042.260033779</v>
      </c>
      <c r="M142" s="41">
        <v>28032523.359974157</v>
      </c>
      <c r="N142" s="41">
        <v>21682289.540006403</v>
      </c>
      <c r="O142" s="42">
        <f t="shared" ref="O142:O173" si="24">IFERROR(M142/L142,0)</f>
        <v>0.51690917584730001</v>
      </c>
      <c r="P142" s="42">
        <f t="shared" ref="P142:P173" si="25">IFERROR(N142/M142,0)</f>
        <v>0.77346906168872243</v>
      </c>
      <c r="Q142" s="42">
        <f t="shared" ref="Q142:Q173" si="26">IFERROR(1-(M142/L142),0)</f>
        <v>0.48309082415269999</v>
      </c>
      <c r="R142" s="45">
        <f t="shared" ref="R142:R173" si="27">IFERROR(N142/K142,0)</f>
        <v>68.71486828930216</v>
      </c>
    </row>
    <row r="143" spans="2:18" ht="12.75" customHeight="1" x14ac:dyDescent="0.25">
      <c r="B143" s="17" t="s">
        <v>0</v>
      </c>
      <c r="C143" s="44" t="s">
        <v>125</v>
      </c>
      <c r="D143" s="22" t="s">
        <v>9</v>
      </c>
      <c r="E143" s="20">
        <v>2</v>
      </c>
      <c r="F143" s="17" t="s">
        <v>120</v>
      </c>
      <c r="G143" s="17" t="s">
        <v>121</v>
      </c>
      <c r="H143" s="17" t="s">
        <v>122</v>
      </c>
      <c r="I143" s="17" t="s">
        <v>123</v>
      </c>
      <c r="J143" s="27" t="s">
        <v>126</v>
      </c>
      <c r="K143" s="29">
        <v>241171</v>
      </c>
      <c r="L143" s="31">
        <v>38177947.739995457</v>
      </c>
      <c r="M143" s="31">
        <v>17383940.220003176</v>
      </c>
      <c r="N143" s="31">
        <v>13368548.260002742</v>
      </c>
      <c r="O143" s="34">
        <f t="shared" si="24"/>
        <v>0.45533982964180264</v>
      </c>
      <c r="P143" s="34">
        <f t="shared" si="25"/>
        <v>0.7690171555364621</v>
      </c>
      <c r="Q143" s="34">
        <f t="shared" si="26"/>
        <v>0.54466017035819736</v>
      </c>
      <c r="R143" s="46">
        <f t="shared" si="27"/>
        <v>55.43182331210113</v>
      </c>
    </row>
    <row r="144" spans="2:18" ht="12.75" customHeight="1" x14ac:dyDescent="0.25">
      <c r="B144" s="17" t="s">
        <v>0</v>
      </c>
      <c r="C144" s="44" t="s">
        <v>119</v>
      </c>
      <c r="D144" s="22" t="s">
        <v>2</v>
      </c>
      <c r="E144" s="20">
        <v>1</v>
      </c>
      <c r="F144" s="17" t="s">
        <v>120</v>
      </c>
      <c r="G144" s="17" t="s">
        <v>121</v>
      </c>
      <c r="H144" s="17" t="s">
        <v>122</v>
      </c>
      <c r="I144" s="17" t="s">
        <v>123</v>
      </c>
      <c r="J144" s="27" t="s">
        <v>124</v>
      </c>
      <c r="K144" s="29">
        <v>93348</v>
      </c>
      <c r="L144" s="31">
        <v>16773637.520002574</v>
      </c>
      <c r="M144" s="31">
        <v>7827206.1599919451</v>
      </c>
      <c r="N144" s="31">
        <v>6102149.6399973184</v>
      </c>
      <c r="O144" s="34">
        <f t="shared" si="24"/>
        <v>0.46663737371562947</v>
      </c>
      <c r="P144" s="34">
        <f t="shared" si="25"/>
        <v>0.77960762949977003</v>
      </c>
      <c r="Q144" s="34">
        <f t="shared" si="26"/>
        <v>0.53336262628437048</v>
      </c>
      <c r="R144" s="46">
        <f t="shared" si="27"/>
        <v>65.369902301038252</v>
      </c>
    </row>
    <row r="145" spans="2:18" ht="12.75" customHeight="1" x14ac:dyDescent="0.25">
      <c r="B145" s="17" t="s">
        <v>0</v>
      </c>
      <c r="C145" s="44" t="s">
        <v>127</v>
      </c>
      <c r="D145" s="22" t="s">
        <v>9</v>
      </c>
      <c r="E145" s="20">
        <v>2</v>
      </c>
      <c r="F145" s="17" t="s">
        <v>120</v>
      </c>
      <c r="G145" s="17" t="s">
        <v>121</v>
      </c>
      <c r="H145" s="17" t="s">
        <v>122</v>
      </c>
      <c r="I145" s="17" t="s">
        <v>123</v>
      </c>
      <c r="J145" s="27" t="s">
        <v>128</v>
      </c>
      <c r="K145" s="29">
        <v>71767</v>
      </c>
      <c r="L145" s="31">
        <v>11535097.370010527</v>
      </c>
      <c r="M145" s="31">
        <v>5618038.2900054744</v>
      </c>
      <c r="N145" s="31">
        <v>4242233.1500015641</v>
      </c>
      <c r="O145" s="34">
        <f t="shared" si="24"/>
        <v>0.48703865340673302</v>
      </c>
      <c r="P145" s="34">
        <f t="shared" si="25"/>
        <v>0.75510933372393063</v>
      </c>
      <c r="Q145" s="34">
        <f t="shared" si="26"/>
        <v>0.51296134659326698</v>
      </c>
      <c r="R145" s="46">
        <f t="shared" si="27"/>
        <v>59.111195256894732</v>
      </c>
    </row>
    <row r="146" spans="2:18" ht="12.75" customHeight="1" x14ac:dyDescent="0.25">
      <c r="B146" s="17" t="s">
        <v>0</v>
      </c>
      <c r="C146" s="44" t="s">
        <v>46</v>
      </c>
      <c r="D146" s="22" t="s">
        <v>9</v>
      </c>
      <c r="E146" s="20">
        <v>2</v>
      </c>
      <c r="F146" s="17" t="s">
        <v>120</v>
      </c>
      <c r="G146" s="17" t="s">
        <v>121</v>
      </c>
      <c r="H146" s="17" t="s">
        <v>122</v>
      </c>
      <c r="I146" s="17" t="s">
        <v>123</v>
      </c>
      <c r="J146" s="27" t="s">
        <v>47</v>
      </c>
      <c r="K146" s="29">
        <v>90183</v>
      </c>
      <c r="L146" s="31">
        <v>12505302.290007837</v>
      </c>
      <c r="M146" s="31">
        <v>5360520.3699955856</v>
      </c>
      <c r="N146" s="31">
        <v>4127315.5100052254</v>
      </c>
      <c r="O146" s="34">
        <f t="shared" si="24"/>
        <v>0.42865979931399373</v>
      </c>
      <c r="P146" s="34">
        <f t="shared" si="25"/>
        <v>0.76994680089400058</v>
      </c>
      <c r="Q146" s="34">
        <f t="shared" si="26"/>
        <v>0.57134020068600622</v>
      </c>
      <c r="R146" s="46">
        <f t="shared" si="27"/>
        <v>45.766003681461314</v>
      </c>
    </row>
    <row r="147" spans="2:18" ht="12.75" customHeight="1" x14ac:dyDescent="0.25">
      <c r="B147" s="17" t="s">
        <v>0</v>
      </c>
      <c r="C147" s="44" t="s">
        <v>129</v>
      </c>
      <c r="D147" s="22" t="s">
        <v>9</v>
      </c>
      <c r="E147" s="20">
        <v>2</v>
      </c>
      <c r="F147" s="17" t="s">
        <v>120</v>
      </c>
      <c r="G147" s="17" t="s">
        <v>121</v>
      </c>
      <c r="H147" s="17" t="s">
        <v>122</v>
      </c>
      <c r="I147" s="17" t="s">
        <v>123</v>
      </c>
      <c r="J147" s="27" t="s">
        <v>130</v>
      </c>
      <c r="K147" s="29">
        <v>72600</v>
      </c>
      <c r="L147" s="31">
        <v>8805903.4899970517</v>
      </c>
      <c r="M147" s="31">
        <v>4363312.8900012663</v>
      </c>
      <c r="N147" s="31">
        <v>3427051.350006341</v>
      </c>
      <c r="O147" s="34">
        <f t="shared" si="24"/>
        <v>0.49549860442573701</v>
      </c>
      <c r="P147" s="34">
        <f t="shared" si="25"/>
        <v>0.78542415737812155</v>
      </c>
      <c r="Q147" s="34">
        <f t="shared" si="26"/>
        <v>0.50450139557426299</v>
      </c>
      <c r="R147" s="46">
        <f t="shared" si="27"/>
        <v>47.204564049674119</v>
      </c>
    </row>
    <row r="148" spans="2:18" ht="12.75" customHeight="1" x14ac:dyDescent="0.25">
      <c r="B148" s="17" t="s">
        <v>0</v>
      </c>
      <c r="C148" s="44" t="s">
        <v>84</v>
      </c>
      <c r="D148" s="22" t="s">
        <v>9</v>
      </c>
      <c r="E148" s="20">
        <v>2</v>
      </c>
      <c r="F148" s="17" t="s">
        <v>120</v>
      </c>
      <c r="G148" s="17" t="s">
        <v>121</v>
      </c>
      <c r="H148" s="17" t="s">
        <v>122</v>
      </c>
      <c r="I148" s="17" t="s">
        <v>123</v>
      </c>
      <c r="J148" s="27" t="s">
        <v>85</v>
      </c>
      <c r="K148" s="29">
        <v>10311</v>
      </c>
      <c r="L148" s="31">
        <v>2407139.1200007256</v>
      </c>
      <c r="M148" s="31">
        <v>1962422.330002107</v>
      </c>
      <c r="N148" s="31">
        <v>1917059.0000042559</v>
      </c>
      <c r="O148" s="34">
        <f t="shared" si="24"/>
        <v>0.81525089833674236</v>
      </c>
      <c r="P148" s="34">
        <f t="shared" si="25"/>
        <v>0.97688401252659907</v>
      </c>
      <c r="Q148" s="34">
        <f t="shared" si="26"/>
        <v>0.18474910166325764</v>
      </c>
      <c r="R148" s="46">
        <f t="shared" si="27"/>
        <v>185.92367374689709</v>
      </c>
    </row>
    <row r="149" spans="2:18" ht="12.75" customHeight="1" x14ac:dyDescent="0.25">
      <c r="B149" s="17" t="s">
        <v>0</v>
      </c>
      <c r="C149" s="44" t="s">
        <v>30</v>
      </c>
      <c r="D149" s="22" t="s">
        <v>9</v>
      </c>
      <c r="E149" s="20">
        <v>2</v>
      </c>
      <c r="F149" s="17" t="s">
        <v>120</v>
      </c>
      <c r="G149" s="17" t="s">
        <v>121</v>
      </c>
      <c r="H149" s="17" t="s">
        <v>122</v>
      </c>
      <c r="I149" s="17" t="s">
        <v>123</v>
      </c>
      <c r="J149" s="27" t="s">
        <v>31</v>
      </c>
      <c r="K149" s="29">
        <v>56069</v>
      </c>
      <c r="L149" s="31">
        <v>4280982.6600087611</v>
      </c>
      <c r="M149" s="31">
        <v>2212871.3700061757</v>
      </c>
      <c r="N149" s="31">
        <v>1825377.4199931556</v>
      </c>
      <c r="O149" s="34">
        <f t="shared" si="24"/>
        <v>0.51690734248422465</v>
      </c>
      <c r="P149" s="34">
        <f t="shared" si="25"/>
        <v>0.82489088373359065</v>
      </c>
      <c r="Q149" s="34">
        <f t="shared" si="26"/>
        <v>0.48309265751577535</v>
      </c>
      <c r="R149" s="46">
        <f t="shared" si="27"/>
        <v>32.555911822810387</v>
      </c>
    </row>
    <row r="150" spans="2:18" ht="12.75" customHeight="1" x14ac:dyDescent="0.25">
      <c r="B150" s="17" t="s">
        <v>0</v>
      </c>
      <c r="C150" s="44" t="s">
        <v>127</v>
      </c>
      <c r="D150" s="22" t="s">
        <v>2</v>
      </c>
      <c r="E150" s="20">
        <v>1</v>
      </c>
      <c r="F150" s="17" t="s">
        <v>120</v>
      </c>
      <c r="G150" s="17" t="s">
        <v>121</v>
      </c>
      <c r="H150" s="17" t="s">
        <v>122</v>
      </c>
      <c r="I150" s="17" t="s">
        <v>123</v>
      </c>
      <c r="J150" s="27" t="s">
        <v>128</v>
      </c>
      <c r="K150" s="29">
        <v>15223</v>
      </c>
      <c r="L150" s="31">
        <v>3628465.9100124855</v>
      </c>
      <c r="M150" s="31">
        <v>1517445.4500039229</v>
      </c>
      <c r="N150" s="31">
        <v>1172785.1999953655</v>
      </c>
      <c r="O150" s="34">
        <f t="shared" si="24"/>
        <v>0.41820578934382258</v>
      </c>
      <c r="P150" s="34">
        <f t="shared" si="25"/>
        <v>0.77286811199198857</v>
      </c>
      <c r="Q150" s="34">
        <f t="shared" si="26"/>
        <v>0.58179421065617742</v>
      </c>
      <c r="R150" s="46">
        <f t="shared" si="27"/>
        <v>77.040346843287494</v>
      </c>
    </row>
    <row r="151" spans="2:18" ht="12.75" customHeight="1" x14ac:dyDescent="0.25">
      <c r="B151" s="17" t="s">
        <v>0</v>
      </c>
      <c r="C151" s="44" t="s">
        <v>46</v>
      </c>
      <c r="D151" s="22" t="s">
        <v>2</v>
      </c>
      <c r="E151" s="20">
        <v>1</v>
      </c>
      <c r="F151" s="17" t="s">
        <v>120</v>
      </c>
      <c r="G151" s="17" t="s">
        <v>121</v>
      </c>
      <c r="H151" s="17" t="s">
        <v>122</v>
      </c>
      <c r="I151" s="17" t="s">
        <v>123</v>
      </c>
      <c r="J151" s="27" t="s">
        <v>47</v>
      </c>
      <c r="K151" s="29">
        <v>16414</v>
      </c>
      <c r="L151" s="31">
        <v>3440453.8900001431</v>
      </c>
      <c r="M151" s="31">
        <v>1305407.4500034275</v>
      </c>
      <c r="N151" s="31">
        <v>1021198.7200005234</v>
      </c>
      <c r="O151" s="34">
        <f t="shared" si="24"/>
        <v>0.37942884623382445</v>
      </c>
      <c r="P151" s="34">
        <f t="shared" si="25"/>
        <v>0.78228350849218931</v>
      </c>
      <c r="Q151" s="34">
        <f t="shared" si="26"/>
        <v>0.62057115376617555</v>
      </c>
      <c r="R151" s="46">
        <f t="shared" si="27"/>
        <v>62.21510417939097</v>
      </c>
    </row>
    <row r="152" spans="2:18" ht="12.75" customHeight="1" x14ac:dyDescent="0.25">
      <c r="B152" s="17" t="s">
        <v>0</v>
      </c>
      <c r="C152" s="44" t="s">
        <v>54</v>
      </c>
      <c r="D152" s="22" t="s">
        <v>9</v>
      </c>
      <c r="E152" s="20">
        <v>2</v>
      </c>
      <c r="F152" s="17" t="s">
        <v>120</v>
      </c>
      <c r="G152" s="17" t="s">
        <v>121</v>
      </c>
      <c r="H152" s="17" t="s">
        <v>122</v>
      </c>
      <c r="I152" s="17" t="s">
        <v>123</v>
      </c>
      <c r="J152" s="27" t="s">
        <v>55</v>
      </c>
      <c r="K152" s="29">
        <v>35628</v>
      </c>
      <c r="L152" s="31">
        <v>2314510.5899974117</v>
      </c>
      <c r="M152" s="31">
        <v>944182.2000000868</v>
      </c>
      <c r="N152" s="31">
        <v>800718.57000085467</v>
      </c>
      <c r="O152" s="34">
        <f t="shared" si="24"/>
        <v>0.40794032400652902</v>
      </c>
      <c r="P152" s="34">
        <f t="shared" si="25"/>
        <v>0.84805514232399326</v>
      </c>
      <c r="Q152" s="34">
        <f t="shared" si="26"/>
        <v>0.59205967599347098</v>
      </c>
      <c r="R152" s="46">
        <f t="shared" si="27"/>
        <v>22.474418154284681</v>
      </c>
    </row>
    <row r="153" spans="2:18" ht="12.75" customHeight="1" x14ac:dyDescent="0.25">
      <c r="B153" s="17" t="s">
        <v>0</v>
      </c>
      <c r="C153" s="44" t="s">
        <v>7</v>
      </c>
      <c r="D153" s="22" t="s">
        <v>9</v>
      </c>
      <c r="E153" s="20">
        <v>2</v>
      </c>
      <c r="F153" s="17" t="s">
        <v>120</v>
      </c>
      <c r="G153" s="17" t="s">
        <v>121</v>
      </c>
      <c r="H153" s="17" t="s">
        <v>122</v>
      </c>
      <c r="I153" s="17" t="s">
        <v>123</v>
      </c>
      <c r="J153" s="27" t="s">
        <v>8</v>
      </c>
      <c r="K153" s="29">
        <v>25398</v>
      </c>
      <c r="L153" s="31">
        <v>2656739.4000029583</v>
      </c>
      <c r="M153" s="31">
        <v>919162.70000027702</v>
      </c>
      <c r="N153" s="31">
        <v>711141.31000004115</v>
      </c>
      <c r="O153" s="34">
        <f t="shared" si="24"/>
        <v>0.34597397847875239</v>
      </c>
      <c r="P153" s="34">
        <f t="shared" si="25"/>
        <v>0.77368382115573975</v>
      </c>
      <c r="Q153" s="34">
        <f t="shared" si="26"/>
        <v>0.65402602152124767</v>
      </c>
      <c r="R153" s="46">
        <f t="shared" si="27"/>
        <v>27.999894086150135</v>
      </c>
    </row>
    <row r="154" spans="2:18" ht="12.75" customHeight="1" x14ac:dyDescent="0.25">
      <c r="B154" s="17" t="s">
        <v>0</v>
      </c>
      <c r="C154" s="44" t="s">
        <v>20</v>
      </c>
      <c r="D154" s="22" t="s">
        <v>9</v>
      </c>
      <c r="E154" s="20">
        <v>2</v>
      </c>
      <c r="F154" s="17" t="s">
        <v>120</v>
      </c>
      <c r="G154" s="17" t="s">
        <v>121</v>
      </c>
      <c r="H154" s="17" t="s">
        <v>122</v>
      </c>
      <c r="I154" s="17" t="s">
        <v>123</v>
      </c>
      <c r="J154" s="27" t="s">
        <v>21</v>
      </c>
      <c r="K154" s="29">
        <v>18386</v>
      </c>
      <c r="L154" s="31">
        <v>2892220.7100024093</v>
      </c>
      <c r="M154" s="31">
        <v>872557.55999965209</v>
      </c>
      <c r="N154" s="31">
        <v>673012.1700013394</v>
      </c>
      <c r="O154" s="34">
        <f t="shared" si="24"/>
        <v>0.30169120806790889</v>
      </c>
      <c r="P154" s="34">
        <f t="shared" si="25"/>
        <v>0.77130976895278724</v>
      </c>
      <c r="Q154" s="34">
        <f t="shared" si="26"/>
        <v>0.69830879193209117</v>
      </c>
      <c r="R154" s="46">
        <f t="shared" si="27"/>
        <v>36.604599695493278</v>
      </c>
    </row>
    <row r="155" spans="2:18" ht="12.75" customHeight="1" x14ac:dyDescent="0.25">
      <c r="B155" s="17" t="s">
        <v>0</v>
      </c>
      <c r="C155" s="44" t="s">
        <v>50</v>
      </c>
      <c r="D155" s="22" t="s">
        <v>9</v>
      </c>
      <c r="E155" s="20">
        <v>2</v>
      </c>
      <c r="F155" s="17" t="s">
        <v>120</v>
      </c>
      <c r="G155" s="17" t="s">
        <v>121</v>
      </c>
      <c r="H155" s="17" t="s">
        <v>122</v>
      </c>
      <c r="I155" s="17" t="s">
        <v>123</v>
      </c>
      <c r="J155" s="27" t="s">
        <v>51</v>
      </c>
      <c r="K155" s="29">
        <v>15322</v>
      </c>
      <c r="L155" s="31">
        <v>1776014.2700012256</v>
      </c>
      <c r="M155" s="31">
        <v>671706.75999909872</v>
      </c>
      <c r="N155" s="31">
        <v>517957.83000031812</v>
      </c>
      <c r="O155" s="34">
        <f t="shared" si="24"/>
        <v>0.3782102268798973</v>
      </c>
      <c r="P155" s="34">
        <f t="shared" si="25"/>
        <v>0.77110706761535808</v>
      </c>
      <c r="Q155" s="34">
        <f t="shared" si="26"/>
        <v>0.62178977312010275</v>
      </c>
      <c r="R155" s="46">
        <f t="shared" si="27"/>
        <v>33.804844667818699</v>
      </c>
    </row>
    <row r="156" spans="2:18" ht="12.75" customHeight="1" x14ac:dyDescent="0.25">
      <c r="B156" s="17" t="s">
        <v>0</v>
      </c>
      <c r="C156" s="44" t="s">
        <v>16</v>
      </c>
      <c r="D156" s="22" t="s">
        <v>9</v>
      </c>
      <c r="E156" s="20">
        <v>2</v>
      </c>
      <c r="F156" s="17" t="s">
        <v>120</v>
      </c>
      <c r="G156" s="17" t="s">
        <v>121</v>
      </c>
      <c r="H156" s="17" t="s">
        <v>122</v>
      </c>
      <c r="I156" s="17" t="s">
        <v>123</v>
      </c>
      <c r="J156" s="27" t="s">
        <v>17</v>
      </c>
      <c r="K156" s="29">
        <v>20231</v>
      </c>
      <c r="L156" s="31">
        <v>2218849.2199989595</v>
      </c>
      <c r="M156" s="31">
        <v>621771.79000394163</v>
      </c>
      <c r="N156" s="31">
        <v>475844.33999872702</v>
      </c>
      <c r="O156" s="34">
        <f t="shared" si="24"/>
        <v>0.28022264171886058</v>
      </c>
      <c r="P156" s="34">
        <f t="shared" si="25"/>
        <v>0.76530384242056149</v>
      </c>
      <c r="Q156" s="34">
        <f t="shared" si="26"/>
        <v>0.71977735828113942</v>
      </c>
      <c r="R156" s="46">
        <f t="shared" si="27"/>
        <v>23.520554594371362</v>
      </c>
    </row>
    <row r="157" spans="2:18" ht="12.75" customHeight="1" x14ac:dyDescent="0.25">
      <c r="B157" s="17" t="s">
        <v>0</v>
      </c>
      <c r="C157" s="44" t="s">
        <v>66</v>
      </c>
      <c r="D157" s="22" t="s">
        <v>9</v>
      </c>
      <c r="E157" s="20">
        <v>2</v>
      </c>
      <c r="F157" s="17" t="s">
        <v>120</v>
      </c>
      <c r="G157" s="17" t="s">
        <v>121</v>
      </c>
      <c r="H157" s="17" t="s">
        <v>122</v>
      </c>
      <c r="I157" s="17" t="s">
        <v>123</v>
      </c>
      <c r="J157" s="27" t="s">
        <v>67</v>
      </c>
      <c r="K157" s="29">
        <v>12364</v>
      </c>
      <c r="L157" s="31">
        <v>2239944.6399998865</v>
      </c>
      <c r="M157" s="31">
        <v>549049.88999896811</v>
      </c>
      <c r="N157" s="31">
        <v>425264.56999997603</v>
      </c>
      <c r="O157" s="34">
        <f t="shared" si="24"/>
        <v>0.24511761594206002</v>
      </c>
      <c r="P157" s="34">
        <f t="shared" si="25"/>
        <v>0.77454631673048013</v>
      </c>
      <c r="Q157" s="34">
        <f t="shared" si="26"/>
        <v>0.75488238405793995</v>
      </c>
      <c r="R157" s="46">
        <f t="shared" si="27"/>
        <v>34.39538741507409</v>
      </c>
    </row>
    <row r="158" spans="2:18" ht="12.75" customHeight="1" x14ac:dyDescent="0.25">
      <c r="B158" s="17" t="s">
        <v>0</v>
      </c>
      <c r="C158" s="44" t="s">
        <v>125</v>
      </c>
      <c r="D158" s="22" t="s">
        <v>2</v>
      </c>
      <c r="E158" s="20">
        <v>1</v>
      </c>
      <c r="F158" s="17" t="s">
        <v>120</v>
      </c>
      <c r="G158" s="17" t="s">
        <v>121</v>
      </c>
      <c r="H158" s="17" t="s">
        <v>122</v>
      </c>
      <c r="I158" s="17" t="s">
        <v>123</v>
      </c>
      <c r="J158" s="27" t="s">
        <v>126</v>
      </c>
      <c r="K158" s="29">
        <v>7154</v>
      </c>
      <c r="L158" s="31">
        <v>909602.94000062998</v>
      </c>
      <c r="M158" s="31">
        <v>514974.70000064722</v>
      </c>
      <c r="N158" s="31">
        <v>405762.49999971851</v>
      </c>
      <c r="O158" s="34">
        <f t="shared" si="24"/>
        <v>0.5661532932163682</v>
      </c>
      <c r="P158" s="34">
        <f t="shared" si="25"/>
        <v>0.78792705738594249</v>
      </c>
      <c r="Q158" s="34">
        <f t="shared" si="26"/>
        <v>0.4338467067836318</v>
      </c>
      <c r="R158" s="46">
        <f t="shared" si="27"/>
        <v>56.718269499541307</v>
      </c>
    </row>
    <row r="159" spans="2:18" ht="12.75" customHeight="1" x14ac:dyDescent="0.25">
      <c r="B159" s="17" t="s">
        <v>0</v>
      </c>
      <c r="C159" s="44" t="s">
        <v>58</v>
      </c>
      <c r="D159" s="22" t="s">
        <v>9</v>
      </c>
      <c r="E159" s="20">
        <v>2</v>
      </c>
      <c r="F159" s="17" t="s">
        <v>120</v>
      </c>
      <c r="G159" s="17" t="s">
        <v>121</v>
      </c>
      <c r="H159" s="17" t="s">
        <v>122</v>
      </c>
      <c r="I159" s="17" t="s">
        <v>123</v>
      </c>
      <c r="J159" s="27" t="s">
        <v>59</v>
      </c>
      <c r="K159" s="29">
        <v>12243</v>
      </c>
      <c r="L159" s="31">
        <v>1533298.5600002492</v>
      </c>
      <c r="M159" s="31">
        <v>501138.60999993584</v>
      </c>
      <c r="N159" s="31">
        <v>389483.8100005702</v>
      </c>
      <c r="O159" s="34">
        <f t="shared" si="24"/>
        <v>0.32683694035416977</v>
      </c>
      <c r="P159" s="34">
        <f t="shared" si="25"/>
        <v>0.77719776969613275</v>
      </c>
      <c r="Q159" s="34">
        <f t="shared" si="26"/>
        <v>0.67316305964583023</v>
      </c>
      <c r="R159" s="46">
        <f t="shared" si="27"/>
        <v>31.812775463576752</v>
      </c>
    </row>
    <row r="160" spans="2:18" ht="12.75" customHeight="1" x14ac:dyDescent="0.25">
      <c r="B160" s="17" t="s">
        <v>0</v>
      </c>
      <c r="C160" s="44" t="s">
        <v>131</v>
      </c>
      <c r="D160" s="22" t="s">
        <v>9</v>
      </c>
      <c r="E160" s="20">
        <v>2</v>
      </c>
      <c r="F160" s="17" t="s">
        <v>120</v>
      </c>
      <c r="G160" s="17" t="s">
        <v>121</v>
      </c>
      <c r="H160" s="17" t="s">
        <v>122</v>
      </c>
      <c r="I160" s="17" t="s">
        <v>123</v>
      </c>
      <c r="J160" s="27" t="s">
        <v>132</v>
      </c>
      <c r="K160" s="29">
        <v>20695</v>
      </c>
      <c r="L160" s="31">
        <v>801682.78000051703</v>
      </c>
      <c r="M160" s="31">
        <v>437506.15999912901</v>
      </c>
      <c r="N160" s="31">
        <v>346662.25000118505</v>
      </c>
      <c r="O160" s="34">
        <f t="shared" si="24"/>
        <v>0.54573476057306214</v>
      </c>
      <c r="P160" s="34">
        <f t="shared" si="25"/>
        <v>0.79235970072255713</v>
      </c>
      <c r="Q160" s="34">
        <f t="shared" si="26"/>
        <v>0.45426523942693786</v>
      </c>
      <c r="R160" s="46">
        <f t="shared" si="27"/>
        <v>16.751014737916648</v>
      </c>
    </row>
    <row r="161" spans="2:18" ht="12.75" customHeight="1" x14ac:dyDescent="0.25">
      <c r="B161" s="17" t="s">
        <v>0</v>
      </c>
      <c r="C161" s="44" t="s">
        <v>24</v>
      </c>
      <c r="D161" s="22" t="s">
        <v>9</v>
      </c>
      <c r="E161" s="20">
        <v>2</v>
      </c>
      <c r="F161" s="17" t="s">
        <v>120</v>
      </c>
      <c r="G161" s="17" t="s">
        <v>121</v>
      </c>
      <c r="H161" s="17" t="s">
        <v>122</v>
      </c>
      <c r="I161" s="17" t="s">
        <v>123</v>
      </c>
      <c r="J161" s="27" t="s">
        <v>25</v>
      </c>
      <c r="K161" s="29">
        <v>5587</v>
      </c>
      <c r="L161" s="31">
        <v>859351.41000117292</v>
      </c>
      <c r="M161" s="31">
        <v>382277.330000024</v>
      </c>
      <c r="N161" s="31">
        <v>304048.25000255497</v>
      </c>
      <c r="O161" s="34">
        <f t="shared" si="24"/>
        <v>0.44484401323028289</v>
      </c>
      <c r="P161" s="34">
        <f t="shared" si="25"/>
        <v>0.79536039974574446</v>
      </c>
      <c r="Q161" s="34">
        <f t="shared" si="26"/>
        <v>0.55515598676971711</v>
      </c>
      <c r="R161" s="46">
        <f t="shared" si="27"/>
        <v>54.420664041982278</v>
      </c>
    </row>
    <row r="162" spans="2:18" ht="12.75" customHeight="1" x14ac:dyDescent="0.25">
      <c r="B162" s="17" t="s">
        <v>0</v>
      </c>
      <c r="C162" s="44" t="s">
        <v>54</v>
      </c>
      <c r="D162" s="22" t="s">
        <v>2</v>
      </c>
      <c r="E162" s="20">
        <v>1</v>
      </c>
      <c r="F162" s="17" t="s">
        <v>120</v>
      </c>
      <c r="G162" s="17" t="s">
        <v>121</v>
      </c>
      <c r="H162" s="17" t="s">
        <v>122</v>
      </c>
      <c r="I162" s="17" t="s">
        <v>123</v>
      </c>
      <c r="J162" s="27" t="s">
        <v>55</v>
      </c>
      <c r="K162" s="29">
        <v>11700</v>
      </c>
      <c r="L162" s="31">
        <v>586016.00000224612</v>
      </c>
      <c r="M162" s="31">
        <v>245317.07000378703</v>
      </c>
      <c r="N162" s="31">
        <v>194463.75000014101</v>
      </c>
      <c r="O162" s="34">
        <f t="shared" si="24"/>
        <v>0.41861838243810195</v>
      </c>
      <c r="P162" s="34">
        <f t="shared" si="25"/>
        <v>0.7927037038113125</v>
      </c>
      <c r="Q162" s="34">
        <f t="shared" si="26"/>
        <v>0.58138161756189799</v>
      </c>
      <c r="R162" s="46">
        <f t="shared" si="27"/>
        <v>16.620833333345384</v>
      </c>
    </row>
    <row r="163" spans="2:18" ht="12.75" customHeight="1" x14ac:dyDescent="0.25">
      <c r="B163" s="17" t="s">
        <v>0</v>
      </c>
      <c r="C163" s="44" t="s">
        <v>129</v>
      </c>
      <c r="D163" s="22" t="s">
        <v>2</v>
      </c>
      <c r="E163" s="20">
        <v>1</v>
      </c>
      <c r="F163" s="17" t="s">
        <v>120</v>
      </c>
      <c r="G163" s="17" t="s">
        <v>121</v>
      </c>
      <c r="H163" s="17" t="s">
        <v>122</v>
      </c>
      <c r="I163" s="17" t="s">
        <v>123</v>
      </c>
      <c r="J163" s="27" t="s">
        <v>130</v>
      </c>
      <c r="K163" s="29">
        <v>3125</v>
      </c>
      <c r="L163" s="31">
        <v>470894.99999998399</v>
      </c>
      <c r="M163" s="31">
        <v>196588.68000037203</v>
      </c>
      <c r="N163" s="31">
        <v>156196.97000004596</v>
      </c>
      <c r="O163" s="34">
        <f t="shared" si="24"/>
        <v>0.41747880100739804</v>
      </c>
      <c r="P163" s="34">
        <f t="shared" si="25"/>
        <v>0.79453694892173021</v>
      </c>
      <c r="Q163" s="34">
        <f t="shared" si="26"/>
        <v>0.58252119899260202</v>
      </c>
      <c r="R163" s="46">
        <f t="shared" si="27"/>
        <v>49.983030400014705</v>
      </c>
    </row>
    <row r="164" spans="2:18" ht="12.75" customHeight="1" x14ac:dyDescent="0.25">
      <c r="B164" s="17" t="s">
        <v>0</v>
      </c>
      <c r="C164" s="44" t="s">
        <v>133</v>
      </c>
      <c r="D164" s="22" t="s">
        <v>9</v>
      </c>
      <c r="E164" s="20">
        <v>2</v>
      </c>
      <c r="F164" s="17" t="s">
        <v>120</v>
      </c>
      <c r="G164" s="17" t="s">
        <v>121</v>
      </c>
      <c r="H164" s="17" t="s">
        <v>122</v>
      </c>
      <c r="I164" s="17" t="s">
        <v>123</v>
      </c>
      <c r="J164" s="27" t="s">
        <v>134</v>
      </c>
      <c r="K164" s="29">
        <v>1760</v>
      </c>
      <c r="L164" s="31">
        <v>384949</v>
      </c>
      <c r="M164" s="31">
        <v>150951.02000144601</v>
      </c>
      <c r="N164" s="31">
        <v>119563.240000066</v>
      </c>
      <c r="O164" s="34">
        <f t="shared" si="24"/>
        <v>0.39213251625915646</v>
      </c>
      <c r="P164" s="34">
        <f t="shared" si="25"/>
        <v>0.79206645969613632</v>
      </c>
      <c r="Q164" s="34">
        <f t="shared" si="26"/>
        <v>0.60786748374084354</v>
      </c>
      <c r="R164" s="46">
        <f t="shared" si="27"/>
        <v>67.933659090946591</v>
      </c>
    </row>
    <row r="165" spans="2:18" ht="12.75" customHeight="1" x14ac:dyDescent="0.25">
      <c r="B165" s="17" t="s">
        <v>0</v>
      </c>
      <c r="C165" s="44" t="s">
        <v>135</v>
      </c>
      <c r="D165" s="22" t="s">
        <v>9</v>
      </c>
      <c r="E165" s="20">
        <v>2</v>
      </c>
      <c r="F165" s="17" t="s">
        <v>120</v>
      </c>
      <c r="G165" s="17" t="s">
        <v>121</v>
      </c>
      <c r="H165" s="17" t="s">
        <v>122</v>
      </c>
      <c r="I165" s="17" t="s">
        <v>123</v>
      </c>
      <c r="J165" s="27" t="s">
        <v>136</v>
      </c>
      <c r="K165" s="29">
        <v>1993</v>
      </c>
      <c r="L165" s="31">
        <v>323200.73999893101</v>
      </c>
      <c r="M165" s="31">
        <v>143417.40000045081</v>
      </c>
      <c r="N165" s="31">
        <v>107753.14999989822</v>
      </c>
      <c r="O165" s="34">
        <f t="shared" si="24"/>
        <v>0.44374093945739473</v>
      </c>
      <c r="P165" s="34">
        <f t="shared" si="25"/>
        <v>0.75132550164456691</v>
      </c>
      <c r="Q165" s="34">
        <f t="shared" si="26"/>
        <v>0.55625906054260521</v>
      </c>
      <c r="R165" s="46">
        <f t="shared" si="27"/>
        <v>54.065805318564081</v>
      </c>
    </row>
    <row r="166" spans="2:18" ht="12.75" customHeight="1" x14ac:dyDescent="0.25">
      <c r="B166" s="17" t="s">
        <v>0</v>
      </c>
      <c r="C166" s="44" t="s">
        <v>133</v>
      </c>
      <c r="D166" s="22" t="s">
        <v>2</v>
      </c>
      <c r="E166" s="20">
        <v>1</v>
      </c>
      <c r="F166" s="17" t="s">
        <v>120</v>
      </c>
      <c r="G166" s="17" t="s">
        <v>121</v>
      </c>
      <c r="H166" s="17" t="s">
        <v>122</v>
      </c>
      <c r="I166" s="17" t="s">
        <v>123</v>
      </c>
      <c r="J166" s="27" t="s">
        <v>134</v>
      </c>
      <c r="K166" s="29">
        <v>1800</v>
      </c>
      <c r="L166" s="31">
        <v>169386.52</v>
      </c>
      <c r="M166" s="31">
        <v>113209.70000042301</v>
      </c>
      <c r="N166" s="31">
        <v>90199.039999717003</v>
      </c>
      <c r="O166" s="34">
        <f t="shared" si="24"/>
        <v>0.6683512950170003</v>
      </c>
      <c r="P166" s="34">
        <f t="shared" si="25"/>
        <v>0.79674303526446921</v>
      </c>
      <c r="Q166" s="34">
        <f t="shared" si="26"/>
        <v>0.3316487049829997</v>
      </c>
      <c r="R166" s="46">
        <f t="shared" si="27"/>
        <v>50.110577777620556</v>
      </c>
    </row>
    <row r="167" spans="2:18" ht="12.75" customHeight="1" x14ac:dyDescent="0.25">
      <c r="B167" s="17" t="s">
        <v>0</v>
      </c>
      <c r="C167" s="44" t="s">
        <v>14</v>
      </c>
      <c r="D167" s="22" t="s">
        <v>9</v>
      </c>
      <c r="E167" s="20">
        <v>2</v>
      </c>
      <c r="F167" s="17" t="s">
        <v>120</v>
      </c>
      <c r="G167" s="17" t="s">
        <v>121</v>
      </c>
      <c r="H167" s="17" t="s">
        <v>122</v>
      </c>
      <c r="I167" s="17" t="s">
        <v>123</v>
      </c>
      <c r="J167" s="27" t="s">
        <v>15</v>
      </c>
      <c r="K167" s="29">
        <v>2036</v>
      </c>
      <c r="L167" s="31">
        <v>189300.26999986498</v>
      </c>
      <c r="M167" s="31">
        <v>72895.079999977897</v>
      </c>
      <c r="N167" s="31">
        <v>61628.1599999756</v>
      </c>
      <c r="O167" s="34">
        <f t="shared" si="24"/>
        <v>0.38507647136493728</v>
      </c>
      <c r="P167" s="34">
        <f t="shared" si="25"/>
        <v>0.84543648213287215</v>
      </c>
      <c r="Q167" s="34">
        <f t="shared" si="26"/>
        <v>0.61492352863506272</v>
      </c>
      <c r="R167" s="46">
        <f t="shared" si="27"/>
        <v>30.269233791736543</v>
      </c>
    </row>
    <row r="168" spans="2:18" ht="12.75" customHeight="1" x14ac:dyDescent="0.25">
      <c r="B168" s="17" t="s">
        <v>0</v>
      </c>
      <c r="C168" s="44" t="s">
        <v>50</v>
      </c>
      <c r="D168" s="22" t="s">
        <v>2</v>
      </c>
      <c r="E168" s="20">
        <v>1</v>
      </c>
      <c r="F168" s="17" t="s">
        <v>120</v>
      </c>
      <c r="G168" s="17" t="s">
        <v>121</v>
      </c>
      <c r="H168" s="17" t="s">
        <v>122</v>
      </c>
      <c r="I168" s="17" t="s">
        <v>123</v>
      </c>
      <c r="J168" s="27" t="s">
        <v>51</v>
      </c>
      <c r="K168" s="29">
        <v>424</v>
      </c>
      <c r="L168" s="31">
        <v>107400.00000000501</v>
      </c>
      <c r="M168" s="31">
        <v>57045.630000699995</v>
      </c>
      <c r="N168" s="31">
        <v>44025.380000450001</v>
      </c>
      <c r="O168" s="34">
        <f t="shared" si="24"/>
        <v>0.5311511173249287</v>
      </c>
      <c r="P168" s="34">
        <f t="shared" si="25"/>
        <v>0.77175727570910824</v>
      </c>
      <c r="Q168" s="34">
        <f t="shared" si="26"/>
        <v>0.4688488826750713</v>
      </c>
      <c r="R168" s="46">
        <f t="shared" si="27"/>
        <v>103.83344339728774</v>
      </c>
    </row>
    <row r="169" spans="2:18" ht="12.75" customHeight="1" x14ac:dyDescent="0.25">
      <c r="B169" s="17" t="s">
        <v>0</v>
      </c>
      <c r="C169" s="44" t="s">
        <v>137</v>
      </c>
      <c r="D169" s="22" t="s">
        <v>9</v>
      </c>
      <c r="E169" s="20">
        <v>2</v>
      </c>
      <c r="F169" s="17" t="s">
        <v>120</v>
      </c>
      <c r="G169" s="17" t="s">
        <v>121</v>
      </c>
      <c r="H169" s="17" t="s">
        <v>122</v>
      </c>
      <c r="I169" s="17" t="s">
        <v>123</v>
      </c>
      <c r="J169" s="27" t="s">
        <v>138</v>
      </c>
      <c r="K169" s="29">
        <v>1249</v>
      </c>
      <c r="L169" s="31">
        <v>141153.56999976002</v>
      </c>
      <c r="M169" s="31">
        <v>50176.940000500406</v>
      </c>
      <c r="N169" s="31">
        <v>43901.8200002538</v>
      </c>
      <c r="O169" s="34">
        <f t="shared" si="24"/>
        <v>0.35547765458986064</v>
      </c>
      <c r="P169" s="34">
        <f t="shared" si="25"/>
        <v>0.8749401617519118</v>
      </c>
      <c r="Q169" s="34">
        <f t="shared" si="26"/>
        <v>0.64452234541013942</v>
      </c>
      <c r="R169" s="46">
        <f t="shared" si="27"/>
        <v>35.149575660731628</v>
      </c>
    </row>
    <row r="170" spans="2:18" ht="12.75" customHeight="1" x14ac:dyDescent="0.25">
      <c r="B170" s="17" t="s">
        <v>0</v>
      </c>
      <c r="C170" s="44" t="s">
        <v>12</v>
      </c>
      <c r="D170" s="22" t="s">
        <v>9</v>
      </c>
      <c r="E170" s="20">
        <v>2</v>
      </c>
      <c r="F170" s="17" t="s">
        <v>120</v>
      </c>
      <c r="G170" s="17" t="s">
        <v>121</v>
      </c>
      <c r="H170" s="17" t="s">
        <v>122</v>
      </c>
      <c r="I170" s="17" t="s">
        <v>123</v>
      </c>
      <c r="J170" s="27" t="s">
        <v>13</v>
      </c>
      <c r="K170" s="29">
        <v>1114</v>
      </c>
      <c r="L170" s="31">
        <v>133660.08000000002</v>
      </c>
      <c r="M170" s="31">
        <v>53852.890000455009</v>
      </c>
      <c r="N170" s="31">
        <v>43168.480000038988</v>
      </c>
      <c r="O170" s="34">
        <f t="shared" si="24"/>
        <v>0.40290930545945358</v>
      </c>
      <c r="P170" s="34">
        <f t="shared" si="25"/>
        <v>0.80160006268325157</v>
      </c>
      <c r="Q170" s="34">
        <f t="shared" si="26"/>
        <v>0.59709069454054642</v>
      </c>
      <c r="R170" s="46">
        <f t="shared" si="27"/>
        <v>38.75087971278186</v>
      </c>
    </row>
    <row r="171" spans="2:18" ht="12.75" customHeight="1" x14ac:dyDescent="0.25">
      <c r="B171" s="17" t="s">
        <v>0</v>
      </c>
      <c r="C171" s="44" t="s">
        <v>114</v>
      </c>
      <c r="D171" s="22" t="s">
        <v>9</v>
      </c>
      <c r="E171" s="20">
        <v>2</v>
      </c>
      <c r="F171" s="17" t="s">
        <v>120</v>
      </c>
      <c r="G171" s="17" t="s">
        <v>121</v>
      </c>
      <c r="H171" s="17" t="s">
        <v>122</v>
      </c>
      <c r="I171" s="17" t="s">
        <v>123</v>
      </c>
      <c r="J171" s="27" t="s">
        <v>118</v>
      </c>
      <c r="K171" s="29">
        <v>742</v>
      </c>
      <c r="L171" s="31">
        <v>111220.00000005</v>
      </c>
      <c r="M171" s="31">
        <v>47614.809999979108</v>
      </c>
      <c r="N171" s="31">
        <v>37590.070000170803</v>
      </c>
      <c r="O171" s="34">
        <f t="shared" si="24"/>
        <v>0.42811373853585416</v>
      </c>
      <c r="P171" s="34">
        <f t="shared" si="25"/>
        <v>0.78946172420277005</v>
      </c>
      <c r="Q171" s="34">
        <f t="shared" si="26"/>
        <v>0.57188626146414578</v>
      </c>
      <c r="R171" s="46">
        <f t="shared" si="27"/>
        <v>50.6604716983434</v>
      </c>
    </row>
    <row r="172" spans="2:18" ht="12.75" customHeight="1" x14ac:dyDescent="0.25">
      <c r="B172" s="17" t="s">
        <v>0</v>
      </c>
      <c r="C172" s="44" t="s">
        <v>139</v>
      </c>
      <c r="D172" s="22" t="s">
        <v>9</v>
      </c>
      <c r="E172" s="20">
        <v>2</v>
      </c>
      <c r="F172" s="17" t="s">
        <v>120</v>
      </c>
      <c r="G172" s="17" t="s">
        <v>121</v>
      </c>
      <c r="H172" s="17" t="s">
        <v>122</v>
      </c>
      <c r="I172" s="17" t="s">
        <v>123</v>
      </c>
      <c r="J172" s="27" t="s">
        <v>140</v>
      </c>
      <c r="K172" s="29">
        <v>347</v>
      </c>
      <c r="L172" s="31">
        <v>92643.149999370013</v>
      </c>
      <c r="M172" s="31">
        <v>35159.420000167003</v>
      </c>
      <c r="N172" s="31">
        <v>27008.110000011999</v>
      </c>
      <c r="O172" s="34">
        <f t="shared" si="24"/>
        <v>0.37951451348973014</v>
      </c>
      <c r="P172" s="34">
        <f t="shared" si="25"/>
        <v>0.76816142017939182</v>
      </c>
      <c r="Q172" s="34">
        <f t="shared" si="26"/>
        <v>0.6204854865102698</v>
      </c>
      <c r="R172" s="46">
        <f t="shared" si="27"/>
        <v>77.833170028853019</v>
      </c>
    </row>
    <row r="173" spans="2:18" ht="12.75" customHeight="1" x14ac:dyDescent="0.25">
      <c r="B173" s="17" t="s">
        <v>0</v>
      </c>
      <c r="C173" s="44" t="s">
        <v>141</v>
      </c>
      <c r="D173" s="22" t="s">
        <v>9</v>
      </c>
      <c r="E173" s="20">
        <v>2</v>
      </c>
      <c r="F173" s="17" t="s">
        <v>120</v>
      </c>
      <c r="G173" s="17" t="s">
        <v>121</v>
      </c>
      <c r="H173" s="17" t="s">
        <v>122</v>
      </c>
      <c r="I173" s="17" t="s">
        <v>123</v>
      </c>
      <c r="J173" s="27" t="s">
        <v>142</v>
      </c>
      <c r="K173" s="29">
        <v>895</v>
      </c>
      <c r="L173" s="31">
        <v>52110.000000004999</v>
      </c>
      <c r="M173" s="31">
        <v>33628.579999995003</v>
      </c>
      <c r="N173" s="31">
        <v>25893.050000063002</v>
      </c>
      <c r="O173" s="34">
        <f t="shared" si="24"/>
        <v>0.6453383227785795</v>
      </c>
      <c r="P173" s="34">
        <f t="shared" si="25"/>
        <v>0.76997155395996053</v>
      </c>
      <c r="Q173" s="34">
        <f t="shared" si="26"/>
        <v>0.3546616772214205</v>
      </c>
      <c r="R173" s="46">
        <f t="shared" si="27"/>
        <v>28.930782122975423</v>
      </c>
    </row>
    <row r="174" spans="2:18" ht="12.75" customHeight="1" x14ac:dyDescent="0.25">
      <c r="B174" s="17" t="s">
        <v>0</v>
      </c>
      <c r="C174" s="44" t="s">
        <v>26</v>
      </c>
      <c r="D174" s="22" t="s">
        <v>9</v>
      </c>
      <c r="E174" s="20">
        <v>2</v>
      </c>
      <c r="F174" s="17" t="s">
        <v>120</v>
      </c>
      <c r="G174" s="17" t="s">
        <v>121</v>
      </c>
      <c r="H174" s="17" t="s">
        <v>122</v>
      </c>
      <c r="I174" s="17" t="s">
        <v>123</v>
      </c>
      <c r="J174" s="27" t="s">
        <v>27</v>
      </c>
      <c r="K174" s="29">
        <v>363</v>
      </c>
      <c r="L174" s="31">
        <v>49259.999999849999</v>
      </c>
      <c r="M174" s="31">
        <v>25762.280000366001</v>
      </c>
      <c r="N174" s="31">
        <v>20376.549999982002</v>
      </c>
      <c r="O174" s="34">
        <f t="shared" ref="O174:O205" si="28">IFERROR(M174/L174,0)</f>
        <v>0.52298578969639564</v>
      </c>
      <c r="P174" s="34">
        <f t="shared" ref="P174:P205" si="29">IFERROR(N174/M174,0)</f>
        <v>0.79094513372622743</v>
      </c>
      <c r="Q174" s="34">
        <f t="shared" ref="Q174:Q205" si="30">IFERROR(1-(M174/L174),0)</f>
        <v>0.47701421030360436</v>
      </c>
      <c r="R174" s="46">
        <f t="shared" ref="R174:R205" si="31">IFERROR(N174/K174,0)</f>
        <v>56.133746556424249</v>
      </c>
    </row>
    <row r="175" spans="2:18" ht="12.75" customHeight="1" x14ac:dyDescent="0.25">
      <c r="B175" s="17" t="s">
        <v>0</v>
      </c>
      <c r="C175" s="44" t="s">
        <v>22</v>
      </c>
      <c r="D175" s="22" t="s">
        <v>9</v>
      </c>
      <c r="E175" s="20">
        <v>2</v>
      </c>
      <c r="F175" s="17" t="s">
        <v>120</v>
      </c>
      <c r="G175" s="17" t="s">
        <v>121</v>
      </c>
      <c r="H175" s="17" t="s">
        <v>122</v>
      </c>
      <c r="I175" s="17" t="s">
        <v>123</v>
      </c>
      <c r="J175" s="27" t="s">
        <v>23</v>
      </c>
      <c r="K175" s="29">
        <v>532</v>
      </c>
      <c r="L175" s="31">
        <v>50054.620000068004</v>
      </c>
      <c r="M175" s="31">
        <v>24232.129999823002</v>
      </c>
      <c r="N175" s="31">
        <v>19864.810000001002</v>
      </c>
      <c r="O175" s="34">
        <f t="shared" si="28"/>
        <v>0.48411375413078916</v>
      </c>
      <c r="P175" s="34">
        <f t="shared" si="29"/>
        <v>0.81977151823410077</v>
      </c>
      <c r="Q175" s="34">
        <f t="shared" si="30"/>
        <v>0.51588624586921084</v>
      </c>
      <c r="R175" s="46">
        <f t="shared" si="31"/>
        <v>37.339868421054511</v>
      </c>
    </row>
    <row r="176" spans="2:18" ht="12.75" customHeight="1" x14ac:dyDescent="0.25">
      <c r="B176" s="17" t="s">
        <v>0</v>
      </c>
      <c r="C176" s="44" t="s">
        <v>110</v>
      </c>
      <c r="D176" s="22" t="s">
        <v>9</v>
      </c>
      <c r="E176" s="20">
        <v>2</v>
      </c>
      <c r="F176" s="17" t="s">
        <v>120</v>
      </c>
      <c r="G176" s="17" t="s">
        <v>121</v>
      </c>
      <c r="H176" s="17" t="s">
        <v>122</v>
      </c>
      <c r="I176" s="17" t="s">
        <v>123</v>
      </c>
      <c r="J176" s="27" t="s">
        <v>111</v>
      </c>
      <c r="K176" s="29">
        <v>1260</v>
      </c>
      <c r="L176" s="31">
        <v>78983.239999969999</v>
      </c>
      <c r="M176" s="31">
        <v>22347.499999997504</v>
      </c>
      <c r="N176" s="31">
        <v>16879.320000066702</v>
      </c>
      <c r="O176" s="34">
        <f t="shared" si="28"/>
        <v>0.28293977304559792</v>
      </c>
      <c r="P176" s="34">
        <f t="shared" si="29"/>
        <v>0.7553113323668682</v>
      </c>
      <c r="Q176" s="34">
        <f t="shared" si="30"/>
        <v>0.71706022695440208</v>
      </c>
      <c r="R176" s="46">
        <f t="shared" si="31"/>
        <v>13.396285714338653</v>
      </c>
    </row>
    <row r="177" spans="2:18" ht="12.75" customHeight="1" x14ac:dyDescent="0.25">
      <c r="B177" s="17" t="s">
        <v>0</v>
      </c>
      <c r="C177" s="44" t="s">
        <v>44</v>
      </c>
      <c r="D177" s="22" t="s">
        <v>9</v>
      </c>
      <c r="E177" s="20">
        <v>2</v>
      </c>
      <c r="F177" s="17" t="s">
        <v>120</v>
      </c>
      <c r="G177" s="17" t="s">
        <v>121</v>
      </c>
      <c r="H177" s="17" t="s">
        <v>122</v>
      </c>
      <c r="I177" s="17" t="s">
        <v>123</v>
      </c>
      <c r="J177" s="27" t="s">
        <v>45</v>
      </c>
      <c r="K177" s="29">
        <v>1384</v>
      </c>
      <c r="L177" s="31">
        <v>46440.100000059996</v>
      </c>
      <c r="M177" s="31">
        <v>16208.539999968205</v>
      </c>
      <c r="N177" s="31">
        <v>15597.979999966805</v>
      </c>
      <c r="O177" s="34">
        <f t="shared" si="28"/>
        <v>0.34902035094556783</v>
      </c>
      <c r="P177" s="34">
        <f t="shared" si="29"/>
        <v>0.96233096873607382</v>
      </c>
      <c r="Q177" s="34">
        <f t="shared" si="30"/>
        <v>0.65097964905443217</v>
      </c>
      <c r="R177" s="46">
        <f t="shared" si="31"/>
        <v>11.270216762981795</v>
      </c>
    </row>
    <row r="178" spans="2:18" ht="12.75" customHeight="1" x14ac:dyDescent="0.25">
      <c r="B178" s="17" t="s">
        <v>0</v>
      </c>
      <c r="C178" s="44" t="s">
        <v>135</v>
      </c>
      <c r="D178" s="22" t="s">
        <v>2</v>
      </c>
      <c r="E178" s="20">
        <v>1</v>
      </c>
      <c r="F178" s="17" t="s">
        <v>120</v>
      </c>
      <c r="G178" s="17" t="s">
        <v>121</v>
      </c>
      <c r="H178" s="17" t="s">
        <v>122</v>
      </c>
      <c r="I178" s="17" t="s">
        <v>123</v>
      </c>
      <c r="J178" s="27" t="s">
        <v>136</v>
      </c>
      <c r="K178" s="29">
        <v>157</v>
      </c>
      <c r="L178" s="31">
        <v>43511.000000090004</v>
      </c>
      <c r="M178" s="31">
        <v>19859.640000198</v>
      </c>
      <c r="N178" s="31">
        <v>15208.32999989</v>
      </c>
      <c r="O178" s="34">
        <f t="shared" si="28"/>
        <v>0.45642802969724711</v>
      </c>
      <c r="P178" s="34">
        <f t="shared" si="29"/>
        <v>0.76579081996140785</v>
      </c>
      <c r="Q178" s="34">
        <f t="shared" si="30"/>
        <v>0.54357197030275284</v>
      </c>
      <c r="R178" s="46">
        <f t="shared" si="31"/>
        <v>96.868343948343949</v>
      </c>
    </row>
    <row r="179" spans="2:18" ht="12.75" customHeight="1" x14ac:dyDescent="0.25">
      <c r="B179" s="17" t="s">
        <v>0</v>
      </c>
      <c r="C179" s="44" t="s">
        <v>68</v>
      </c>
      <c r="D179" s="22" t="s">
        <v>9</v>
      </c>
      <c r="E179" s="20">
        <v>2</v>
      </c>
      <c r="F179" s="17" t="s">
        <v>120</v>
      </c>
      <c r="G179" s="17" t="s">
        <v>121</v>
      </c>
      <c r="H179" s="17" t="s">
        <v>122</v>
      </c>
      <c r="I179" s="17" t="s">
        <v>123</v>
      </c>
      <c r="J179" s="27" t="s">
        <v>69</v>
      </c>
      <c r="K179" s="29">
        <v>378</v>
      </c>
      <c r="L179" s="31">
        <v>22063.16</v>
      </c>
      <c r="M179" s="31">
        <v>17961.089999958698</v>
      </c>
      <c r="N179" s="31">
        <v>14809.3299999589</v>
      </c>
      <c r="O179" s="34">
        <f t="shared" si="28"/>
        <v>0.81407604350232232</v>
      </c>
      <c r="P179" s="34">
        <f t="shared" si="29"/>
        <v>0.82452289922231636</v>
      </c>
      <c r="Q179" s="34">
        <f t="shared" si="30"/>
        <v>0.18592395649767768</v>
      </c>
      <c r="R179" s="46">
        <f t="shared" si="31"/>
        <v>39.178121693012962</v>
      </c>
    </row>
    <row r="180" spans="2:18" ht="12.75" customHeight="1" x14ac:dyDescent="0.25">
      <c r="B180" s="17" t="s">
        <v>0</v>
      </c>
      <c r="C180" s="44" t="s">
        <v>90</v>
      </c>
      <c r="D180" s="22" t="s">
        <v>9</v>
      </c>
      <c r="E180" s="20">
        <v>2</v>
      </c>
      <c r="F180" s="17" t="s">
        <v>120</v>
      </c>
      <c r="G180" s="17" t="s">
        <v>121</v>
      </c>
      <c r="H180" s="17" t="s">
        <v>122</v>
      </c>
      <c r="I180" s="17" t="s">
        <v>123</v>
      </c>
      <c r="J180" s="27" t="s">
        <v>91</v>
      </c>
      <c r="K180" s="29">
        <v>676</v>
      </c>
      <c r="L180" s="31">
        <v>100700</v>
      </c>
      <c r="M180" s="31">
        <v>13900.190000188401</v>
      </c>
      <c r="N180" s="31">
        <v>10830.8700000482</v>
      </c>
      <c r="O180" s="34">
        <f t="shared" si="28"/>
        <v>0.1380356504487428</v>
      </c>
      <c r="P180" s="34">
        <f t="shared" si="29"/>
        <v>0.77918862978861447</v>
      </c>
      <c r="Q180" s="34">
        <f t="shared" si="30"/>
        <v>0.86196434955125723</v>
      </c>
      <c r="R180" s="46">
        <f t="shared" si="31"/>
        <v>16.021997041491421</v>
      </c>
    </row>
    <row r="181" spans="2:18" ht="12.75" customHeight="1" x14ac:dyDescent="0.25">
      <c r="B181" s="17" t="s">
        <v>0</v>
      </c>
      <c r="C181" s="44" t="s">
        <v>32</v>
      </c>
      <c r="D181" s="22" t="s">
        <v>9</v>
      </c>
      <c r="E181" s="20">
        <v>2</v>
      </c>
      <c r="F181" s="17" t="s">
        <v>120</v>
      </c>
      <c r="G181" s="17" t="s">
        <v>121</v>
      </c>
      <c r="H181" s="17" t="s">
        <v>122</v>
      </c>
      <c r="I181" s="17" t="s">
        <v>123</v>
      </c>
      <c r="J181" s="27" t="s">
        <v>33</v>
      </c>
      <c r="K181" s="29">
        <v>256</v>
      </c>
      <c r="L181" s="31">
        <v>31746</v>
      </c>
      <c r="M181" s="31">
        <v>13230.720000000001</v>
      </c>
      <c r="N181" s="31">
        <v>10568.24</v>
      </c>
      <c r="O181" s="34">
        <f t="shared" si="28"/>
        <v>0.41676809676809679</v>
      </c>
      <c r="P181" s="34">
        <f t="shared" si="29"/>
        <v>0.79876529773134031</v>
      </c>
      <c r="Q181" s="34">
        <f t="shared" si="30"/>
        <v>0.58323190323190321</v>
      </c>
      <c r="R181" s="46">
        <f t="shared" si="31"/>
        <v>41.282187499999999</v>
      </c>
    </row>
    <row r="182" spans="2:18" ht="12.75" customHeight="1" x14ac:dyDescent="0.25">
      <c r="B182" s="17" t="s">
        <v>0</v>
      </c>
      <c r="C182" s="44" t="s">
        <v>143</v>
      </c>
      <c r="D182" s="22" t="s">
        <v>9</v>
      </c>
      <c r="E182" s="20">
        <v>2</v>
      </c>
      <c r="F182" s="17" t="s">
        <v>120</v>
      </c>
      <c r="G182" s="17" t="s">
        <v>121</v>
      </c>
      <c r="H182" s="17" t="s">
        <v>122</v>
      </c>
      <c r="I182" s="17" t="s">
        <v>123</v>
      </c>
      <c r="J182" s="27" t="s">
        <v>144</v>
      </c>
      <c r="K182" s="29">
        <v>678</v>
      </c>
      <c r="L182" s="31">
        <v>21327.920000063001</v>
      </c>
      <c r="M182" s="31">
        <v>13333.53999997</v>
      </c>
      <c r="N182" s="31">
        <v>10290.410000005999</v>
      </c>
      <c r="O182" s="34">
        <f t="shared" si="28"/>
        <v>0.62516832395895217</v>
      </c>
      <c r="P182" s="34">
        <f t="shared" si="29"/>
        <v>0.77176878758597878</v>
      </c>
      <c r="Q182" s="34">
        <f t="shared" si="30"/>
        <v>0.37483167604104783</v>
      </c>
      <c r="R182" s="46">
        <f t="shared" si="31"/>
        <v>15.177595870215338</v>
      </c>
    </row>
    <row r="183" spans="2:18" ht="12.75" customHeight="1" x14ac:dyDescent="0.25">
      <c r="B183" s="17" t="s">
        <v>0</v>
      </c>
      <c r="C183" s="44" t="s">
        <v>30</v>
      </c>
      <c r="D183" s="22" t="s">
        <v>2</v>
      </c>
      <c r="E183" s="20">
        <v>1</v>
      </c>
      <c r="F183" s="17" t="s">
        <v>120</v>
      </c>
      <c r="G183" s="17" t="s">
        <v>121</v>
      </c>
      <c r="H183" s="17" t="s">
        <v>122</v>
      </c>
      <c r="I183" s="17" t="s">
        <v>123</v>
      </c>
      <c r="J183" s="27" t="s">
        <v>31</v>
      </c>
      <c r="K183" s="29">
        <v>465</v>
      </c>
      <c r="L183" s="31">
        <v>27316.909999845</v>
      </c>
      <c r="M183" s="31">
        <v>8161.5899999930007</v>
      </c>
      <c r="N183" s="31">
        <v>8161.5899999930007</v>
      </c>
      <c r="O183" s="34">
        <f t="shared" si="28"/>
        <v>0.29877427571563953</v>
      </c>
      <c r="P183" s="34">
        <f t="shared" si="29"/>
        <v>1</v>
      </c>
      <c r="Q183" s="34">
        <f t="shared" si="30"/>
        <v>0.70122572428436047</v>
      </c>
      <c r="R183" s="46">
        <f t="shared" si="31"/>
        <v>17.551806451597852</v>
      </c>
    </row>
    <row r="184" spans="2:18" ht="12.75" customHeight="1" x14ac:dyDescent="0.25">
      <c r="B184" s="17" t="s">
        <v>0</v>
      </c>
      <c r="C184" s="44" t="s">
        <v>70</v>
      </c>
      <c r="D184" s="22" t="s">
        <v>9</v>
      </c>
      <c r="E184" s="20">
        <v>2</v>
      </c>
      <c r="F184" s="17" t="s">
        <v>120</v>
      </c>
      <c r="G184" s="17" t="s">
        <v>121</v>
      </c>
      <c r="H184" s="17" t="s">
        <v>122</v>
      </c>
      <c r="I184" s="17" t="s">
        <v>123</v>
      </c>
      <c r="J184" s="27" t="s">
        <v>71</v>
      </c>
      <c r="K184" s="29">
        <v>439</v>
      </c>
      <c r="L184" s="31">
        <v>33634.710000259998</v>
      </c>
      <c r="M184" s="31">
        <v>9383.3099999770002</v>
      </c>
      <c r="N184" s="31">
        <v>8018.0400000162999</v>
      </c>
      <c r="O184" s="34">
        <f t="shared" si="28"/>
        <v>0.27897698537922483</v>
      </c>
      <c r="P184" s="34">
        <f t="shared" si="29"/>
        <v>0.85450017105221432</v>
      </c>
      <c r="Q184" s="34">
        <f t="shared" si="30"/>
        <v>0.72102301462077523</v>
      </c>
      <c r="R184" s="46">
        <f t="shared" si="31"/>
        <v>18.264328018260365</v>
      </c>
    </row>
    <row r="185" spans="2:18" ht="12.75" customHeight="1" x14ac:dyDescent="0.25">
      <c r="B185" s="17" t="s">
        <v>0</v>
      </c>
      <c r="C185" s="44" t="s">
        <v>38</v>
      </c>
      <c r="D185" s="22" t="s">
        <v>9</v>
      </c>
      <c r="E185" s="20">
        <v>2</v>
      </c>
      <c r="F185" s="17" t="s">
        <v>120</v>
      </c>
      <c r="G185" s="17" t="s">
        <v>121</v>
      </c>
      <c r="H185" s="17" t="s">
        <v>122</v>
      </c>
      <c r="I185" s="17" t="s">
        <v>123</v>
      </c>
      <c r="J185" s="27" t="s">
        <v>39</v>
      </c>
      <c r="K185" s="29">
        <v>445</v>
      </c>
      <c r="L185" s="31">
        <v>21608</v>
      </c>
      <c r="M185" s="31">
        <v>7793.8099999330007</v>
      </c>
      <c r="N185" s="31">
        <v>7793.8099999330007</v>
      </c>
      <c r="O185" s="34">
        <f t="shared" si="28"/>
        <v>0.36069094779401151</v>
      </c>
      <c r="P185" s="34">
        <f t="shared" si="29"/>
        <v>1</v>
      </c>
      <c r="Q185" s="34">
        <f t="shared" si="30"/>
        <v>0.63930905220598855</v>
      </c>
      <c r="R185" s="46">
        <f t="shared" si="31"/>
        <v>17.514179775130337</v>
      </c>
    </row>
    <row r="186" spans="2:18" ht="12.75" customHeight="1" x14ac:dyDescent="0.25">
      <c r="B186" s="17" t="s">
        <v>0</v>
      </c>
      <c r="C186" s="44" t="s">
        <v>48</v>
      </c>
      <c r="D186" s="22" t="s">
        <v>9</v>
      </c>
      <c r="E186" s="20">
        <v>2</v>
      </c>
      <c r="F186" s="17" t="s">
        <v>120</v>
      </c>
      <c r="G186" s="17" t="s">
        <v>121</v>
      </c>
      <c r="H186" s="17" t="s">
        <v>122</v>
      </c>
      <c r="I186" s="17" t="s">
        <v>123</v>
      </c>
      <c r="J186" s="27" t="s">
        <v>49</v>
      </c>
      <c r="K186" s="29">
        <v>282</v>
      </c>
      <c r="L186" s="31">
        <v>27114.400000000001</v>
      </c>
      <c r="M186" s="31">
        <v>8787.890000037798</v>
      </c>
      <c r="N186" s="31">
        <v>6742.0999999327996</v>
      </c>
      <c r="O186" s="34">
        <f t="shared" si="28"/>
        <v>0.32410416605338116</v>
      </c>
      <c r="P186" s="34">
        <f t="shared" si="29"/>
        <v>0.76720350390182412</v>
      </c>
      <c r="Q186" s="34">
        <f t="shared" si="30"/>
        <v>0.67589583394661878</v>
      </c>
      <c r="R186" s="46">
        <f t="shared" si="31"/>
        <v>23.908156028130495</v>
      </c>
    </row>
    <row r="187" spans="2:18" ht="12.75" customHeight="1" x14ac:dyDescent="0.25">
      <c r="B187" s="17" t="s">
        <v>0</v>
      </c>
      <c r="C187" s="44" t="s">
        <v>145</v>
      </c>
      <c r="D187" s="22" t="s">
        <v>9</v>
      </c>
      <c r="E187" s="20">
        <v>2</v>
      </c>
      <c r="F187" s="17" t="s">
        <v>120</v>
      </c>
      <c r="G187" s="17" t="s">
        <v>121</v>
      </c>
      <c r="H187" s="17" t="s">
        <v>122</v>
      </c>
      <c r="I187" s="17" t="s">
        <v>123</v>
      </c>
      <c r="J187" s="27" t="s">
        <v>146</v>
      </c>
      <c r="K187" s="29">
        <v>228</v>
      </c>
      <c r="L187" s="31">
        <v>15268.559999988</v>
      </c>
      <c r="M187" s="31">
        <v>8202.8000000101001</v>
      </c>
      <c r="N187" s="31">
        <v>6589.8499999193</v>
      </c>
      <c r="O187" s="34">
        <f t="shared" si="28"/>
        <v>0.53723468355997861</v>
      </c>
      <c r="P187" s="34">
        <f t="shared" si="29"/>
        <v>0.80336592382005967</v>
      </c>
      <c r="Q187" s="34">
        <f t="shared" si="30"/>
        <v>0.46276531644002139</v>
      </c>
      <c r="R187" s="46">
        <f t="shared" si="31"/>
        <v>28.902850876839036</v>
      </c>
    </row>
    <row r="188" spans="2:18" ht="12.75" customHeight="1" x14ac:dyDescent="0.25">
      <c r="B188" s="17" t="s">
        <v>0</v>
      </c>
      <c r="C188" s="44" t="s">
        <v>44</v>
      </c>
      <c r="D188" s="22" t="s">
        <v>2</v>
      </c>
      <c r="E188" s="20">
        <v>1</v>
      </c>
      <c r="F188" s="17" t="s">
        <v>120</v>
      </c>
      <c r="G188" s="17" t="s">
        <v>121</v>
      </c>
      <c r="H188" s="17" t="s">
        <v>122</v>
      </c>
      <c r="I188" s="17" t="s">
        <v>123</v>
      </c>
      <c r="J188" s="27" t="s">
        <v>45</v>
      </c>
      <c r="K188" s="29">
        <v>397</v>
      </c>
      <c r="L188" s="31">
        <v>15347</v>
      </c>
      <c r="M188" s="31">
        <v>6094.240000019</v>
      </c>
      <c r="N188" s="31">
        <v>6094.240000019</v>
      </c>
      <c r="O188" s="34">
        <f t="shared" si="28"/>
        <v>0.39709650094604809</v>
      </c>
      <c r="P188" s="34">
        <f t="shared" si="29"/>
        <v>1</v>
      </c>
      <c r="Q188" s="34">
        <f t="shared" si="30"/>
        <v>0.60290349905395191</v>
      </c>
      <c r="R188" s="46">
        <f t="shared" si="31"/>
        <v>15.35073047863728</v>
      </c>
    </row>
    <row r="189" spans="2:18" ht="12.75" customHeight="1" x14ac:dyDescent="0.25">
      <c r="B189" s="17" t="s">
        <v>0</v>
      </c>
      <c r="C189" s="44" t="s">
        <v>96</v>
      </c>
      <c r="D189" s="22" t="s">
        <v>9</v>
      </c>
      <c r="E189" s="20">
        <v>2</v>
      </c>
      <c r="F189" s="17" t="s">
        <v>120</v>
      </c>
      <c r="G189" s="17" t="s">
        <v>121</v>
      </c>
      <c r="H189" s="17" t="s">
        <v>122</v>
      </c>
      <c r="I189" s="17" t="s">
        <v>123</v>
      </c>
      <c r="J189" s="27" t="s">
        <v>97</v>
      </c>
      <c r="K189" s="29">
        <v>492</v>
      </c>
      <c r="L189" s="31">
        <v>33920.610000089997</v>
      </c>
      <c r="M189" s="31">
        <v>7549.7899999319998</v>
      </c>
      <c r="N189" s="31">
        <v>5797.0000000034997</v>
      </c>
      <c r="O189" s="34">
        <f t="shared" si="28"/>
        <v>0.22257235350166077</v>
      </c>
      <c r="P189" s="34">
        <f t="shared" si="29"/>
        <v>0.76783592656957511</v>
      </c>
      <c r="Q189" s="34">
        <f t="shared" si="30"/>
        <v>0.77742764649833918</v>
      </c>
      <c r="R189" s="46">
        <f t="shared" si="31"/>
        <v>11.782520325210365</v>
      </c>
    </row>
    <row r="190" spans="2:18" ht="12.75" customHeight="1" x14ac:dyDescent="0.25">
      <c r="B190" s="17" t="s">
        <v>0</v>
      </c>
      <c r="C190" s="44" t="s">
        <v>28</v>
      </c>
      <c r="D190" s="22" t="s">
        <v>9</v>
      </c>
      <c r="E190" s="20">
        <v>2</v>
      </c>
      <c r="F190" s="17" t="s">
        <v>120</v>
      </c>
      <c r="G190" s="17" t="s">
        <v>121</v>
      </c>
      <c r="H190" s="17" t="s">
        <v>122</v>
      </c>
      <c r="I190" s="17" t="s">
        <v>123</v>
      </c>
      <c r="J190" s="27" t="s">
        <v>29</v>
      </c>
      <c r="K190" s="29">
        <v>230</v>
      </c>
      <c r="L190" s="31">
        <v>11637.630000000001</v>
      </c>
      <c r="M190" s="31">
        <v>4948.9199999712</v>
      </c>
      <c r="N190" s="31">
        <v>4281.0399999647998</v>
      </c>
      <c r="O190" s="34">
        <f t="shared" si="28"/>
        <v>0.42525153317051662</v>
      </c>
      <c r="P190" s="34">
        <f t="shared" si="29"/>
        <v>0.86504530281146452</v>
      </c>
      <c r="Q190" s="34">
        <f t="shared" si="30"/>
        <v>0.57474846682948333</v>
      </c>
      <c r="R190" s="46">
        <f t="shared" si="31"/>
        <v>18.613217391151302</v>
      </c>
    </row>
    <row r="191" spans="2:18" ht="12.75" customHeight="1" x14ac:dyDescent="0.25">
      <c r="B191" s="17" t="s">
        <v>0</v>
      </c>
      <c r="C191" s="44" t="s">
        <v>147</v>
      </c>
      <c r="D191" s="22" t="s">
        <v>2</v>
      </c>
      <c r="E191" s="20">
        <v>1</v>
      </c>
      <c r="F191" s="17" t="s">
        <v>120</v>
      </c>
      <c r="G191" s="17" t="s">
        <v>121</v>
      </c>
      <c r="H191" s="17" t="s">
        <v>122</v>
      </c>
      <c r="I191" s="17" t="s">
        <v>123</v>
      </c>
      <c r="J191" s="27" t="s">
        <v>148</v>
      </c>
      <c r="K191" s="29">
        <v>30</v>
      </c>
      <c r="L191" s="31">
        <v>13841.000000099999</v>
      </c>
      <c r="M191" s="31">
        <v>4906.2200001000001</v>
      </c>
      <c r="N191" s="31">
        <v>3776.3700000000003</v>
      </c>
      <c r="O191" s="34">
        <f t="shared" si="28"/>
        <v>0.35447005274651783</v>
      </c>
      <c r="P191" s="34">
        <f t="shared" si="29"/>
        <v>0.76971069375670664</v>
      </c>
      <c r="Q191" s="34">
        <f t="shared" si="30"/>
        <v>0.64552994725348212</v>
      </c>
      <c r="R191" s="46">
        <f t="shared" si="31"/>
        <v>125.879</v>
      </c>
    </row>
    <row r="192" spans="2:18" ht="12.75" customHeight="1" x14ac:dyDescent="0.25">
      <c r="B192" s="17" t="s">
        <v>0</v>
      </c>
      <c r="C192" s="44" t="s">
        <v>18</v>
      </c>
      <c r="D192" s="22" t="s">
        <v>9</v>
      </c>
      <c r="E192" s="20">
        <v>2</v>
      </c>
      <c r="F192" s="17" t="s">
        <v>120</v>
      </c>
      <c r="G192" s="17" t="s">
        <v>121</v>
      </c>
      <c r="H192" s="17" t="s">
        <v>122</v>
      </c>
      <c r="I192" s="17" t="s">
        <v>123</v>
      </c>
      <c r="J192" s="27" t="s">
        <v>19</v>
      </c>
      <c r="K192" s="29">
        <v>67</v>
      </c>
      <c r="L192" s="31">
        <v>7740.0000000720001</v>
      </c>
      <c r="M192" s="31">
        <v>4612.0500000680004</v>
      </c>
      <c r="N192" s="31">
        <v>3674.6800000120002</v>
      </c>
      <c r="O192" s="34">
        <f t="shared" si="28"/>
        <v>0.59587209302649835</v>
      </c>
      <c r="P192" s="34">
        <f t="shared" si="29"/>
        <v>0.79675632310096822</v>
      </c>
      <c r="Q192" s="34">
        <f t="shared" si="30"/>
        <v>0.40412790697350165</v>
      </c>
      <c r="R192" s="46">
        <f t="shared" si="31"/>
        <v>54.845970149432837</v>
      </c>
    </row>
    <row r="193" spans="2:18" ht="12.75" customHeight="1" x14ac:dyDescent="0.25">
      <c r="B193" s="17" t="s">
        <v>0</v>
      </c>
      <c r="C193" s="44" t="s">
        <v>94</v>
      </c>
      <c r="D193" s="22" t="s">
        <v>9</v>
      </c>
      <c r="E193" s="20">
        <v>2</v>
      </c>
      <c r="F193" s="17" t="s">
        <v>120</v>
      </c>
      <c r="G193" s="17" t="s">
        <v>121</v>
      </c>
      <c r="H193" s="17" t="s">
        <v>122</v>
      </c>
      <c r="I193" s="17" t="s">
        <v>123</v>
      </c>
      <c r="J193" s="27" t="s">
        <v>95</v>
      </c>
      <c r="K193" s="29">
        <v>380</v>
      </c>
      <c r="L193" s="31">
        <v>11477.919999999702</v>
      </c>
      <c r="M193" s="31">
        <v>4346.0899999062003</v>
      </c>
      <c r="N193" s="31">
        <v>3171.5599999317001</v>
      </c>
      <c r="O193" s="34">
        <f t="shared" si="28"/>
        <v>0.37864787347414108</v>
      </c>
      <c r="P193" s="34">
        <f t="shared" si="29"/>
        <v>0.72975018925060231</v>
      </c>
      <c r="Q193" s="34">
        <f t="shared" si="30"/>
        <v>0.62135212652585892</v>
      </c>
      <c r="R193" s="46">
        <f t="shared" si="31"/>
        <v>8.3462105261360531</v>
      </c>
    </row>
    <row r="194" spans="2:18" ht="12.75" customHeight="1" x14ac:dyDescent="0.25">
      <c r="B194" s="17" t="s">
        <v>0</v>
      </c>
      <c r="C194" s="44" t="s">
        <v>149</v>
      </c>
      <c r="D194" s="22" t="s">
        <v>9</v>
      </c>
      <c r="E194" s="20">
        <v>2</v>
      </c>
      <c r="F194" s="17" t="s">
        <v>120</v>
      </c>
      <c r="G194" s="17" t="s">
        <v>121</v>
      </c>
      <c r="H194" s="17" t="s">
        <v>122</v>
      </c>
      <c r="I194" s="17" t="s">
        <v>123</v>
      </c>
      <c r="J194" s="27" t="s">
        <v>150</v>
      </c>
      <c r="K194" s="29">
        <v>432</v>
      </c>
      <c r="L194" s="31">
        <v>14009</v>
      </c>
      <c r="M194" s="31">
        <v>3390.8199999355998</v>
      </c>
      <c r="N194" s="31">
        <v>3057.4299999199998</v>
      </c>
      <c r="O194" s="34">
        <f t="shared" si="28"/>
        <v>0.24204582767760724</v>
      </c>
      <c r="P194" s="34">
        <f t="shared" si="29"/>
        <v>0.90167864999559633</v>
      </c>
      <c r="Q194" s="34">
        <f t="shared" si="30"/>
        <v>0.75795417232239282</v>
      </c>
      <c r="R194" s="46">
        <f t="shared" si="31"/>
        <v>7.0773842590740736</v>
      </c>
    </row>
    <row r="195" spans="2:18" ht="12.75" customHeight="1" x14ac:dyDescent="0.25">
      <c r="B195" s="17" t="s">
        <v>0</v>
      </c>
      <c r="C195" s="44" t="s">
        <v>64</v>
      </c>
      <c r="D195" s="22" t="s">
        <v>9</v>
      </c>
      <c r="E195" s="20">
        <v>2</v>
      </c>
      <c r="F195" s="17" t="s">
        <v>120</v>
      </c>
      <c r="G195" s="17" t="s">
        <v>121</v>
      </c>
      <c r="H195" s="17" t="s">
        <v>122</v>
      </c>
      <c r="I195" s="17" t="s">
        <v>123</v>
      </c>
      <c r="J195" s="27" t="s">
        <v>65</v>
      </c>
      <c r="K195" s="29">
        <v>48</v>
      </c>
      <c r="L195" s="31">
        <v>6360.0000000999999</v>
      </c>
      <c r="M195" s="31">
        <v>3472.6799999200002</v>
      </c>
      <c r="N195" s="31">
        <v>2766.8999999949997</v>
      </c>
      <c r="O195" s="34">
        <f t="shared" si="28"/>
        <v>0.54601886790336451</v>
      </c>
      <c r="P195" s="34">
        <f t="shared" si="29"/>
        <v>0.79676215489441593</v>
      </c>
      <c r="Q195" s="34">
        <f t="shared" si="30"/>
        <v>0.45398113209663549</v>
      </c>
      <c r="R195" s="46">
        <f t="shared" si="31"/>
        <v>57.643749999895824</v>
      </c>
    </row>
    <row r="196" spans="2:18" ht="12.75" customHeight="1" x14ac:dyDescent="0.25">
      <c r="B196" s="17" t="s">
        <v>0</v>
      </c>
      <c r="C196" s="44" t="s">
        <v>66</v>
      </c>
      <c r="D196" s="22" t="s">
        <v>2</v>
      </c>
      <c r="E196" s="20">
        <v>1</v>
      </c>
      <c r="F196" s="17" t="s">
        <v>120</v>
      </c>
      <c r="G196" s="17" t="s">
        <v>121</v>
      </c>
      <c r="H196" s="17" t="s">
        <v>122</v>
      </c>
      <c r="I196" s="17" t="s">
        <v>123</v>
      </c>
      <c r="J196" s="27" t="s">
        <v>67</v>
      </c>
      <c r="K196" s="29">
        <v>65</v>
      </c>
      <c r="L196" s="31">
        <v>10161</v>
      </c>
      <c r="M196" s="31">
        <v>2800.4599999980001</v>
      </c>
      <c r="N196" s="31">
        <v>2207.9699999889999</v>
      </c>
      <c r="O196" s="34">
        <f t="shared" si="28"/>
        <v>0.2756086999309123</v>
      </c>
      <c r="P196" s="34">
        <f t="shared" si="29"/>
        <v>0.78843118630174214</v>
      </c>
      <c r="Q196" s="34">
        <f t="shared" si="30"/>
        <v>0.7243913000690877</v>
      </c>
      <c r="R196" s="46">
        <f t="shared" si="31"/>
        <v>33.968769230599996</v>
      </c>
    </row>
    <row r="197" spans="2:18" ht="12.75" customHeight="1" x14ac:dyDescent="0.25">
      <c r="B197" s="17" t="s">
        <v>0</v>
      </c>
      <c r="C197" s="44" t="s">
        <v>151</v>
      </c>
      <c r="D197" s="22" t="s">
        <v>9</v>
      </c>
      <c r="E197" s="20">
        <v>2</v>
      </c>
      <c r="F197" s="17" t="s">
        <v>120</v>
      </c>
      <c r="G197" s="17" t="s">
        <v>121</v>
      </c>
      <c r="H197" s="17" t="s">
        <v>122</v>
      </c>
      <c r="I197" s="17" t="s">
        <v>123</v>
      </c>
      <c r="J197" s="27" t="s">
        <v>152</v>
      </c>
      <c r="K197" s="29">
        <v>118</v>
      </c>
      <c r="L197" s="31">
        <v>14980.000000110002</v>
      </c>
      <c r="M197" s="31">
        <v>2818.7000000000003</v>
      </c>
      <c r="N197" s="31">
        <v>2206.1</v>
      </c>
      <c r="O197" s="34">
        <f t="shared" si="28"/>
        <v>0.18816421895722976</v>
      </c>
      <c r="P197" s="34">
        <f t="shared" si="29"/>
        <v>0.78266576790719111</v>
      </c>
      <c r="Q197" s="34">
        <f t="shared" si="30"/>
        <v>0.81183578104277021</v>
      </c>
      <c r="R197" s="46">
        <f t="shared" si="31"/>
        <v>18.695762711864408</v>
      </c>
    </row>
    <row r="198" spans="2:18" ht="12.75" customHeight="1" x14ac:dyDescent="0.25">
      <c r="B198" s="17" t="s">
        <v>0</v>
      </c>
      <c r="C198" s="44" t="s">
        <v>22</v>
      </c>
      <c r="D198" s="22" t="s">
        <v>2</v>
      </c>
      <c r="E198" s="20">
        <v>1</v>
      </c>
      <c r="F198" s="17" t="s">
        <v>120</v>
      </c>
      <c r="G198" s="17" t="s">
        <v>121</v>
      </c>
      <c r="H198" s="17" t="s">
        <v>122</v>
      </c>
      <c r="I198" s="17" t="s">
        <v>123</v>
      </c>
      <c r="J198" s="27" t="s">
        <v>23</v>
      </c>
      <c r="K198" s="29">
        <v>101</v>
      </c>
      <c r="L198" s="31">
        <v>5005.1000000000004</v>
      </c>
      <c r="M198" s="31">
        <v>2015.370000015</v>
      </c>
      <c r="N198" s="31">
        <v>2015.370000015</v>
      </c>
      <c r="O198" s="34">
        <f t="shared" si="28"/>
        <v>0.40266328345387703</v>
      </c>
      <c r="P198" s="34">
        <f t="shared" si="29"/>
        <v>1</v>
      </c>
      <c r="Q198" s="34">
        <f t="shared" si="30"/>
        <v>0.59733671654612297</v>
      </c>
      <c r="R198" s="46">
        <f t="shared" si="31"/>
        <v>19.954158415990097</v>
      </c>
    </row>
    <row r="199" spans="2:18" ht="12.75" customHeight="1" x14ac:dyDescent="0.25">
      <c r="B199" s="17" t="s">
        <v>0</v>
      </c>
      <c r="C199" s="44" t="s">
        <v>14</v>
      </c>
      <c r="D199" s="22" t="s">
        <v>2</v>
      </c>
      <c r="E199" s="20">
        <v>1</v>
      </c>
      <c r="F199" s="17" t="s">
        <v>120</v>
      </c>
      <c r="G199" s="17" t="s">
        <v>121</v>
      </c>
      <c r="H199" s="17" t="s">
        <v>122</v>
      </c>
      <c r="I199" s="17" t="s">
        <v>123</v>
      </c>
      <c r="J199" s="27" t="s">
        <v>15</v>
      </c>
      <c r="K199" s="29">
        <v>154</v>
      </c>
      <c r="L199" s="31">
        <v>5534</v>
      </c>
      <c r="M199" s="31">
        <v>1930.8399999919998</v>
      </c>
      <c r="N199" s="31">
        <v>1930.8399999919998</v>
      </c>
      <c r="O199" s="34">
        <f t="shared" si="28"/>
        <v>0.34890495120925186</v>
      </c>
      <c r="P199" s="34">
        <f t="shared" si="29"/>
        <v>1</v>
      </c>
      <c r="Q199" s="34">
        <f t="shared" si="30"/>
        <v>0.65109504879074809</v>
      </c>
      <c r="R199" s="46">
        <f t="shared" si="31"/>
        <v>12.537922077870128</v>
      </c>
    </row>
    <row r="200" spans="2:18" ht="12.75" customHeight="1" x14ac:dyDescent="0.25">
      <c r="B200" s="17" t="s">
        <v>0</v>
      </c>
      <c r="C200" s="44" t="s">
        <v>139</v>
      </c>
      <c r="D200" s="22" t="s">
        <v>2</v>
      </c>
      <c r="E200" s="20">
        <v>1</v>
      </c>
      <c r="F200" s="17" t="s">
        <v>120</v>
      </c>
      <c r="G200" s="17" t="s">
        <v>121</v>
      </c>
      <c r="H200" s="17" t="s">
        <v>122</v>
      </c>
      <c r="I200" s="17" t="s">
        <v>123</v>
      </c>
      <c r="J200" s="27" t="s">
        <v>140</v>
      </c>
      <c r="K200" s="29">
        <v>21</v>
      </c>
      <c r="L200" s="31">
        <v>5232.9999999900001</v>
      </c>
      <c r="M200" s="31">
        <v>1350.8000000039999</v>
      </c>
      <c r="N200" s="31">
        <v>1024.480000005</v>
      </c>
      <c r="O200" s="34">
        <f t="shared" si="28"/>
        <v>0.25813109115356031</v>
      </c>
      <c r="P200" s="34">
        <f t="shared" si="29"/>
        <v>0.75842463725345455</v>
      </c>
      <c r="Q200" s="34">
        <f t="shared" si="30"/>
        <v>0.74186890884643963</v>
      </c>
      <c r="R200" s="46">
        <f t="shared" si="31"/>
        <v>48.784761904999996</v>
      </c>
    </row>
    <row r="201" spans="2:18" ht="12.75" customHeight="1" x14ac:dyDescent="0.25">
      <c r="B201" s="17" t="s">
        <v>0</v>
      </c>
      <c r="C201" s="44" t="s">
        <v>153</v>
      </c>
      <c r="D201" s="22" t="s">
        <v>9</v>
      </c>
      <c r="E201" s="20">
        <v>2</v>
      </c>
      <c r="F201" s="17" t="s">
        <v>120</v>
      </c>
      <c r="G201" s="17" t="s">
        <v>121</v>
      </c>
      <c r="H201" s="17" t="s">
        <v>122</v>
      </c>
      <c r="I201" s="17" t="s">
        <v>123</v>
      </c>
      <c r="J201" s="27" t="s">
        <v>154</v>
      </c>
      <c r="K201" s="29">
        <v>249</v>
      </c>
      <c r="L201" s="31">
        <v>2888.4</v>
      </c>
      <c r="M201" s="31">
        <v>1078.2400000005</v>
      </c>
      <c r="N201" s="31">
        <v>855.59999999670003</v>
      </c>
      <c r="O201" s="34">
        <f t="shared" si="28"/>
        <v>0.37330009693965516</v>
      </c>
      <c r="P201" s="34">
        <f t="shared" si="29"/>
        <v>0.7935153583583463</v>
      </c>
      <c r="Q201" s="34">
        <f t="shared" si="30"/>
        <v>0.62669990306034484</v>
      </c>
      <c r="R201" s="46">
        <f t="shared" si="31"/>
        <v>3.4361445783</v>
      </c>
    </row>
    <row r="202" spans="2:18" ht="12.75" customHeight="1" x14ac:dyDescent="0.25">
      <c r="B202" s="17" t="s">
        <v>0</v>
      </c>
      <c r="C202" s="44" t="s">
        <v>155</v>
      </c>
      <c r="D202" s="22" t="s">
        <v>9</v>
      </c>
      <c r="E202" s="20">
        <v>2</v>
      </c>
      <c r="F202" s="17" t="s">
        <v>120</v>
      </c>
      <c r="G202" s="17" t="s">
        <v>121</v>
      </c>
      <c r="H202" s="17" t="s">
        <v>122</v>
      </c>
      <c r="I202" s="17" t="s">
        <v>123</v>
      </c>
      <c r="J202" s="27" t="s">
        <v>156</v>
      </c>
      <c r="K202" s="29">
        <v>40</v>
      </c>
      <c r="L202" s="31">
        <v>2685.000000004</v>
      </c>
      <c r="M202" s="31">
        <v>1100.6199999921998</v>
      </c>
      <c r="N202" s="31">
        <v>815.75000000980003</v>
      </c>
      <c r="O202" s="34">
        <f t="shared" si="28"/>
        <v>0.40991433891640977</v>
      </c>
      <c r="P202" s="34">
        <f t="shared" si="29"/>
        <v>0.74117315696205899</v>
      </c>
      <c r="Q202" s="34">
        <f t="shared" si="30"/>
        <v>0.59008566108359028</v>
      </c>
      <c r="R202" s="46">
        <f t="shared" si="31"/>
        <v>20.393750000244999</v>
      </c>
    </row>
    <row r="203" spans="2:18" ht="12.75" customHeight="1" x14ac:dyDescent="0.25">
      <c r="B203" s="17" t="s">
        <v>0</v>
      </c>
      <c r="C203" s="44" t="s">
        <v>34</v>
      </c>
      <c r="D203" s="22" t="s">
        <v>9</v>
      </c>
      <c r="E203" s="20">
        <v>2</v>
      </c>
      <c r="F203" s="17" t="s">
        <v>120</v>
      </c>
      <c r="G203" s="17" t="s">
        <v>121</v>
      </c>
      <c r="H203" s="17" t="s">
        <v>122</v>
      </c>
      <c r="I203" s="17" t="s">
        <v>123</v>
      </c>
      <c r="J203" s="27" t="s">
        <v>35</v>
      </c>
      <c r="K203" s="29">
        <v>158</v>
      </c>
      <c r="L203" s="31">
        <v>1264</v>
      </c>
      <c r="M203" s="31">
        <v>751.19999999929996</v>
      </c>
      <c r="N203" s="31">
        <v>568.00999999780004</v>
      </c>
      <c r="O203" s="34">
        <f t="shared" si="28"/>
        <v>0.5943037974678006</v>
      </c>
      <c r="P203" s="34">
        <f t="shared" si="29"/>
        <v>0.75613684770810619</v>
      </c>
      <c r="Q203" s="34">
        <f t="shared" si="30"/>
        <v>0.4056962025321994</v>
      </c>
      <c r="R203" s="46">
        <f t="shared" si="31"/>
        <v>3.5949999999860762</v>
      </c>
    </row>
    <row r="204" spans="2:18" ht="12.75" customHeight="1" x14ac:dyDescent="0.25">
      <c r="B204" s="17" t="s">
        <v>0</v>
      </c>
      <c r="C204" s="44" t="s">
        <v>157</v>
      </c>
      <c r="D204" s="22" t="s">
        <v>9</v>
      </c>
      <c r="E204" s="20">
        <v>2</v>
      </c>
      <c r="F204" s="17" t="s">
        <v>120</v>
      </c>
      <c r="G204" s="17" t="s">
        <v>121</v>
      </c>
      <c r="H204" s="17" t="s">
        <v>122</v>
      </c>
      <c r="I204" s="17" t="s">
        <v>123</v>
      </c>
      <c r="J204" s="27" t="s">
        <v>158</v>
      </c>
      <c r="K204" s="29">
        <v>38</v>
      </c>
      <c r="L204" s="31">
        <v>1911.9999999940001</v>
      </c>
      <c r="M204" s="31">
        <v>539.14000000999999</v>
      </c>
      <c r="N204" s="31">
        <v>539.14000000999999</v>
      </c>
      <c r="O204" s="34">
        <f t="shared" si="28"/>
        <v>0.28197698745381372</v>
      </c>
      <c r="P204" s="34">
        <f t="shared" si="29"/>
        <v>1</v>
      </c>
      <c r="Q204" s="34">
        <f t="shared" si="30"/>
        <v>0.71802301254618628</v>
      </c>
      <c r="R204" s="46">
        <f t="shared" si="31"/>
        <v>14.187894737105262</v>
      </c>
    </row>
    <row r="205" spans="2:18" ht="12.75" customHeight="1" x14ac:dyDescent="0.25">
      <c r="B205" s="17" t="s">
        <v>0</v>
      </c>
      <c r="C205" s="44" t="s">
        <v>28</v>
      </c>
      <c r="D205" s="22" t="s">
        <v>2</v>
      </c>
      <c r="E205" s="20">
        <v>1</v>
      </c>
      <c r="F205" s="17" t="s">
        <v>120</v>
      </c>
      <c r="G205" s="17" t="s">
        <v>121</v>
      </c>
      <c r="H205" s="17" t="s">
        <v>122</v>
      </c>
      <c r="I205" s="17" t="s">
        <v>123</v>
      </c>
      <c r="J205" s="27" t="s">
        <v>29</v>
      </c>
      <c r="K205" s="29">
        <v>42</v>
      </c>
      <c r="L205" s="31">
        <v>2985.1599999979999</v>
      </c>
      <c r="M205" s="31">
        <v>492.27000000300001</v>
      </c>
      <c r="N205" s="31">
        <v>492.27000000300001</v>
      </c>
      <c r="O205" s="34">
        <f t="shared" si="28"/>
        <v>0.16490573369713177</v>
      </c>
      <c r="P205" s="34">
        <f t="shared" si="29"/>
        <v>1</v>
      </c>
      <c r="Q205" s="34">
        <f t="shared" si="30"/>
        <v>0.8350942663028682</v>
      </c>
      <c r="R205" s="46">
        <f t="shared" si="31"/>
        <v>11.720714285785714</v>
      </c>
    </row>
    <row r="206" spans="2:18" ht="12.75" customHeight="1" x14ac:dyDescent="0.25">
      <c r="B206" s="17" t="s">
        <v>0</v>
      </c>
      <c r="C206" s="44" t="s">
        <v>62</v>
      </c>
      <c r="D206" s="22" t="s">
        <v>2</v>
      </c>
      <c r="E206" s="20">
        <v>1</v>
      </c>
      <c r="F206" s="17" t="s">
        <v>120</v>
      </c>
      <c r="G206" s="17" t="s">
        <v>121</v>
      </c>
      <c r="H206" s="17" t="s">
        <v>122</v>
      </c>
      <c r="I206" s="17" t="s">
        <v>123</v>
      </c>
      <c r="J206" s="27" t="s">
        <v>63</v>
      </c>
      <c r="K206" s="29">
        <v>17</v>
      </c>
      <c r="L206" s="31">
        <v>1309</v>
      </c>
      <c r="M206" s="31">
        <v>406.98</v>
      </c>
      <c r="N206" s="31">
        <v>406.98</v>
      </c>
      <c r="O206" s="34">
        <f t="shared" ref="O206:O216" si="32">IFERROR(M206/L206,0)</f>
        <v>0.31090909090909091</v>
      </c>
      <c r="P206" s="34">
        <f t="shared" ref="P206:P216" si="33">IFERROR(N206/M206,0)</f>
        <v>1</v>
      </c>
      <c r="Q206" s="34">
        <f t="shared" ref="Q206:Q216" si="34">IFERROR(1-(M206/L206),0)</f>
        <v>0.68909090909090909</v>
      </c>
      <c r="R206" s="46">
        <f t="shared" ref="R206:R216" si="35">IFERROR(N206/K206,0)</f>
        <v>23.94</v>
      </c>
    </row>
    <row r="207" spans="2:18" ht="12.75" customHeight="1" x14ac:dyDescent="0.25">
      <c r="B207" s="17" t="s">
        <v>0</v>
      </c>
      <c r="C207" s="44" t="s">
        <v>159</v>
      </c>
      <c r="D207" s="22" t="s">
        <v>9</v>
      </c>
      <c r="E207" s="20">
        <v>2</v>
      </c>
      <c r="F207" s="17" t="s">
        <v>120</v>
      </c>
      <c r="G207" s="17" t="s">
        <v>121</v>
      </c>
      <c r="H207" s="17" t="s">
        <v>122</v>
      </c>
      <c r="I207" s="17" t="s">
        <v>123</v>
      </c>
      <c r="J207" s="27" t="s">
        <v>160</v>
      </c>
      <c r="K207" s="29">
        <v>60</v>
      </c>
      <c r="L207" s="31">
        <v>2340</v>
      </c>
      <c r="M207" s="31">
        <v>283.90000000200001</v>
      </c>
      <c r="N207" s="31">
        <v>226.71</v>
      </c>
      <c r="O207" s="34">
        <f t="shared" si="32"/>
        <v>0.12132478632564103</v>
      </c>
      <c r="P207" s="34">
        <f t="shared" si="33"/>
        <v>0.79855582951181014</v>
      </c>
      <c r="Q207" s="34">
        <f t="shared" si="34"/>
        <v>0.87867521367435897</v>
      </c>
      <c r="R207" s="46">
        <f t="shared" si="35"/>
        <v>3.7785000000000002</v>
      </c>
    </row>
    <row r="208" spans="2:18" ht="12.75" customHeight="1" x14ac:dyDescent="0.25">
      <c r="B208" s="17" t="s">
        <v>0</v>
      </c>
      <c r="C208" s="44" t="s">
        <v>32</v>
      </c>
      <c r="D208" s="22" t="s">
        <v>2</v>
      </c>
      <c r="E208" s="20">
        <v>1</v>
      </c>
      <c r="F208" s="17" t="s">
        <v>120</v>
      </c>
      <c r="G208" s="17" t="s">
        <v>121</v>
      </c>
      <c r="H208" s="17" t="s">
        <v>122</v>
      </c>
      <c r="I208" s="17" t="s">
        <v>123</v>
      </c>
      <c r="J208" s="27" t="s">
        <v>33</v>
      </c>
      <c r="K208" s="29">
        <v>20</v>
      </c>
      <c r="L208" s="31">
        <v>840</v>
      </c>
      <c r="M208" s="31">
        <v>225.10000000000002</v>
      </c>
      <c r="N208" s="31">
        <v>225.10000000000002</v>
      </c>
      <c r="O208" s="34">
        <f t="shared" si="32"/>
        <v>0.26797619047619048</v>
      </c>
      <c r="P208" s="34">
        <f t="shared" si="33"/>
        <v>1</v>
      </c>
      <c r="Q208" s="34">
        <f t="shared" si="34"/>
        <v>0.73202380952380952</v>
      </c>
      <c r="R208" s="46">
        <f t="shared" si="35"/>
        <v>11.255000000000001</v>
      </c>
    </row>
    <row r="209" spans="2:18" ht="12.75" customHeight="1" x14ac:dyDescent="0.25">
      <c r="B209" s="17" t="s">
        <v>0</v>
      </c>
      <c r="C209" s="44" t="s">
        <v>36</v>
      </c>
      <c r="D209" s="22" t="s">
        <v>9</v>
      </c>
      <c r="E209" s="20">
        <v>2</v>
      </c>
      <c r="F209" s="17" t="s">
        <v>120</v>
      </c>
      <c r="G209" s="17" t="s">
        <v>121</v>
      </c>
      <c r="H209" s="17" t="s">
        <v>122</v>
      </c>
      <c r="I209" s="17" t="s">
        <v>123</v>
      </c>
      <c r="J209" s="27" t="s">
        <v>37</v>
      </c>
      <c r="K209" s="29">
        <v>16</v>
      </c>
      <c r="L209" s="31">
        <v>486.08</v>
      </c>
      <c r="M209" s="31">
        <v>222.15</v>
      </c>
      <c r="N209" s="31">
        <v>222.15</v>
      </c>
      <c r="O209" s="34">
        <f t="shared" si="32"/>
        <v>0.45702353522053984</v>
      </c>
      <c r="P209" s="34">
        <f t="shared" si="33"/>
        <v>1</v>
      </c>
      <c r="Q209" s="34">
        <f t="shared" si="34"/>
        <v>0.54297646477946016</v>
      </c>
      <c r="R209" s="46">
        <f t="shared" si="35"/>
        <v>13.884375</v>
      </c>
    </row>
    <row r="210" spans="2:18" ht="12.75" customHeight="1" x14ac:dyDescent="0.25">
      <c r="B210" s="17" t="s">
        <v>0</v>
      </c>
      <c r="C210" s="44" t="s">
        <v>90</v>
      </c>
      <c r="D210" s="22" t="s">
        <v>2</v>
      </c>
      <c r="E210" s="20">
        <v>1</v>
      </c>
      <c r="F210" s="17" t="s">
        <v>120</v>
      </c>
      <c r="G210" s="17" t="s">
        <v>121</v>
      </c>
      <c r="H210" s="17" t="s">
        <v>122</v>
      </c>
      <c r="I210" s="17" t="s">
        <v>123</v>
      </c>
      <c r="J210" s="27" t="s">
        <v>91</v>
      </c>
      <c r="K210" s="29">
        <v>19</v>
      </c>
      <c r="L210" s="31">
        <v>665</v>
      </c>
      <c r="M210" s="31">
        <v>212.630000008</v>
      </c>
      <c r="N210" s="31">
        <v>212.630000008</v>
      </c>
      <c r="O210" s="34">
        <f t="shared" si="32"/>
        <v>0.31974436091428571</v>
      </c>
      <c r="P210" s="34">
        <f t="shared" si="33"/>
        <v>1</v>
      </c>
      <c r="Q210" s="34">
        <f t="shared" si="34"/>
        <v>0.68025563908571429</v>
      </c>
      <c r="R210" s="46">
        <f t="shared" si="35"/>
        <v>11.191052632</v>
      </c>
    </row>
    <row r="211" spans="2:18" ht="12.75" customHeight="1" x14ac:dyDescent="0.25">
      <c r="B211" s="17" t="s">
        <v>0</v>
      </c>
      <c r="C211" s="44" t="s">
        <v>56</v>
      </c>
      <c r="D211" s="22" t="s">
        <v>9</v>
      </c>
      <c r="E211" s="20">
        <v>2</v>
      </c>
      <c r="F211" s="17" t="s">
        <v>120</v>
      </c>
      <c r="G211" s="17" t="s">
        <v>121</v>
      </c>
      <c r="H211" s="17" t="s">
        <v>122</v>
      </c>
      <c r="I211" s="17" t="s">
        <v>123</v>
      </c>
      <c r="J211" s="27" t="s">
        <v>57</v>
      </c>
      <c r="K211" s="29">
        <v>15</v>
      </c>
      <c r="L211" s="31">
        <v>540</v>
      </c>
      <c r="M211" s="31">
        <v>196.660000005</v>
      </c>
      <c r="N211" s="31">
        <v>196.660000005</v>
      </c>
      <c r="O211" s="34">
        <f t="shared" si="32"/>
        <v>0.36418518519444443</v>
      </c>
      <c r="P211" s="34">
        <f t="shared" si="33"/>
        <v>1</v>
      </c>
      <c r="Q211" s="34">
        <f t="shared" si="34"/>
        <v>0.63581481480555557</v>
      </c>
      <c r="R211" s="46">
        <f t="shared" si="35"/>
        <v>13.110666667</v>
      </c>
    </row>
    <row r="212" spans="2:18" ht="12.75" customHeight="1" x14ac:dyDescent="0.25">
      <c r="B212" s="17" t="s">
        <v>0</v>
      </c>
      <c r="C212" s="44" t="s">
        <v>151</v>
      </c>
      <c r="D212" s="22" t="s">
        <v>2</v>
      </c>
      <c r="E212" s="20">
        <v>1</v>
      </c>
      <c r="F212" s="17" t="s">
        <v>120</v>
      </c>
      <c r="G212" s="17" t="s">
        <v>121</v>
      </c>
      <c r="H212" s="17" t="s">
        <v>122</v>
      </c>
      <c r="I212" s="17" t="s">
        <v>123</v>
      </c>
      <c r="J212" s="27" t="s">
        <v>152</v>
      </c>
      <c r="K212" s="29">
        <v>15</v>
      </c>
      <c r="L212" s="31">
        <v>377.440000005</v>
      </c>
      <c r="M212" s="31">
        <v>167.60999999999999</v>
      </c>
      <c r="N212" s="31">
        <v>167.60999999999999</v>
      </c>
      <c r="O212" s="34">
        <f t="shared" si="32"/>
        <v>0.44407058074867434</v>
      </c>
      <c r="P212" s="34">
        <f t="shared" si="33"/>
        <v>1</v>
      </c>
      <c r="Q212" s="34">
        <f t="shared" si="34"/>
        <v>0.55592941925132566</v>
      </c>
      <c r="R212" s="46">
        <f t="shared" si="35"/>
        <v>11.173999999999999</v>
      </c>
    </row>
    <row r="213" spans="2:18" ht="12.75" customHeight="1" x14ac:dyDescent="0.25">
      <c r="B213" s="17" t="s">
        <v>0</v>
      </c>
      <c r="C213" s="44" t="s">
        <v>161</v>
      </c>
      <c r="D213" s="22" t="s">
        <v>9</v>
      </c>
      <c r="E213" s="20">
        <v>2</v>
      </c>
      <c r="F213" s="17" t="s">
        <v>120</v>
      </c>
      <c r="G213" s="17" t="s">
        <v>121</v>
      </c>
      <c r="H213" s="17" t="s">
        <v>122</v>
      </c>
      <c r="I213" s="17" t="s">
        <v>123</v>
      </c>
      <c r="J213" s="27" t="s">
        <v>162</v>
      </c>
      <c r="K213" s="29">
        <v>15</v>
      </c>
      <c r="L213" s="31">
        <v>658.99999999500005</v>
      </c>
      <c r="M213" s="31">
        <v>165.499999995</v>
      </c>
      <c r="N213" s="31">
        <v>165.499999995</v>
      </c>
      <c r="O213" s="34">
        <f t="shared" si="32"/>
        <v>0.25113808800645776</v>
      </c>
      <c r="P213" s="34">
        <f t="shared" si="33"/>
        <v>1</v>
      </c>
      <c r="Q213" s="34">
        <f t="shared" si="34"/>
        <v>0.74886191199354224</v>
      </c>
      <c r="R213" s="46">
        <f t="shared" si="35"/>
        <v>11.033333333</v>
      </c>
    </row>
    <row r="214" spans="2:18" ht="12.75" customHeight="1" x14ac:dyDescent="0.25">
      <c r="B214" s="17" t="s">
        <v>0</v>
      </c>
      <c r="C214" s="44" t="s">
        <v>62</v>
      </c>
      <c r="D214" s="22" t="s">
        <v>9</v>
      </c>
      <c r="E214" s="20">
        <v>2</v>
      </c>
      <c r="F214" s="17" t="s">
        <v>120</v>
      </c>
      <c r="G214" s="17" t="s">
        <v>121</v>
      </c>
      <c r="H214" s="17" t="s">
        <v>122</v>
      </c>
      <c r="I214" s="17" t="s">
        <v>123</v>
      </c>
      <c r="J214" s="27" t="s">
        <v>63</v>
      </c>
      <c r="K214" s="29">
        <v>28</v>
      </c>
      <c r="L214" s="31">
        <v>448</v>
      </c>
      <c r="M214" s="31">
        <v>126.5900000008</v>
      </c>
      <c r="N214" s="31">
        <v>77.529999999200001</v>
      </c>
      <c r="O214" s="34">
        <f t="shared" si="32"/>
        <v>0.2825669642875</v>
      </c>
      <c r="P214" s="34">
        <f t="shared" si="33"/>
        <v>0.61244964056173501</v>
      </c>
      <c r="Q214" s="34">
        <f t="shared" si="34"/>
        <v>0.71743303571250006</v>
      </c>
      <c r="R214" s="46">
        <f t="shared" si="35"/>
        <v>2.7689285714</v>
      </c>
    </row>
    <row r="215" spans="2:18" ht="12.75" customHeight="1" x14ac:dyDescent="0.25">
      <c r="B215" s="17" t="s">
        <v>0</v>
      </c>
      <c r="C215" s="44" t="s">
        <v>105</v>
      </c>
      <c r="D215" s="22" t="s">
        <v>9</v>
      </c>
      <c r="E215" s="20">
        <v>2</v>
      </c>
      <c r="F215" s="17" t="s">
        <v>120</v>
      </c>
      <c r="G215" s="17" t="s">
        <v>121</v>
      </c>
      <c r="H215" s="17" t="s">
        <v>122</v>
      </c>
      <c r="I215" s="17" t="s">
        <v>123</v>
      </c>
      <c r="J215" s="27" t="s">
        <v>106</v>
      </c>
      <c r="K215" s="29">
        <v>13</v>
      </c>
      <c r="L215" s="31">
        <v>832.49999999400006</v>
      </c>
      <c r="M215" s="31">
        <v>61.3300000001</v>
      </c>
      <c r="N215" s="31">
        <v>48.869999999600005</v>
      </c>
      <c r="O215" s="34">
        <f t="shared" si="32"/>
        <v>7.3669669670320737E-2</v>
      </c>
      <c r="P215" s="34">
        <f t="shared" si="33"/>
        <v>0.79683678460003782</v>
      </c>
      <c r="Q215" s="34">
        <f t="shared" si="34"/>
        <v>0.92633033032967926</v>
      </c>
      <c r="R215" s="46">
        <f t="shared" si="35"/>
        <v>3.7592307692000002</v>
      </c>
    </row>
    <row r="216" spans="2:18" ht="12.75" customHeight="1" thickBot="1" x14ac:dyDescent="0.3">
      <c r="B216" s="15" t="s">
        <v>0</v>
      </c>
      <c r="C216" s="50" t="s">
        <v>112</v>
      </c>
      <c r="D216" s="19" t="s">
        <v>9</v>
      </c>
      <c r="E216" s="16">
        <v>2</v>
      </c>
      <c r="F216" s="15" t="s">
        <v>120</v>
      </c>
      <c r="G216" s="15" t="s">
        <v>121</v>
      </c>
      <c r="H216" s="15" t="s">
        <v>122</v>
      </c>
      <c r="I216" s="15" t="s">
        <v>123</v>
      </c>
      <c r="J216" s="24" t="s">
        <v>113</v>
      </c>
      <c r="K216" s="26">
        <v>11</v>
      </c>
      <c r="L216" s="28">
        <v>231</v>
      </c>
      <c r="M216" s="28">
        <v>47.63</v>
      </c>
      <c r="N216" s="28">
        <v>37.950000000000003</v>
      </c>
      <c r="O216" s="32">
        <f t="shared" si="32"/>
        <v>0.2061904761904762</v>
      </c>
      <c r="P216" s="32">
        <f t="shared" si="33"/>
        <v>0.79676674364896072</v>
      </c>
      <c r="Q216" s="32">
        <f t="shared" si="34"/>
        <v>0.79380952380952374</v>
      </c>
      <c r="R216" s="49">
        <f t="shared" si="35"/>
        <v>3.45</v>
      </c>
    </row>
    <row r="217" spans="2:18" ht="17.25" customHeight="1" x14ac:dyDescent="0.25">
      <c r="B217" s="48"/>
      <c r="C217" s="58"/>
      <c r="D217" s="51" t="s">
        <v>366</v>
      </c>
      <c r="E217" s="52"/>
      <c r="F217" s="52"/>
      <c r="G217" s="53"/>
      <c r="H217" s="53"/>
      <c r="I217" s="53"/>
      <c r="J217" s="54"/>
      <c r="K217" s="55">
        <f>SUM(K142:K216)</f>
        <v>1193653</v>
      </c>
      <c r="L217" s="56">
        <f>SUM(L142:L216)</f>
        <v>177494858.56007561</v>
      </c>
      <c r="M217" s="56">
        <f>SUM(M142:M216)</f>
        <v>83463352.369997516</v>
      </c>
      <c r="N217" s="56">
        <f>SUM(N142:N216)</f>
        <v>65106288.280018605</v>
      </c>
      <c r="O217" s="57">
        <f>IFERROR(M217/L217,0)</f>
        <v>0.47022969029690614</v>
      </c>
      <c r="P217" s="57">
        <f>IFERROR(N217/M217,0)</f>
        <v>0.78005839007519062</v>
      </c>
      <c r="Q217" s="57">
        <f>IFERROR(1-(M217/L217),0)</f>
        <v>0.52977030970309391</v>
      </c>
      <c r="R217" s="59">
        <f>IFERROR(N217/K217,0)</f>
        <v>54.543731117853014</v>
      </c>
    </row>
    <row r="218" spans="2:18" ht="15.75" thickBot="1" x14ac:dyDescent="0.3">
      <c r="B218" s="60"/>
      <c r="C218" s="64"/>
      <c r="D218" s="62" t="s">
        <v>123</v>
      </c>
      <c r="E218" s="61"/>
      <c r="F218" s="61"/>
      <c r="G218" s="61"/>
      <c r="H218" s="61"/>
      <c r="I218" s="61"/>
      <c r="J218" s="61"/>
      <c r="K218" s="63"/>
      <c r="L218" s="63"/>
      <c r="M218" s="63"/>
      <c r="N218" s="63"/>
      <c r="O218" s="63"/>
      <c r="P218" s="63"/>
      <c r="Q218" s="63"/>
      <c r="R218" s="65"/>
    </row>
    <row r="219" spans="2:18" ht="15.75" thickBot="1" x14ac:dyDescent="0.3"/>
    <row r="220" spans="2:18" ht="15.75" x14ac:dyDescent="0.25">
      <c r="B220" s="1"/>
      <c r="C220" s="7" t="s">
        <v>348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9"/>
    </row>
    <row r="221" spans="2:18" ht="18" x14ac:dyDescent="0.25">
      <c r="B221" s="2"/>
      <c r="C221" s="8" t="s">
        <v>165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10"/>
    </row>
    <row r="222" spans="2:18" ht="15.75" thickBot="1" x14ac:dyDescent="0.3">
      <c r="B222" s="3"/>
      <c r="C222" s="11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12"/>
    </row>
    <row r="223" spans="2:18" ht="17.25" customHeight="1" thickBot="1" x14ac:dyDescent="0.3">
      <c r="B223" s="14" t="s">
        <v>349</v>
      </c>
      <c r="C223" s="18" t="s">
        <v>350</v>
      </c>
      <c r="D223" s="21" t="s">
        <v>351</v>
      </c>
      <c r="E223" s="23" t="s">
        <v>352</v>
      </c>
      <c r="F223" s="21" t="s">
        <v>353</v>
      </c>
      <c r="G223" s="23" t="s">
        <v>354</v>
      </c>
      <c r="H223" s="23" t="s">
        <v>355</v>
      </c>
      <c r="I223" s="23" t="s">
        <v>356</v>
      </c>
      <c r="J223" s="25" t="s">
        <v>357</v>
      </c>
      <c r="K223" s="25" t="s">
        <v>358</v>
      </c>
      <c r="L223" s="30" t="s">
        <v>359</v>
      </c>
      <c r="M223" s="30" t="s">
        <v>360</v>
      </c>
      <c r="N223" s="30" t="s">
        <v>361</v>
      </c>
      <c r="O223" s="33" t="s">
        <v>362</v>
      </c>
      <c r="P223" s="33" t="s">
        <v>363</v>
      </c>
      <c r="Q223" s="33" t="s">
        <v>364</v>
      </c>
      <c r="R223" s="35" t="s">
        <v>365</v>
      </c>
    </row>
    <row r="224" spans="2:18" ht="12.75" customHeight="1" x14ac:dyDescent="0.25">
      <c r="B224" s="17" t="s">
        <v>0</v>
      </c>
      <c r="C224" s="43" t="s">
        <v>30</v>
      </c>
      <c r="D224" s="37" t="s">
        <v>9</v>
      </c>
      <c r="E224" s="36">
        <v>2</v>
      </c>
      <c r="F224" s="38" t="s">
        <v>120</v>
      </c>
      <c r="G224" s="38" t="s">
        <v>163</v>
      </c>
      <c r="H224" s="38" t="s">
        <v>164</v>
      </c>
      <c r="I224" s="38" t="s">
        <v>165</v>
      </c>
      <c r="J224" s="39" t="s">
        <v>31</v>
      </c>
      <c r="K224" s="40">
        <v>691697</v>
      </c>
      <c r="L224" s="41">
        <v>68569816.339984223</v>
      </c>
      <c r="M224" s="41">
        <v>36962508.729929522</v>
      </c>
      <c r="N224" s="41">
        <v>28788033.609948162</v>
      </c>
      <c r="O224" s="42">
        <f t="shared" ref="O224:O255" si="36">IFERROR(M224/L224,0)</f>
        <v>0.53904925961389893</v>
      </c>
      <c r="P224" s="42">
        <f t="shared" ref="P224:P255" si="37">IFERROR(N224/M224,0)</f>
        <v>0.77884414773604715</v>
      </c>
      <c r="Q224" s="42">
        <f t="shared" ref="Q224:Q255" si="38">IFERROR(1-(M224/L224),0)</f>
        <v>0.46095074038610107</v>
      </c>
      <c r="R224" s="45">
        <f t="shared" ref="R224:R255" si="39">IFERROR(N224/K224,0)</f>
        <v>41.619428174400298</v>
      </c>
    </row>
    <row r="225" spans="2:18" ht="12.75" customHeight="1" x14ac:dyDescent="0.25">
      <c r="B225" s="17" t="s">
        <v>0</v>
      </c>
      <c r="C225" s="44" t="s">
        <v>54</v>
      </c>
      <c r="D225" s="22" t="s">
        <v>9</v>
      </c>
      <c r="E225" s="20">
        <v>2</v>
      </c>
      <c r="F225" s="17" t="s">
        <v>120</v>
      </c>
      <c r="G225" s="17" t="s">
        <v>163</v>
      </c>
      <c r="H225" s="17" t="s">
        <v>164</v>
      </c>
      <c r="I225" s="17" t="s">
        <v>165</v>
      </c>
      <c r="J225" s="27" t="s">
        <v>55</v>
      </c>
      <c r="K225" s="29">
        <v>683838</v>
      </c>
      <c r="L225" s="31">
        <v>59084613.809986569</v>
      </c>
      <c r="M225" s="31">
        <v>31095526.560024638</v>
      </c>
      <c r="N225" s="31">
        <v>24094354.610015638</v>
      </c>
      <c r="O225" s="34">
        <f t="shared" si="36"/>
        <v>0.52628805631236653</v>
      </c>
      <c r="P225" s="34">
        <f t="shared" si="37"/>
        <v>0.77484954511079185</v>
      </c>
      <c r="Q225" s="34">
        <f t="shared" si="38"/>
        <v>0.47371194368763347</v>
      </c>
      <c r="R225" s="46">
        <f t="shared" si="39"/>
        <v>35.234009531520094</v>
      </c>
    </row>
    <row r="226" spans="2:18" ht="12.75" customHeight="1" x14ac:dyDescent="0.25">
      <c r="B226" s="17" t="s">
        <v>0</v>
      </c>
      <c r="C226" s="44" t="s">
        <v>46</v>
      </c>
      <c r="D226" s="22" t="s">
        <v>9</v>
      </c>
      <c r="E226" s="20">
        <v>2</v>
      </c>
      <c r="F226" s="17" t="s">
        <v>120</v>
      </c>
      <c r="G226" s="17" t="s">
        <v>163</v>
      </c>
      <c r="H226" s="17" t="s">
        <v>164</v>
      </c>
      <c r="I226" s="17" t="s">
        <v>165</v>
      </c>
      <c r="J226" s="27" t="s">
        <v>47</v>
      </c>
      <c r="K226" s="29">
        <v>308609</v>
      </c>
      <c r="L226" s="31">
        <v>28616776.010001067</v>
      </c>
      <c r="M226" s="31">
        <v>12663064.409997543</v>
      </c>
      <c r="N226" s="31">
        <v>9815352.9199978337</v>
      </c>
      <c r="O226" s="34">
        <f t="shared" si="36"/>
        <v>0.44250492807337982</v>
      </c>
      <c r="P226" s="34">
        <f t="shared" si="37"/>
        <v>0.77511671758129652</v>
      </c>
      <c r="Q226" s="34">
        <f t="shared" si="38"/>
        <v>0.55749507192662018</v>
      </c>
      <c r="R226" s="46">
        <f t="shared" si="39"/>
        <v>31.805141522113203</v>
      </c>
    </row>
    <row r="227" spans="2:18" ht="12.75" customHeight="1" x14ac:dyDescent="0.25">
      <c r="B227" s="17" t="s">
        <v>0</v>
      </c>
      <c r="C227" s="44" t="s">
        <v>14</v>
      </c>
      <c r="D227" s="22" t="s">
        <v>9</v>
      </c>
      <c r="E227" s="20">
        <v>2</v>
      </c>
      <c r="F227" s="17" t="s">
        <v>120</v>
      </c>
      <c r="G227" s="17" t="s">
        <v>163</v>
      </c>
      <c r="H227" s="17" t="s">
        <v>164</v>
      </c>
      <c r="I227" s="17" t="s">
        <v>165</v>
      </c>
      <c r="J227" s="27" t="s">
        <v>15</v>
      </c>
      <c r="K227" s="29">
        <v>196311</v>
      </c>
      <c r="L227" s="31">
        <v>18703821.299993806</v>
      </c>
      <c r="M227" s="31">
        <v>9026246.610005334</v>
      </c>
      <c r="N227" s="31">
        <v>6853716.3299935497</v>
      </c>
      <c r="O227" s="34">
        <f t="shared" si="36"/>
        <v>0.48258836872058458</v>
      </c>
      <c r="P227" s="34">
        <f t="shared" si="37"/>
        <v>0.75930966946952272</v>
      </c>
      <c r="Q227" s="34">
        <f t="shared" si="38"/>
        <v>0.51741163127941547</v>
      </c>
      <c r="R227" s="46">
        <f t="shared" si="39"/>
        <v>34.912543515103842</v>
      </c>
    </row>
    <row r="228" spans="2:18" ht="12.75" customHeight="1" x14ac:dyDescent="0.25">
      <c r="B228" s="17" t="s">
        <v>0</v>
      </c>
      <c r="C228" s="44" t="s">
        <v>56</v>
      </c>
      <c r="D228" s="22" t="s">
        <v>9</v>
      </c>
      <c r="E228" s="20">
        <v>2</v>
      </c>
      <c r="F228" s="17" t="s">
        <v>120</v>
      </c>
      <c r="G228" s="17" t="s">
        <v>163</v>
      </c>
      <c r="H228" s="17" t="s">
        <v>164</v>
      </c>
      <c r="I228" s="17" t="s">
        <v>165</v>
      </c>
      <c r="J228" s="27" t="s">
        <v>57</v>
      </c>
      <c r="K228" s="29">
        <v>184645</v>
      </c>
      <c r="L228" s="31">
        <v>10577337.569996251</v>
      </c>
      <c r="M228" s="31">
        <v>5659625.6299979705</v>
      </c>
      <c r="N228" s="31">
        <v>4282045.5999988439</v>
      </c>
      <c r="O228" s="34">
        <f t="shared" si="36"/>
        <v>0.53507090915317901</v>
      </c>
      <c r="P228" s="34">
        <f t="shared" si="37"/>
        <v>0.75659520257002921</v>
      </c>
      <c r="Q228" s="34">
        <f t="shared" si="38"/>
        <v>0.46492909084682099</v>
      </c>
      <c r="R228" s="46">
        <f t="shared" si="39"/>
        <v>23.190693492912583</v>
      </c>
    </row>
    <row r="229" spans="2:18" ht="12.75" customHeight="1" x14ac:dyDescent="0.25">
      <c r="B229" s="17" t="s">
        <v>0</v>
      </c>
      <c r="C229" s="44" t="s">
        <v>24</v>
      </c>
      <c r="D229" s="22" t="s">
        <v>9</v>
      </c>
      <c r="E229" s="20">
        <v>2</v>
      </c>
      <c r="F229" s="17" t="s">
        <v>120</v>
      </c>
      <c r="G229" s="17" t="s">
        <v>163</v>
      </c>
      <c r="H229" s="17" t="s">
        <v>164</v>
      </c>
      <c r="I229" s="17" t="s">
        <v>165</v>
      </c>
      <c r="J229" s="27" t="s">
        <v>25</v>
      </c>
      <c r="K229" s="29">
        <v>141173</v>
      </c>
      <c r="L229" s="31">
        <v>9643229.1499980371</v>
      </c>
      <c r="M229" s="31">
        <v>4527127.9100006763</v>
      </c>
      <c r="N229" s="31">
        <v>3529337.0299995001</v>
      </c>
      <c r="O229" s="34">
        <f t="shared" si="36"/>
        <v>0.46946182026604621</v>
      </c>
      <c r="P229" s="34">
        <f t="shared" si="37"/>
        <v>0.7795973739118347</v>
      </c>
      <c r="Q229" s="34">
        <f t="shared" si="38"/>
        <v>0.53053817973395379</v>
      </c>
      <c r="R229" s="46">
        <f t="shared" si="39"/>
        <v>25.000085214591319</v>
      </c>
    </row>
    <row r="230" spans="2:18" ht="12.75" customHeight="1" x14ac:dyDescent="0.25">
      <c r="B230" s="17" t="s">
        <v>0</v>
      </c>
      <c r="C230" s="44" t="s">
        <v>66</v>
      </c>
      <c r="D230" s="22" t="s">
        <v>9</v>
      </c>
      <c r="E230" s="20">
        <v>2</v>
      </c>
      <c r="F230" s="17" t="s">
        <v>120</v>
      </c>
      <c r="G230" s="17" t="s">
        <v>163</v>
      </c>
      <c r="H230" s="17" t="s">
        <v>164</v>
      </c>
      <c r="I230" s="17" t="s">
        <v>165</v>
      </c>
      <c r="J230" s="27" t="s">
        <v>67</v>
      </c>
      <c r="K230" s="29">
        <v>89966</v>
      </c>
      <c r="L230" s="31">
        <v>6789618.4499976085</v>
      </c>
      <c r="M230" s="31">
        <v>3890029.2699994342</v>
      </c>
      <c r="N230" s="31">
        <v>2993515.609994174</v>
      </c>
      <c r="O230" s="34">
        <f t="shared" si="36"/>
        <v>0.57293783128576314</v>
      </c>
      <c r="P230" s="34">
        <f t="shared" si="37"/>
        <v>0.76953549760683659</v>
      </c>
      <c r="Q230" s="34">
        <f t="shared" si="38"/>
        <v>0.42706216871423686</v>
      </c>
      <c r="R230" s="46">
        <f t="shared" si="39"/>
        <v>33.273854678369318</v>
      </c>
    </row>
    <row r="231" spans="2:18" ht="12.75" customHeight="1" x14ac:dyDescent="0.25">
      <c r="B231" s="17" t="s">
        <v>0</v>
      </c>
      <c r="C231" s="44" t="s">
        <v>145</v>
      </c>
      <c r="D231" s="22" t="s">
        <v>9</v>
      </c>
      <c r="E231" s="20">
        <v>2</v>
      </c>
      <c r="F231" s="17" t="s">
        <v>120</v>
      </c>
      <c r="G231" s="17" t="s">
        <v>163</v>
      </c>
      <c r="H231" s="17" t="s">
        <v>164</v>
      </c>
      <c r="I231" s="17" t="s">
        <v>165</v>
      </c>
      <c r="J231" s="27" t="s">
        <v>146</v>
      </c>
      <c r="K231" s="29">
        <v>79116</v>
      </c>
      <c r="L231" s="31">
        <v>4217664.6299998574</v>
      </c>
      <c r="M231" s="31">
        <v>2688121.0399996061</v>
      </c>
      <c r="N231" s="31">
        <v>2432245.3199969381</v>
      </c>
      <c r="O231" s="34">
        <f t="shared" si="36"/>
        <v>0.6373482189359605</v>
      </c>
      <c r="P231" s="34">
        <f t="shared" si="37"/>
        <v>0.90481242615373247</v>
      </c>
      <c r="Q231" s="34">
        <f t="shared" si="38"/>
        <v>0.3626517810640395</v>
      </c>
      <c r="R231" s="46">
        <f t="shared" si="39"/>
        <v>30.742774154367488</v>
      </c>
    </row>
    <row r="232" spans="2:18" ht="12.75" customHeight="1" x14ac:dyDescent="0.25">
      <c r="B232" s="17" t="s">
        <v>0</v>
      </c>
      <c r="C232" s="44" t="s">
        <v>114</v>
      </c>
      <c r="D232" s="22" t="s">
        <v>9</v>
      </c>
      <c r="E232" s="20">
        <v>2</v>
      </c>
      <c r="F232" s="17" t="s">
        <v>120</v>
      </c>
      <c r="G232" s="17" t="s">
        <v>163</v>
      </c>
      <c r="H232" s="17" t="s">
        <v>164</v>
      </c>
      <c r="I232" s="17" t="s">
        <v>165</v>
      </c>
      <c r="J232" s="27" t="s">
        <v>118</v>
      </c>
      <c r="K232" s="29">
        <v>93082</v>
      </c>
      <c r="L232" s="31">
        <v>5279855.6800019555</v>
      </c>
      <c r="M232" s="31">
        <v>2958047.7800003802</v>
      </c>
      <c r="N232" s="31">
        <v>2296088.4299947084</v>
      </c>
      <c r="O232" s="34">
        <f t="shared" si="36"/>
        <v>0.5602516355142656</v>
      </c>
      <c r="P232" s="34">
        <f t="shared" si="37"/>
        <v>0.7762174923335462</v>
      </c>
      <c r="Q232" s="34">
        <f t="shared" si="38"/>
        <v>0.4397483644857344</v>
      </c>
      <c r="R232" s="46">
        <f t="shared" si="39"/>
        <v>24.667373176282293</v>
      </c>
    </row>
    <row r="233" spans="2:18" ht="12.75" customHeight="1" x14ac:dyDescent="0.25">
      <c r="B233" s="17" t="s">
        <v>0</v>
      </c>
      <c r="C233" s="44" t="s">
        <v>30</v>
      </c>
      <c r="D233" s="22" t="s">
        <v>2</v>
      </c>
      <c r="E233" s="20">
        <v>1</v>
      </c>
      <c r="F233" s="17" t="s">
        <v>120</v>
      </c>
      <c r="G233" s="17" t="s">
        <v>163</v>
      </c>
      <c r="H233" s="17" t="s">
        <v>164</v>
      </c>
      <c r="I233" s="17" t="s">
        <v>165</v>
      </c>
      <c r="J233" s="27" t="s">
        <v>31</v>
      </c>
      <c r="K233" s="29">
        <v>46392</v>
      </c>
      <c r="L233" s="31">
        <v>8794034.8299976569</v>
      </c>
      <c r="M233" s="31">
        <v>2700574.5800003274</v>
      </c>
      <c r="N233" s="31">
        <v>2118595.2400001464</v>
      </c>
      <c r="O233" s="34">
        <f t="shared" si="36"/>
        <v>0.3070916402091447</v>
      </c>
      <c r="P233" s="34">
        <f t="shared" si="37"/>
        <v>0.78449795672737521</v>
      </c>
      <c r="Q233" s="34">
        <f t="shared" si="38"/>
        <v>0.6929083597908553</v>
      </c>
      <c r="R233" s="46">
        <f t="shared" si="39"/>
        <v>45.667253836871581</v>
      </c>
    </row>
    <row r="234" spans="2:18" ht="12.75" customHeight="1" x14ac:dyDescent="0.25">
      <c r="B234" s="17" t="s">
        <v>0</v>
      </c>
      <c r="C234" s="44" t="s">
        <v>50</v>
      </c>
      <c r="D234" s="22" t="s">
        <v>9</v>
      </c>
      <c r="E234" s="20">
        <v>2</v>
      </c>
      <c r="F234" s="17" t="s">
        <v>120</v>
      </c>
      <c r="G234" s="17" t="s">
        <v>163</v>
      </c>
      <c r="H234" s="17" t="s">
        <v>164</v>
      </c>
      <c r="I234" s="17" t="s">
        <v>165</v>
      </c>
      <c r="J234" s="27" t="s">
        <v>51</v>
      </c>
      <c r="K234" s="29">
        <v>85868</v>
      </c>
      <c r="L234" s="31">
        <v>5298896.4699984444</v>
      </c>
      <c r="M234" s="31">
        <v>2324884.2200021166</v>
      </c>
      <c r="N234" s="31">
        <v>1776666.6600019445</v>
      </c>
      <c r="O234" s="34">
        <f t="shared" si="36"/>
        <v>0.43874875328575708</v>
      </c>
      <c r="P234" s="34">
        <f t="shared" si="37"/>
        <v>0.76419575853129018</v>
      </c>
      <c r="Q234" s="34">
        <f t="shared" si="38"/>
        <v>0.56125124671424298</v>
      </c>
      <c r="R234" s="46">
        <f t="shared" si="39"/>
        <v>20.690672427469423</v>
      </c>
    </row>
    <row r="235" spans="2:18" ht="12.75" customHeight="1" x14ac:dyDescent="0.25">
      <c r="B235" s="17" t="s">
        <v>0</v>
      </c>
      <c r="C235" s="44" t="s">
        <v>157</v>
      </c>
      <c r="D235" s="22" t="s">
        <v>9</v>
      </c>
      <c r="E235" s="20">
        <v>2</v>
      </c>
      <c r="F235" s="17" t="s">
        <v>120</v>
      </c>
      <c r="G235" s="17" t="s">
        <v>163</v>
      </c>
      <c r="H235" s="17" t="s">
        <v>164</v>
      </c>
      <c r="I235" s="17" t="s">
        <v>165</v>
      </c>
      <c r="J235" s="27" t="s">
        <v>158</v>
      </c>
      <c r="K235" s="29">
        <v>56045</v>
      </c>
      <c r="L235" s="31">
        <v>2863818.9999999888</v>
      </c>
      <c r="M235" s="31">
        <v>1859559.4200012947</v>
      </c>
      <c r="N235" s="31">
        <v>1680326.6299999054</v>
      </c>
      <c r="O235" s="34">
        <f t="shared" si="36"/>
        <v>0.64932854345938129</v>
      </c>
      <c r="P235" s="34">
        <f t="shared" si="37"/>
        <v>0.90361545424492828</v>
      </c>
      <c r="Q235" s="34">
        <f t="shared" si="38"/>
        <v>0.35067145654061871</v>
      </c>
      <c r="R235" s="46">
        <f t="shared" si="39"/>
        <v>29.981740208759128</v>
      </c>
    </row>
    <row r="236" spans="2:18" ht="12.75" customHeight="1" x14ac:dyDescent="0.25">
      <c r="B236" s="17" t="s">
        <v>0</v>
      </c>
      <c r="C236" s="44" t="s">
        <v>12</v>
      </c>
      <c r="D236" s="22" t="s">
        <v>9</v>
      </c>
      <c r="E236" s="20">
        <v>2</v>
      </c>
      <c r="F236" s="17" t="s">
        <v>120</v>
      </c>
      <c r="G236" s="17" t="s">
        <v>163</v>
      </c>
      <c r="H236" s="17" t="s">
        <v>164</v>
      </c>
      <c r="I236" s="17" t="s">
        <v>165</v>
      </c>
      <c r="J236" s="27" t="s">
        <v>13</v>
      </c>
      <c r="K236" s="29">
        <v>47097</v>
      </c>
      <c r="L236" s="31">
        <v>3993396.4200093094</v>
      </c>
      <c r="M236" s="31">
        <v>1986167.0500002955</v>
      </c>
      <c r="N236" s="31">
        <v>1546288.6200046525</v>
      </c>
      <c r="O236" s="34">
        <f t="shared" si="36"/>
        <v>0.497362856351653</v>
      </c>
      <c r="P236" s="34">
        <f t="shared" si="37"/>
        <v>0.77852898627254064</v>
      </c>
      <c r="Q236" s="34">
        <f t="shared" si="38"/>
        <v>0.502637143648347</v>
      </c>
      <c r="R236" s="46">
        <f t="shared" si="39"/>
        <v>32.831998216545692</v>
      </c>
    </row>
    <row r="237" spans="2:18" ht="12.75" customHeight="1" x14ac:dyDescent="0.25">
      <c r="B237" s="17" t="s">
        <v>0</v>
      </c>
      <c r="C237" s="44" t="s">
        <v>48</v>
      </c>
      <c r="D237" s="22" t="s">
        <v>9</v>
      </c>
      <c r="E237" s="20">
        <v>2</v>
      </c>
      <c r="F237" s="17" t="s">
        <v>120</v>
      </c>
      <c r="G237" s="17" t="s">
        <v>163</v>
      </c>
      <c r="H237" s="17" t="s">
        <v>164</v>
      </c>
      <c r="I237" s="17" t="s">
        <v>165</v>
      </c>
      <c r="J237" s="27" t="s">
        <v>49</v>
      </c>
      <c r="K237" s="29">
        <v>33372</v>
      </c>
      <c r="L237" s="31">
        <v>3605117.2999951192</v>
      </c>
      <c r="M237" s="31">
        <v>1568904.6900018223</v>
      </c>
      <c r="N237" s="31">
        <v>1238257.2799978592</v>
      </c>
      <c r="O237" s="34">
        <f t="shared" si="36"/>
        <v>0.43518825032515485</v>
      </c>
      <c r="P237" s="34">
        <f t="shared" si="37"/>
        <v>0.78924952413547877</v>
      </c>
      <c r="Q237" s="34">
        <f t="shared" si="38"/>
        <v>0.56481174967484515</v>
      </c>
      <c r="R237" s="46">
        <f t="shared" si="39"/>
        <v>37.104676974645187</v>
      </c>
    </row>
    <row r="238" spans="2:18" ht="12.75" customHeight="1" x14ac:dyDescent="0.25">
      <c r="B238" s="17" t="s">
        <v>0</v>
      </c>
      <c r="C238" s="44" t="s">
        <v>46</v>
      </c>
      <c r="D238" s="22" t="s">
        <v>2</v>
      </c>
      <c r="E238" s="20">
        <v>1</v>
      </c>
      <c r="F238" s="17" t="s">
        <v>120</v>
      </c>
      <c r="G238" s="17" t="s">
        <v>163</v>
      </c>
      <c r="H238" s="17" t="s">
        <v>164</v>
      </c>
      <c r="I238" s="17" t="s">
        <v>165</v>
      </c>
      <c r="J238" s="27" t="s">
        <v>47</v>
      </c>
      <c r="K238" s="29">
        <v>33406</v>
      </c>
      <c r="L238" s="31">
        <v>4740421.7899983237</v>
      </c>
      <c r="M238" s="31">
        <v>1544248.8700025142</v>
      </c>
      <c r="N238" s="31">
        <v>1215664.7300039341</v>
      </c>
      <c r="O238" s="34">
        <f t="shared" si="36"/>
        <v>0.32576191284511419</v>
      </c>
      <c r="P238" s="34">
        <f t="shared" si="37"/>
        <v>0.78722073470058929</v>
      </c>
      <c r="Q238" s="34">
        <f t="shared" si="38"/>
        <v>0.67423808715488587</v>
      </c>
      <c r="R238" s="46">
        <f t="shared" si="39"/>
        <v>36.390610369512487</v>
      </c>
    </row>
    <row r="239" spans="2:18" ht="12.75" customHeight="1" x14ac:dyDescent="0.25">
      <c r="B239" s="17" t="s">
        <v>0</v>
      </c>
      <c r="C239" s="44" t="s">
        <v>94</v>
      </c>
      <c r="D239" s="22" t="s">
        <v>9</v>
      </c>
      <c r="E239" s="20">
        <v>2</v>
      </c>
      <c r="F239" s="17" t="s">
        <v>120</v>
      </c>
      <c r="G239" s="17" t="s">
        <v>163</v>
      </c>
      <c r="H239" s="17" t="s">
        <v>164</v>
      </c>
      <c r="I239" s="17" t="s">
        <v>165</v>
      </c>
      <c r="J239" s="27" t="s">
        <v>95</v>
      </c>
      <c r="K239" s="29">
        <v>74136</v>
      </c>
      <c r="L239" s="31">
        <v>3195724.3799990048</v>
      </c>
      <c r="M239" s="31">
        <v>1313584.739998013</v>
      </c>
      <c r="N239" s="31">
        <v>1006143.490002096</v>
      </c>
      <c r="O239" s="34">
        <f t="shared" si="36"/>
        <v>0.41104444057169354</v>
      </c>
      <c r="P239" s="34">
        <f t="shared" si="37"/>
        <v>0.76595248054085796</v>
      </c>
      <c r="Q239" s="34">
        <f t="shared" si="38"/>
        <v>0.58895555942830646</v>
      </c>
      <c r="R239" s="46">
        <f t="shared" si="39"/>
        <v>13.571591264730982</v>
      </c>
    </row>
    <row r="240" spans="2:18" ht="12.75" customHeight="1" x14ac:dyDescent="0.25">
      <c r="B240" s="17" t="s">
        <v>0</v>
      </c>
      <c r="C240" s="44" t="s">
        <v>58</v>
      </c>
      <c r="D240" s="22" t="s">
        <v>9</v>
      </c>
      <c r="E240" s="20">
        <v>2</v>
      </c>
      <c r="F240" s="17" t="s">
        <v>120</v>
      </c>
      <c r="G240" s="17" t="s">
        <v>163</v>
      </c>
      <c r="H240" s="17" t="s">
        <v>164</v>
      </c>
      <c r="I240" s="17" t="s">
        <v>165</v>
      </c>
      <c r="J240" s="27" t="s">
        <v>59</v>
      </c>
      <c r="K240" s="29">
        <v>21846</v>
      </c>
      <c r="L240" s="31">
        <v>2574889.8300235728</v>
      </c>
      <c r="M240" s="31">
        <v>1126929.9100001908</v>
      </c>
      <c r="N240" s="31">
        <v>883947.95000476937</v>
      </c>
      <c r="O240" s="34">
        <f t="shared" si="36"/>
        <v>0.43766140860087749</v>
      </c>
      <c r="P240" s="34">
        <f t="shared" si="37"/>
        <v>0.78438591624976894</v>
      </c>
      <c r="Q240" s="34">
        <f t="shared" si="38"/>
        <v>0.56233859139912257</v>
      </c>
      <c r="R240" s="46">
        <f t="shared" si="39"/>
        <v>40.462691110719099</v>
      </c>
    </row>
    <row r="241" spans="2:18" ht="12.75" customHeight="1" x14ac:dyDescent="0.25">
      <c r="B241" s="17" t="s">
        <v>0</v>
      </c>
      <c r="C241" s="44" t="s">
        <v>90</v>
      </c>
      <c r="D241" s="22" t="s">
        <v>9</v>
      </c>
      <c r="E241" s="20">
        <v>2</v>
      </c>
      <c r="F241" s="17" t="s">
        <v>120</v>
      </c>
      <c r="G241" s="17" t="s">
        <v>163</v>
      </c>
      <c r="H241" s="17" t="s">
        <v>164</v>
      </c>
      <c r="I241" s="17" t="s">
        <v>165</v>
      </c>
      <c r="J241" s="27" t="s">
        <v>91</v>
      </c>
      <c r="K241" s="29">
        <v>18044</v>
      </c>
      <c r="L241" s="31">
        <v>2210296.9100000802</v>
      </c>
      <c r="M241" s="31">
        <v>999958.06000014103</v>
      </c>
      <c r="N241" s="31">
        <v>762041.81000015722</v>
      </c>
      <c r="O241" s="34">
        <f t="shared" si="36"/>
        <v>0.4524089299840286</v>
      </c>
      <c r="P241" s="34">
        <f t="shared" si="37"/>
        <v>0.76207377137402121</v>
      </c>
      <c r="Q241" s="34">
        <f t="shared" si="38"/>
        <v>0.5475910700159714</v>
      </c>
      <c r="R241" s="46">
        <f t="shared" si="39"/>
        <v>42.232421303489097</v>
      </c>
    </row>
    <row r="242" spans="2:18" ht="12.75" customHeight="1" x14ac:dyDescent="0.25">
      <c r="B242" s="17" t="s">
        <v>0</v>
      </c>
      <c r="C242" s="44" t="s">
        <v>70</v>
      </c>
      <c r="D242" s="22" t="s">
        <v>9</v>
      </c>
      <c r="E242" s="20">
        <v>2</v>
      </c>
      <c r="F242" s="17" t="s">
        <v>120</v>
      </c>
      <c r="G242" s="17" t="s">
        <v>163</v>
      </c>
      <c r="H242" s="17" t="s">
        <v>164</v>
      </c>
      <c r="I242" s="17" t="s">
        <v>165</v>
      </c>
      <c r="J242" s="27" t="s">
        <v>71</v>
      </c>
      <c r="K242" s="29">
        <v>18361</v>
      </c>
      <c r="L242" s="31">
        <v>1807721.2799979933</v>
      </c>
      <c r="M242" s="31">
        <v>966453.7199999803</v>
      </c>
      <c r="N242" s="31">
        <v>741973.00999864482</v>
      </c>
      <c r="O242" s="34">
        <f t="shared" si="36"/>
        <v>0.53462540420006188</v>
      </c>
      <c r="P242" s="34">
        <f t="shared" si="37"/>
        <v>0.7677274086116197</v>
      </c>
      <c r="Q242" s="34">
        <f t="shared" si="38"/>
        <v>0.46537459579993812</v>
      </c>
      <c r="R242" s="46">
        <f t="shared" si="39"/>
        <v>40.410272316248836</v>
      </c>
    </row>
    <row r="243" spans="2:18" ht="12.75" customHeight="1" x14ac:dyDescent="0.25">
      <c r="B243" s="17" t="s">
        <v>0</v>
      </c>
      <c r="C243" s="44" t="s">
        <v>16</v>
      </c>
      <c r="D243" s="22" t="s">
        <v>9</v>
      </c>
      <c r="E243" s="20">
        <v>2</v>
      </c>
      <c r="F243" s="17" t="s">
        <v>120</v>
      </c>
      <c r="G243" s="17" t="s">
        <v>163</v>
      </c>
      <c r="H243" s="17" t="s">
        <v>164</v>
      </c>
      <c r="I243" s="17" t="s">
        <v>165</v>
      </c>
      <c r="J243" s="27" t="s">
        <v>17</v>
      </c>
      <c r="K243" s="29">
        <v>23048</v>
      </c>
      <c r="L243" s="31">
        <v>3131721.9899952421</v>
      </c>
      <c r="M243" s="31">
        <v>947082.2799984368</v>
      </c>
      <c r="N243" s="31">
        <v>734178.39000028314</v>
      </c>
      <c r="O243" s="34">
        <f t="shared" si="36"/>
        <v>0.30241582203785455</v>
      </c>
      <c r="P243" s="34">
        <f t="shared" si="37"/>
        <v>0.77520021808611494</v>
      </c>
      <c r="Q243" s="34">
        <f t="shared" si="38"/>
        <v>0.69758417796214545</v>
      </c>
      <c r="R243" s="46">
        <f t="shared" si="39"/>
        <v>31.854320982310099</v>
      </c>
    </row>
    <row r="244" spans="2:18" ht="12.75" customHeight="1" x14ac:dyDescent="0.25">
      <c r="B244" s="17" t="s">
        <v>0</v>
      </c>
      <c r="C244" s="44" t="s">
        <v>7</v>
      </c>
      <c r="D244" s="22" t="s">
        <v>9</v>
      </c>
      <c r="E244" s="20">
        <v>2</v>
      </c>
      <c r="F244" s="17" t="s">
        <v>120</v>
      </c>
      <c r="G244" s="17" t="s">
        <v>163</v>
      </c>
      <c r="H244" s="17" t="s">
        <v>164</v>
      </c>
      <c r="I244" s="17" t="s">
        <v>165</v>
      </c>
      <c r="J244" s="27" t="s">
        <v>8</v>
      </c>
      <c r="K244" s="29">
        <v>26404</v>
      </c>
      <c r="L244" s="31">
        <v>3193440.6900016512</v>
      </c>
      <c r="M244" s="31">
        <v>901549.24000060628</v>
      </c>
      <c r="N244" s="31">
        <v>699967.91000074195</v>
      </c>
      <c r="O244" s="34">
        <f t="shared" si="36"/>
        <v>0.28231281790304369</v>
      </c>
      <c r="P244" s="34">
        <f t="shared" si="37"/>
        <v>0.7764056348162095</v>
      </c>
      <c r="Q244" s="34">
        <f t="shared" si="38"/>
        <v>0.71768718209695637</v>
      </c>
      <c r="R244" s="46">
        <f t="shared" si="39"/>
        <v>26.509919330432584</v>
      </c>
    </row>
    <row r="245" spans="2:18" ht="12.75" customHeight="1" x14ac:dyDescent="0.25">
      <c r="B245" s="17" t="s">
        <v>0</v>
      </c>
      <c r="C245" s="44" t="s">
        <v>28</v>
      </c>
      <c r="D245" s="22" t="s">
        <v>9</v>
      </c>
      <c r="E245" s="20">
        <v>2</v>
      </c>
      <c r="F245" s="17" t="s">
        <v>120</v>
      </c>
      <c r="G245" s="17" t="s">
        <v>163</v>
      </c>
      <c r="H245" s="17" t="s">
        <v>164</v>
      </c>
      <c r="I245" s="17" t="s">
        <v>165</v>
      </c>
      <c r="J245" s="27" t="s">
        <v>29</v>
      </c>
      <c r="K245" s="29">
        <v>16733</v>
      </c>
      <c r="L245" s="31">
        <v>1545362.2399982151</v>
      </c>
      <c r="M245" s="31">
        <v>870203.1499950682</v>
      </c>
      <c r="N245" s="31">
        <v>676470.87000110489</v>
      </c>
      <c r="O245" s="34">
        <f t="shared" si="36"/>
        <v>0.56310625914871149</v>
      </c>
      <c r="P245" s="34">
        <f t="shared" si="37"/>
        <v>0.77737120349993993</v>
      </c>
      <c r="Q245" s="34">
        <f t="shared" si="38"/>
        <v>0.43689374085128851</v>
      </c>
      <c r="R245" s="46">
        <f t="shared" si="39"/>
        <v>40.427351341726222</v>
      </c>
    </row>
    <row r="246" spans="2:18" ht="12.75" customHeight="1" x14ac:dyDescent="0.25">
      <c r="B246" s="17" t="s">
        <v>0</v>
      </c>
      <c r="C246" s="44" t="s">
        <v>20</v>
      </c>
      <c r="D246" s="22" t="s">
        <v>9</v>
      </c>
      <c r="E246" s="20">
        <v>2</v>
      </c>
      <c r="F246" s="17" t="s">
        <v>120</v>
      </c>
      <c r="G246" s="17" t="s">
        <v>163</v>
      </c>
      <c r="H246" s="17" t="s">
        <v>164</v>
      </c>
      <c r="I246" s="17" t="s">
        <v>165</v>
      </c>
      <c r="J246" s="27" t="s">
        <v>21</v>
      </c>
      <c r="K246" s="29">
        <v>19975</v>
      </c>
      <c r="L246" s="31">
        <v>3247223.8599957386</v>
      </c>
      <c r="M246" s="31">
        <v>854730.87000129989</v>
      </c>
      <c r="N246" s="31">
        <v>667673.7500021517</v>
      </c>
      <c r="O246" s="34">
        <f t="shared" si="36"/>
        <v>0.26321895466807194</v>
      </c>
      <c r="P246" s="34">
        <f t="shared" si="37"/>
        <v>0.78115085512371429</v>
      </c>
      <c r="Q246" s="34">
        <f t="shared" si="38"/>
        <v>0.73678104533192812</v>
      </c>
      <c r="R246" s="46">
        <f t="shared" si="39"/>
        <v>33.425469336778555</v>
      </c>
    </row>
    <row r="247" spans="2:18" ht="12.75" customHeight="1" x14ac:dyDescent="0.25">
      <c r="B247" s="17" t="s">
        <v>0</v>
      </c>
      <c r="C247" s="44" t="s">
        <v>54</v>
      </c>
      <c r="D247" s="22" t="s">
        <v>2</v>
      </c>
      <c r="E247" s="20">
        <v>1</v>
      </c>
      <c r="F247" s="17" t="s">
        <v>120</v>
      </c>
      <c r="G247" s="17" t="s">
        <v>163</v>
      </c>
      <c r="H247" s="17" t="s">
        <v>164</v>
      </c>
      <c r="I247" s="17" t="s">
        <v>165</v>
      </c>
      <c r="J247" s="27" t="s">
        <v>55</v>
      </c>
      <c r="K247" s="29">
        <v>20091</v>
      </c>
      <c r="L247" s="31">
        <v>2329584.1500001606</v>
      </c>
      <c r="M247" s="31">
        <v>844251.79000003391</v>
      </c>
      <c r="N247" s="31">
        <v>649745.58000105794</v>
      </c>
      <c r="O247" s="34">
        <f t="shared" si="36"/>
        <v>0.36240450468379765</v>
      </c>
      <c r="P247" s="34">
        <f t="shared" si="37"/>
        <v>0.76961113698205108</v>
      </c>
      <c r="Q247" s="34">
        <f t="shared" si="38"/>
        <v>0.63759549531620241</v>
      </c>
      <c r="R247" s="46">
        <f t="shared" si="39"/>
        <v>32.340131402173007</v>
      </c>
    </row>
    <row r="248" spans="2:18" ht="12.75" customHeight="1" x14ac:dyDescent="0.25">
      <c r="B248" s="17" t="s">
        <v>0</v>
      </c>
      <c r="C248" s="44" t="s">
        <v>44</v>
      </c>
      <c r="D248" s="22" t="s">
        <v>9</v>
      </c>
      <c r="E248" s="20">
        <v>2</v>
      </c>
      <c r="F248" s="17" t="s">
        <v>120</v>
      </c>
      <c r="G248" s="17" t="s">
        <v>163</v>
      </c>
      <c r="H248" s="17" t="s">
        <v>164</v>
      </c>
      <c r="I248" s="17" t="s">
        <v>165</v>
      </c>
      <c r="J248" s="27" t="s">
        <v>45</v>
      </c>
      <c r="K248" s="29">
        <v>22227</v>
      </c>
      <c r="L248" s="31">
        <v>1602474.8600005847</v>
      </c>
      <c r="M248" s="31">
        <v>771509.34999898518</v>
      </c>
      <c r="N248" s="31">
        <v>606864.15000028361</v>
      </c>
      <c r="O248" s="34">
        <f t="shared" si="36"/>
        <v>0.48144864500320689</v>
      </c>
      <c r="P248" s="34">
        <f t="shared" si="37"/>
        <v>0.78659338347757146</v>
      </c>
      <c r="Q248" s="34">
        <f t="shared" si="38"/>
        <v>0.51855135499679306</v>
      </c>
      <c r="R248" s="46">
        <f t="shared" si="39"/>
        <v>27.303016601443453</v>
      </c>
    </row>
    <row r="249" spans="2:18" ht="12.75" customHeight="1" x14ac:dyDescent="0.25">
      <c r="B249" s="17" t="s">
        <v>0</v>
      </c>
      <c r="C249" s="44" t="s">
        <v>153</v>
      </c>
      <c r="D249" s="22" t="s">
        <v>2</v>
      </c>
      <c r="E249" s="20">
        <v>1</v>
      </c>
      <c r="F249" s="17" t="s">
        <v>120</v>
      </c>
      <c r="G249" s="17" t="s">
        <v>163</v>
      </c>
      <c r="H249" s="17" t="s">
        <v>164</v>
      </c>
      <c r="I249" s="17" t="s">
        <v>165</v>
      </c>
      <c r="J249" s="27" t="s">
        <v>154</v>
      </c>
      <c r="K249" s="29">
        <v>7793</v>
      </c>
      <c r="L249" s="31">
        <v>1544392.0499995833</v>
      </c>
      <c r="M249" s="31">
        <v>550128.92000053427</v>
      </c>
      <c r="N249" s="31">
        <v>437120.21999985393</v>
      </c>
      <c r="O249" s="34">
        <f t="shared" si="36"/>
        <v>0.35621066555003483</v>
      </c>
      <c r="P249" s="34">
        <f t="shared" si="37"/>
        <v>0.794577787329249</v>
      </c>
      <c r="Q249" s="34">
        <f t="shared" si="38"/>
        <v>0.64378933444996522</v>
      </c>
      <c r="R249" s="46">
        <f t="shared" si="39"/>
        <v>56.091392275099949</v>
      </c>
    </row>
    <row r="250" spans="2:18" ht="12.75" customHeight="1" x14ac:dyDescent="0.25">
      <c r="B250" s="17" t="s">
        <v>0</v>
      </c>
      <c r="C250" s="44" t="s">
        <v>32</v>
      </c>
      <c r="D250" s="22" t="s">
        <v>9</v>
      </c>
      <c r="E250" s="20">
        <v>2</v>
      </c>
      <c r="F250" s="17" t="s">
        <v>120</v>
      </c>
      <c r="G250" s="17" t="s">
        <v>163</v>
      </c>
      <c r="H250" s="17" t="s">
        <v>164</v>
      </c>
      <c r="I250" s="17" t="s">
        <v>165</v>
      </c>
      <c r="J250" s="27" t="s">
        <v>33</v>
      </c>
      <c r="K250" s="29">
        <v>11480</v>
      </c>
      <c r="L250" s="31">
        <v>1135608.0999983852</v>
      </c>
      <c r="M250" s="31">
        <v>518545.2199888461</v>
      </c>
      <c r="N250" s="31">
        <v>406981.62998944614</v>
      </c>
      <c r="O250" s="34">
        <f t="shared" si="36"/>
        <v>0.45662338969718819</v>
      </c>
      <c r="P250" s="34">
        <f t="shared" si="37"/>
        <v>0.78485272701617093</v>
      </c>
      <c r="Q250" s="34">
        <f t="shared" si="38"/>
        <v>0.54337661030281181</v>
      </c>
      <c r="R250" s="46">
        <f t="shared" si="39"/>
        <v>35.451361497338517</v>
      </c>
    </row>
    <row r="251" spans="2:18" ht="12.75" customHeight="1" x14ac:dyDescent="0.25">
      <c r="B251" s="17" t="s">
        <v>0</v>
      </c>
      <c r="C251" s="44" t="s">
        <v>62</v>
      </c>
      <c r="D251" s="22" t="s">
        <v>2</v>
      </c>
      <c r="E251" s="20">
        <v>1</v>
      </c>
      <c r="F251" s="17" t="s">
        <v>120</v>
      </c>
      <c r="G251" s="17" t="s">
        <v>163</v>
      </c>
      <c r="H251" s="17" t="s">
        <v>164</v>
      </c>
      <c r="I251" s="17" t="s">
        <v>165</v>
      </c>
      <c r="J251" s="27" t="s">
        <v>63</v>
      </c>
      <c r="K251" s="29">
        <v>6306</v>
      </c>
      <c r="L251" s="31">
        <v>1549306.9500005301</v>
      </c>
      <c r="M251" s="31">
        <v>468143.52999967185</v>
      </c>
      <c r="N251" s="31">
        <v>371682.14000024705</v>
      </c>
      <c r="O251" s="34">
        <f t="shared" si="36"/>
        <v>0.30216318980529433</v>
      </c>
      <c r="P251" s="34">
        <f t="shared" si="37"/>
        <v>0.79394911214624198</v>
      </c>
      <c r="Q251" s="34">
        <f t="shared" si="38"/>
        <v>0.69783681019470567</v>
      </c>
      <c r="R251" s="46">
        <f t="shared" si="39"/>
        <v>58.94103076439059</v>
      </c>
    </row>
    <row r="252" spans="2:18" ht="12.75" customHeight="1" x14ac:dyDescent="0.25">
      <c r="B252" s="17" t="s">
        <v>0</v>
      </c>
      <c r="C252" s="44" t="s">
        <v>34</v>
      </c>
      <c r="D252" s="22" t="s">
        <v>9</v>
      </c>
      <c r="E252" s="20">
        <v>2</v>
      </c>
      <c r="F252" s="17" t="s">
        <v>120</v>
      </c>
      <c r="G252" s="17" t="s">
        <v>163</v>
      </c>
      <c r="H252" s="17" t="s">
        <v>164</v>
      </c>
      <c r="I252" s="17" t="s">
        <v>165</v>
      </c>
      <c r="J252" s="27" t="s">
        <v>35</v>
      </c>
      <c r="K252" s="29">
        <v>16746</v>
      </c>
      <c r="L252" s="31">
        <v>933527.73999976518</v>
      </c>
      <c r="M252" s="31">
        <v>467939.23000057199</v>
      </c>
      <c r="N252" s="31">
        <v>368981.88000188809</v>
      </c>
      <c r="O252" s="34">
        <f t="shared" si="36"/>
        <v>0.50125905203490762</v>
      </c>
      <c r="P252" s="34">
        <f t="shared" si="37"/>
        <v>0.78852521085149685</v>
      </c>
      <c r="Q252" s="34">
        <f t="shared" si="38"/>
        <v>0.49874094796509238</v>
      </c>
      <c r="R252" s="46">
        <f t="shared" si="39"/>
        <v>22.034030813441305</v>
      </c>
    </row>
    <row r="253" spans="2:18" ht="12.75" customHeight="1" x14ac:dyDescent="0.25">
      <c r="B253" s="17" t="s">
        <v>0</v>
      </c>
      <c r="C253" s="44" t="s">
        <v>137</v>
      </c>
      <c r="D253" s="22" t="s">
        <v>9</v>
      </c>
      <c r="E253" s="20">
        <v>2</v>
      </c>
      <c r="F253" s="17" t="s">
        <v>120</v>
      </c>
      <c r="G253" s="17" t="s">
        <v>163</v>
      </c>
      <c r="H253" s="17" t="s">
        <v>164</v>
      </c>
      <c r="I253" s="17" t="s">
        <v>165</v>
      </c>
      <c r="J253" s="27" t="s">
        <v>138</v>
      </c>
      <c r="K253" s="29">
        <v>13405</v>
      </c>
      <c r="L253" s="31">
        <v>873707.63000111596</v>
      </c>
      <c r="M253" s="31">
        <v>418961.54999992799</v>
      </c>
      <c r="N253" s="31">
        <v>333802.48000040109</v>
      </c>
      <c r="O253" s="34">
        <f t="shared" si="36"/>
        <v>0.47952145044148564</v>
      </c>
      <c r="P253" s="34">
        <f t="shared" si="37"/>
        <v>0.79673774359594207</v>
      </c>
      <c r="Q253" s="34">
        <f t="shared" si="38"/>
        <v>0.52047854955851436</v>
      </c>
      <c r="R253" s="46">
        <f t="shared" si="39"/>
        <v>24.901341290593145</v>
      </c>
    </row>
    <row r="254" spans="2:18" ht="12.75" customHeight="1" x14ac:dyDescent="0.25">
      <c r="B254" s="17" t="s">
        <v>0</v>
      </c>
      <c r="C254" s="44" t="s">
        <v>26</v>
      </c>
      <c r="D254" s="22" t="s">
        <v>9</v>
      </c>
      <c r="E254" s="20">
        <v>2</v>
      </c>
      <c r="F254" s="17" t="s">
        <v>120</v>
      </c>
      <c r="G254" s="17" t="s">
        <v>163</v>
      </c>
      <c r="H254" s="17" t="s">
        <v>164</v>
      </c>
      <c r="I254" s="17" t="s">
        <v>165</v>
      </c>
      <c r="J254" s="27" t="s">
        <v>27</v>
      </c>
      <c r="K254" s="29">
        <v>1730</v>
      </c>
      <c r="L254" s="31">
        <v>458450</v>
      </c>
      <c r="M254" s="31">
        <v>222242.83999718999</v>
      </c>
      <c r="N254" s="31">
        <v>172568.4800018</v>
      </c>
      <c r="O254" s="34">
        <f t="shared" si="36"/>
        <v>0.48477007306617947</v>
      </c>
      <c r="P254" s="34">
        <f t="shared" si="37"/>
        <v>0.77648611763592446</v>
      </c>
      <c r="Q254" s="34">
        <f t="shared" si="38"/>
        <v>0.51522992693382053</v>
      </c>
      <c r="R254" s="46">
        <f t="shared" si="39"/>
        <v>99.750566475028904</v>
      </c>
    </row>
    <row r="255" spans="2:18" ht="12.75" customHeight="1" x14ac:dyDescent="0.25">
      <c r="B255" s="17" t="s">
        <v>0</v>
      </c>
      <c r="C255" s="44" t="s">
        <v>145</v>
      </c>
      <c r="D255" s="22" t="s">
        <v>2</v>
      </c>
      <c r="E255" s="20">
        <v>1</v>
      </c>
      <c r="F255" s="17" t="s">
        <v>120</v>
      </c>
      <c r="G255" s="17" t="s">
        <v>163</v>
      </c>
      <c r="H255" s="17" t="s">
        <v>164</v>
      </c>
      <c r="I255" s="17" t="s">
        <v>165</v>
      </c>
      <c r="J255" s="27" t="s">
        <v>146</v>
      </c>
      <c r="K255" s="29">
        <v>10166</v>
      </c>
      <c r="L255" s="31">
        <v>438086.269999907</v>
      </c>
      <c r="M255" s="31">
        <v>189615.91999925801</v>
      </c>
      <c r="N255" s="31">
        <v>149730.56999870599</v>
      </c>
      <c r="O255" s="34">
        <f t="shared" si="36"/>
        <v>0.43282780809199584</v>
      </c>
      <c r="P255" s="34">
        <f t="shared" si="37"/>
        <v>0.78965189209477715</v>
      </c>
      <c r="Q255" s="34">
        <f t="shared" si="38"/>
        <v>0.56717219190800416</v>
      </c>
      <c r="R255" s="46">
        <f t="shared" si="39"/>
        <v>14.728562856453472</v>
      </c>
    </row>
    <row r="256" spans="2:18" ht="12.75" customHeight="1" x14ac:dyDescent="0.25">
      <c r="B256" s="17" t="s">
        <v>0</v>
      </c>
      <c r="C256" s="44" t="s">
        <v>50</v>
      </c>
      <c r="D256" s="22" t="s">
        <v>2</v>
      </c>
      <c r="E256" s="20">
        <v>1</v>
      </c>
      <c r="F256" s="17" t="s">
        <v>120</v>
      </c>
      <c r="G256" s="17" t="s">
        <v>163</v>
      </c>
      <c r="H256" s="17" t="s">
        <v>164</v>
      </c>
      <c r="I256" s="17" t="s">
        <v>165</v>
      </c>
      <c r="J256" s="27" t="s">
        <v>51</v>
      </c>
      <c r="K256" s="29">
        <v>4767</v>
      </c>
      <c r="L256" s="31">
        <v>632047.97999907704</v>
      </c>
      <c r="M256" s="31">
        <v>181455.67999998463</v>
      </c>
      <c r="N256" s="31">
        <v>142864.98000031686</v>
      </c>
      <c r="O256" s="34">
        <f t="shared" ref="O256:O287" si="40">IFERROR(M256/L256,0)</f>
        <v>0.28709162238007563</v>
      </c>
      <c r="P256" s="34">
        <f t="shared" ref="P256:P287" si="41">IFERROR(N256/M256,0)</f>
        <v>0.7873271313431961</v>
      </c>
      <c r="Q256" s="34">
        <f t="shared" ref="Q256:Q287" si="42">IFERROR(1-(M256/L256),0)</f>
        <v>0.71290837761992432</v>
      </c>
      <c r="R256" s="46">
        <f t="shared" ref="R256:R287" si="43">IFERROR(N256/K256,0)</f>
        <v>29.969578351230723</v>
      </c>
    </row>
    <row r="257" spans="2:18" ht="12.75" customHeight="1" x14ac:dyDescent="0.25">
      <c r="B257" s="17" t="s">
        <v>0</v>
      </c>
      <c r="C257" s="44" t="s">
        <v>22</v>
      </c>
      <c r="D257" s="22" t="s">
        <v>9</v>
      </c>
      <c r="E257" s="20">
        <v>2</v>
      </c>
      <c r="F257" s="17" t="s">
        <v>120</v>
      </c>
      <c r="G257" s="17" t="s">
        <v>163</v>
      </c>
      <c r="H257" s="17" t="s">
        <v>164</v>
      </c>
      <c r="I257" s="17" t="s">
        <v>165</v>
      </c>
      <c r="J257" s="27" t="s">
        <v>23</v>
      </c>
      <c r="K257" s="29">
        <v>2424</v>
      </c>
      <c r="L257" s="31">
        <v>381948.559999994</v>
      </c>
      <c r="M257" s="31">
        <v>181931.16000187598</v>
      </c>
      <c r="N257" s="31">
        <v>141492.2499993197</v>
      </c>
      <c r="O257" s="34">
        <f t="shared" si="40"/>
        <v>0.4763237227596272</v>
      </c>
      <c r="P257" s="34">
        <f t="shared" si="41"/>
        <v>0.77772411277903519</v>
      </c>
      <c r="Q257" s="34">
        <f t="shared" si="42"/>
        <v>0.5236762772403728</v>
      </c>
      <c r="R257" s="46">
        <f t="shared" si="43"/>
        <v>58.371390263745752</v>
      </c>
    </row>
    <row r="258" spans="2:18" ht="12.75" customHeight="1" x14ac:dyDescent="0.25">
      <c r="B258" s="17" t="s">
        <v>0</v>
      </c>
      <c r="C258" s="44" t="s">
        <v>24</v>
      </c>
      <c r="D258" s="22" t="s">
        <v>2</v>
      </c>
      <c r="E258" s="20">
        <v>1</v>
      </c>
      <c r="F258" s="17" t="s">
        <v>120</v>
      </c>
      <c r="G258" s="17" t="s">
        <v>163</v>
      </c>
      <c r="H258" s="17" t="s">
        <v>164</v>
      </c>
      <c r="I258" s="17" t="s">
        <v>165</v>
      </c>
      <c r="J258" s="27" t="s">
        <v>25</v>
      </c>
      <c r="K258" s="29">
        <v>6199</v>
      </c>
      <c r="L258" s="31">
        <v>493431.99000033108</v>
      </c>
      <c r="M258" s="31">
        <v>151308.88999973499</v>
      </c>
      <c r="N258" s="31">
        <v>118420.50000008901</v>
      </c>
      <c r="O258" s="34">
        <f t="shared" si="40"/>
        <v>0.30664588649721203</v>
      </c>
      <c r="P258" s="34">
        <f t="shared" si="41"/>
        <v>0.78264072917524152</v>
      </c>
      <c r="Q258" s="34">
        <f t="shared" si="42"/>
        <v>0.69335411350278797</v>
      </c>
      <c r="R258" s="46">
        <f t="shared" si="43"/>
        <v>19.103161800304729</v>
      </c>
    </row>
    <row r="259" spans="2:18" ht="12.75" customHeight="1" x14ac:dyDescent="0.25">
      <c r="B259" s="17" t="s">
        <v>0</v>
      </c>
      <c r="C259" s="44" t="s">
        <v>96</v>
      </c>
      <c r="D259" s="22" t="s">
        <v>9</v>
      </c>
      <c r="E259" s="20">
        <v>2</v>
      </c>
      <c r="F259" s="17" t="s">
        <v>120</v>
      </c>
      <c r="G259" s="17" t="s">
        <v>163</v>
      </c>
      <c r="H259" s="17" t="s">
        <v>164</v>
      </c>
      <c r="I259" s="17" t="s">
        <v>165</v>
      </c>
      <c r="J259" s="27" t="s">
        <v>97</v>
      </c>
      <c r="K259" s="29">
        <v>3123</v>
      </c>
      <c r="L259" s="31">
        <v>216513.34000025599</v>
      </c>
      <c r="M259" s="31">
        <v>141814.89999898802</v>
      </c>
      <c r="N259" s="31">
        <v>109451.9499996138</v>
      </c>
      <c r="O259" s="34">
        <f t="shared" si="40"/>
        <v>0.6549938216223552</v>
      </c>
      <c r="P259" s="34">
        <f t="shared" si="41"/>
        <v>0.7717944306303135</v>
      </c>
      <c r="Q259" s="34">
        <f t="shared" si="42"/>
        <v>0.3450061783776448</v>
      </c>
      <c r="R259" s="46">
        <f t="shared" si="43"/>
        <v>35.047054114509706</v>
      </c>
    </row>
    <row r="260" spans="2:18" ht="12.75" customHeight="1" x14ac:dyDescent="0.25">
      <c r="B260" s="17" t="s">
        <v>0</v>
      </c>
      <c r="C260" s="44" t="s">
        <v>141</v>
      </c>
      <c r="D260" s="22" t="s">
        <v>9</v>
      </c>
      <c r="E260" s="20">
        <v>2</v>
      </c>
      <c r="F260" s="17" t="s">
        <v>120</v>
      </c>
      <c r="G260" s="17" t="s">
        <v>163</v>
      </c>
      <c r="H260" s="17" t="s">
        <v>164</v>
      </c>
      <c r="I260" s="17" t="s">
        <v>165</v>
      </c>
      <c r="J260" s="27" t="s">
        <v>142</v>
      </c>
      <c r="K260" s="29">
        <v>3196</v>
      </c>
      <c r="L260" s="31">
        <v>325249.31000002101</v>
      </c>
      <c r="M260" s="31">
        <v>136043.84999977003</v>
      </c>
      <c r="N260" s="31">
        <v>105993.389999712</v>
      </c>
      <c r="O260" s="34">
        <f t="shared" si="40"/>
        <v>0.41827559910814643</v>
      </c>
      <c r="P260" s="34">
        <f t="shared" si="41"/>
        <v>0.77911195544591816</v>
      </c>
      <c r="Q260" s="34">
        <f t="shared" si="42"/>
        <v>0.58172440089185362</v>
      </c>
      <c r="R260" s="46">
        <f t="shared" si="43"/>
        <v>33.164389862237798</v>
      </c>
    </row>
    <row r="261" spans="2:18" ht="12.75" customHeight="1" x14ac:dyDescent="0.25">
      <c r="B261" s="17" t="s">
        <v>0</v>
      </c>
      <c r="C261" s="44" t="s">
        <v>58</v>
      </c>
      <c r="D261" s="22" t="s">
        <v>2</v>
      </c>
      <c r="E261" s="20">
        <v>1</v>
      </c>
      <c r="F261" s="17" t="s">
        <v>120</v>
      </c>
      <c r="G261" s="17" t="s">
        <v>163</v>
      </c>
      <c r="H261" s="17" t="s">
        <v>164</v>
      </c>
      <c r="I261" s="17" t="s">
        <v>165</v>
      </c>
      <c r="J261" s="27" t="s">
        <v>59</v>
      </c>
      <c r="K261" s="29">
        <v>2368</v>
      </c>
      <c r="L261" s="31">
        <v>385454.27000023203</v>
      </c>
      <c r="M261" s="31">
        <v>132850.79000020458</v>
      </c>
      <c r="N261" s="31">
        <v>103677.3699998324</v>
      </c>
      <c r="O261" s="34">
        <f t="shared" si="40"/>
        <v>0.34466031469861419</v>
      </c>
      <c r="P261" s="34">
        <f t="shared" si="41"/>
        <v>0.78040461783985438</v>
      </c>
      <c r="Q261" s="34">
        <f t="shared" si="42"/>
        <v>0.65533968530138575</v>
      </c>
      <c r="R261" s="46">
        <f t="shared" si="43"/>
        <v>43.782673141821114</v>
      </c>
    </row>
    <row r="262" spans="2:18" ht="12.75" customHeight="1" x14ac:dyDescent="0.25">
      <c r="B262" s="17" t="s">
        <v>0</v>
      </c>
      <c r="C262" s="44" t="s">
        <v>105</v>
      </c>
      <c r="D262" s="22" t="s">
        <v>9</v>
      </c>
      <c r="E262" s="20">
        <v>2</v>
      </c>
      <c r="F262" s="17" t="s">
        <v>120</v>
      </c>
      <c r="G262" s="17" t="s">
        <v>163</v>
      </c>
      <c r="H262" s="17" t="s">
        <v>164</v>
      </c>
      <c r="I262" s="17" t="s">
        <v>165</v>
      </c>
      <c r="J262" s="27" t="s">
        <v>106</v>
      </c>
      <c r="K262" s="29">
        <v>2227</v>
      </c>
      <c r="L262" s="31">
        <v>279623</v>
      </c>
      <c r="M262" s="31">
        <v>133904.08000045799</v>
      </c>
      <c r="N262" s="31">
        <v>99909.209999915998</v>
      </c>
      <c r="O262" s="34">
        <f t="shared" si="40"/>
        <v>0.4788736262770158</v>
      </c>
      <c r="P262" s="34">
        <f t="shared" si="41"/>
        <v>0.7461252114168162</v>
      </c>
      <c r="Q262" s="34">
        <f t="shared" si="42"/>
        <v>0.5211263737229842</v>
      </c>
      <c r="R262" s="46">
        <f t="shared" si="43"/>
        <v>44.862689717070495</v>
      </c>
    </row>
    <row r="263" spans="2:18" ht="12.75" customHeight="1" x14ac:dyDescent="0.25">
      <c r="B263" s="17" t="s">
        <v>0</v>
      </c>
      <c r="C263" s="44" t="s">
        <v>62</v>
      </c>
      <c r="D263" s="22" t="s">
        <v>9</v>
      </c>
      <c r="E263" s="20">
        <v>2</v>
      </c>
      <c r="F263" s="17" t="s">
        <v>120</v>
      </c>
      <c r="G263" s="17" t="s">
        <v>163</v>
      </c>
      <c r="H263" s="17" t="s">
        <v>164</v>
      </c>
      <c r="I263" s="17" t="s">
        <v>165</v>
      </c>
      <c r="J263" s="27" t="s">
        <v>63</v>
      </c>
      <c r="K263" s="29">
        <v>1661</v>
      </c>
      <c r="L263" s="31">
        <v>169820.49000026306</v>
      </c>
      <c r="M263" s="31">
        <v>118821.689999907</v>
      </c>
      <c r="N263" s="31">
        <v>93346.429999689411</v>
      </c>
      <c r="O263" s="34">
        <f t="shared" si="40"/>
        <v>0.6996899490734183</v>
      </c>
      <c r="P263" s="34">
        <f t="shared" si="41"/>
        <v>0.78560092858267272</v>
      </c>
      <c r="Q263" s="34">
        <f t="shared" si="42"/>
        <v>0.3003100509265817</v>
      </c>
      <c r="R263" s="46">
        <f t="shared" si="43"/>
        <v>56.19893437669441</v>
      </c>
    </row>
    <row r="264" spans="2:18" ht="12.75" customHeight="1" x14ac:dyDescent="0.25">
      <c r="B264" s="17" t="s">
        <v>0</v>
      </c>
      <c r="C264" s="44" t="s">
        <v>38</v>
      </c>
      <c r="D264" s="22" t="s">
        <v>9</v>
      </c>
      <c r="E264" s="20">
        <v>2</v>
      </c>
      <c r="F264" s="17" t="s">
        <v>120</v>
      </c>
      <c r="G264" s="17" t="s">
        <v>163</v>
      </c>
      <c r="H264" s="17" t="s">
        <v>164</v>
      </c>
      <c r="I264" s="17" t="s">
        <v>165</v>
      </c>
      <c r="J264" s="27" t="s">
        <v>39</v>
      </c>
      <c r="K264" s="29">
        <v>2970</v>
      </c>
      <c r="L264" s="31">
        <v>238320.19999999797</v>
      </c>
      <c r="M264" s="31">
        <v>115411.92999988103</v>
      </c>
      <c r="N264" s="31">
        <v>91479.120000145005</v>
      </c>
      <c r="O264" s="34">
        <f t="shared" si="40"/>
        <v>0.48427254592721058</v>
      </c>
      <c r="P264" s="34">
        <f t="shared" si="41"/>
        <v>0.79263140301214363</v>
      </c>
      <c r="Q264" s="34">
        <f t="shared" si="42"/>
        <v>0.51572745407278942</v>
      </c>
      <c r="R264" s="46">
        <f t="shared" si="43"/>
        <v>30.80105050509933</v>
      </c>
    </row>
    <row r="265" spans="2:18" ht="12.75" customHeight="1" x14ac:dyDescent="0.25">
      <c r="B265" s="17" t="s">
        <v>0</v>
      </c>
      <c r="C265" s="44" t="s">
        <v>74</v>
      </c>
      <c r="D265" s="22" t="s">
        <v>9</v>
      </c>
      <c r="E265" s="20">
        <v>2</v>
      </c>
      <c r="F265" s="17" t="s">
        <v>120</v>
      </c>
      <c r="G265" s="17" t="s">
        <v>163</v>
      </c>
      <c r="H265" s="17" t="s">
        <v>164</v>
      </c>
      <c r="I265" s="17" t="s">
        <v>165</v>
      </c>
      <c r="J265" s="27" t="s">
        <v>75</v>
      </c>
      <c r="K265" s="29">
        <v>1726</v>
      </c>
      <c r="L265" s="31">
        <v>209527.91999305997</v>
      </c>
      <c r="M265" s="31">
        <v>103802.74000040098</v>
      </c>
      <c r="N265" s="31">
        <v>82149.130000660007</v>
      </c>
      <c r="O265" s="34">
        <f t="shared" si="40"/>
        <v>0.49541244910863985</v>
      </c>
      <c r="P265" s="34">
        <f t="shared" si="41"/>
        <v>0.79139654695379591</v>
      </c>
      <c r="Q265" s="34">
        <f t="shared" si="42"/>
        <v>0.5045875508913602</v>
      </c>
      <c r="R265" s="46">
        <f t="shared" si="43"/>
        <v>47.59509270026652</v>
      </c>
    </row>
    <row r="266" spans="2:18" ht="12.75" customHeight="1" x14ac:dyDescent="0.25">
      <c r="B266" s="17" t="s">
        <v>0</v>
      </c>
      <c r="C266" s="44" t="s">
        <v>114</v>
      </c>
      <c r="D266" s="22" t="s">
        <v>2</v>
      </c>
      <c r="E266" s="20">
        <v>1</v>
      </c>
      <c r="F266" s="17" t="s">
        <v>120</v>
      </c>
      <c r="G266" s="17" t="s">
        <v>163</v>
      </c>
      <c r="H266" s="17" t="s">
        <v>164</v>
      </c>
      <c r="I266" s="17" t="s">
        <v>165</v>
      </c>
      <c r="J266" s="27" t="s">
        <v>118</v>
      </c>
      <c r="K266" s="29">
        <v>5861</v>
      </c>
      <c r="L266" s="31">
        <v>167559.23999905397</v>
      </c>
      <c r="M266" s="31">
        <v>104337.80000082201</v>
      </c>
      <c r="N266" s="31">
        <v>78709.400001180795</v>
      </c>
      <c r="O266" s="34">
        <f t="shared" si="40"/>
        <v>0.62269201030877852</v>
      </c>
      <c r="P266" s="34">
        <f t="shared" si="41"/>
        <v>0.75437089914259925</v>
      </c>
      <c r="Q266" s="34">
        <f t="shared" si="42"/>
        <v>0.37730798969122148</v>
      </c>
      <c r="R266" s="46">
        <f t="shared" si="43"/>
        <v>13.42934652809773</v>
      </c>
    </row>
    <row r="267" spans="2:18" ht="12.75" customHeight="1" x14ac:dyDescent="0.25">
      <c r="B267" s="17" t="s">
        <v>0</v>
      </c>
      <c r="C267" s="44" t="s">
        <v>14</v>
      </c>
      <c r="D267" s="22" t="s">
        <v>2</v>
      </c>
      <c r="E267" s="20">
        <v>1</v>
      </c>
      <c r="F267" s="17" t="s">
        <v>120</v>
      </c>
      <c r="G267" s="17" t="s">
        <v>163</v>
      </c>
      <c r="H267" s="17" t="s">
        <v>164</v>
      </c>
      <c r="I267" s="17" t="s">
        <v>165</v>
      </c>
      <c r="J267" s="27" t="s">
        <v>15</v>
      </c>
      <c r="K267" s="29">
        <v>7087</v>
      </c>
      <c r="L267" s="31">
        <v>288610.36000009696</v>
      </c>
      <c r="M267" s="31">
        <v>100673.17999957503</v>
      </c>
      <c r="N267" s="31">
        <v>75666.790000033245</v>
      </c>
      <c r="O267" s="34">
        <f t="shared" si="40"/>
        <v>0.34882039577353086</v>
      </c>
      <c r="P267" s="34">
        <f t="shared" si="41"/>
        <v>0.75160822376280012</v>
      </c>
      <c r="Q267" s="34">
        <f t="shared" si="42"/>
        <v>0.65117960422646914</v>
      </c>
      <c r="R267" s="46">
        <f t="shared" si="43"/>
        <v>10.676843516302137</v>
      </c>
    </row>
    <row r="268" spans="2:18" ht="12.75" customHeight="1" x14ac:dyDescent="0.25">
      <c r="B268" s="17" t="s">
        <v>0</v>
      </c>
      <c r="C268" s="44" t="s">
        <v>56</v>
      </c>
      <c r="D268" s="22" t="s">
        <v>2</v>
      </c>
      <c r="E268" s="20">
        <v>1</v>
      </c>
      <c r="F268" s="17" t="s">
        <v>120</v>
      </c>
      <c r="G268" s="17" t="s">
        <v>163</v>
      </c>
      <c r="H268" s="17" t="s">
        <v>164</v>
      </c>
      <c r="I268" s="17" t="s">
        <v>165</v>
      </c>
      <c r="J268" s="27" t="s">
        <v>57</v>
      </c>
      <c r="K268" s="29">
        <v>2897</v>
      </c>
      <c r="L268" s="31">
        <v>204807.75000000198</v>
      </c>
      <c r="M268" s="31">
        <v>95256.879999607001</v>
      </c>
      <c r="N268" s="31">
        <v>74084.569999924584</v>
      </c>
      <c r="O268" s="34">
        <f t="shared" si="40"/>
        <v>0.4651038840063722</v>
      </c>
      <c r="P268" s="34">
        <f t="shared" si="41"/>
        <v>0.77773458463294443</v>
      </c>
      <c r="Q268" s="34">
        <f t="shared" si="42"/>
        <v>0.53489611599362785</v>
      </c>
      <c r="R268" s="46">
        <f t="shared" si="43"/>
        <v>25.572858129073037</v>
      </c>
    </row>
    <row r="269" spans="2:18" ht="12.75" customHeight="1" x14ac:dyDescent="0.25">
      <c r="B269" s="17" t="s">
        <v>0</v>
      </c>
      <c r="C269" s="44" t="s">
        <v>127</v>
      </c>
      <c r="D269" s="22" t="s">
        <v>9</v>
      </c>
      <c r="E269" s="20">
        <v>2</v>
      </c>
      <c r="F269" s="17" t="s">
        <v>120</v>
      </c>
      <c r="G269" s="17" t="s">
        <v>163</v>
      </c>
      <c r="H269" s="17" t="s">
        <v>164</v>
      </c>
      <c r="I269" s="17" t="s">
        <v>165</v>
      </c>
      <c r="J269" s="27" t="s">
        <v>128</v>
      </c>
      <c r="K269" s="29">
        <v>3332</v>
      </c>
      <c r="L269" s="31">
        <v>181646.34999985702</v>
      </c>
      <c r="M269" s="31">
        <v>94866.630000685996</v>
      </c>
      <c r="N269" s="31">
        <v>74071.949999752993</v>
      </c>
      <c r="O269" s="34">
        <f t="shared" si="40"/>
        <v>0.52226003991140291</v>
      </c>
      <c r="P269" s="34">
        <f t="shared" si="41"/>
        <v>0.78080089910664441</v>
      </c>
      <c r="Q269" s="34">
        <f t="shared" si="42"/>
        <v>0.47773996008859709</v>
      </c>
      <c r="R269" s="46">
        <f t="shared" si="43"/>
        <v>22.230477190802219</v>
      </c>
    </row>
    <row r="270" spans="2:18" ht="12.75" customHeight="1" x14ac:dyDescent="0.25">
      <c r="B270" s="17" t="s">
        <v>0</v>
      </c>
      <c r="C270" s="44" t="s">
        <v>153</v>
      </c>
      <c r="D270" s="22" t="s">
        <v>9</v>
      </c>
      <c r="E270" s="20">
        <v>2</v>
      </c>
      <c r="F270" s="17" t="s">
        <v>120</v>
      </c>
      <c r="G270" s="17" t="s">
        <v>163</v>
      </c>
      <c r="H270" s="17" t="s">
        <v>164</v>
      </c>
      <c r="I270" s="17" t="s">
        <v>165</v>
      </c>
      <c r="J270" s="27" t="s">
        <v>154</v>
      </c>
      <c r="K270" s="29">
        <v>1730</v>
      </c>
      <c r="L270" s="31">
        <v>133169.059999958</v>
      </c>
      <c r="M270" s="31">
        <v>89777.759999955</v>
      </c>
      <c r="N270" s="31">
        <v>70916.27000011802</v>
      </c>
      <c r="O270" s="34">
        <f t="shared" si="40"/>
        <v>0.6741638035139943</v>
      </c>
      <c r="P270" s="34">
        <f t="shared" si="41"/>
        <v>0.78990910443915696</v>
      </c>
      <c r="Q270" s="34">
        <f t="shared" si="42"/>
        <v>0.3258361964860057</v>
      </c>
      <c r="R270" s="46">
        <f t="shared" si="43"/>
        <v>40.992063583883251</v>
      </c>
    </row>
    <row r="271" spans="2:18" ht="12.75" customHeight="1" x14ac:dyDescent="0.25">
      <c r="B271" s="17" t="s">
        <v>0</v>
      </c>
      <c r="C271" s="44" t="s">
        <v>44</v>
      </c>
      <c r="D271" s="22" t="s">
        <v>2</v>
      </c>
      <c r="E271" s="20">
        <v>1</v>
      </c>
      <c r="F271" s="17" t="s">
        <v>120</v>
      </c>
      <c r="G271" s="17" t="s">
        <v>163</v>
      </c>
      <c r="H271" s="17" t="s">
        <v>164</v>
      </c>
      <c r="I271" s="17" t="s">
        <v>165</v>
      </c>
      <c r="J271" s="27" t="s">
        <v>45</v>
      </c>
      <c r="K271" s="29">
        <v>3504</v>
      </c>
      <c r="L271" s="31">
        <v>194826.59000003798</v>
      </c>
      <c r="M271" s="31">
        <v>88633.119999648974</v>
      </c>
      <c r="N271" s="31">
        <v>70471.509999818969</v>
      </c>
      <c r="O271" s="34">
        <f t="shared" si="40"/>
        <v>0.45493338460438948</v>
      </c>
      <c r="P271" s="34">
        <f t="shared" si="41"/>
        <v>0.79509228604496907</v>
      </c>
      <c r="Q271" s="34">
        <f t="shared" si="42"/>
        <v>0.54506661539561052</v>
      </c>
      <c r="R271" s="46">
        <f t="shared" si="43"/>
        <v>20.111732305884409</v>
      </c>
    </row>
    <row r="272" spans="2:18" ht="12.75" customHeight="1" x14ac:dyDescent="0.25">
      <c r="B272" s="17" t="s">
        <v>0</v>
      </c>
      <c r="C272" s="44" t="s">
        <v>28</v>
      </c>
      <c r="D272" s="22" t="s">
        <v>2</v>
      </c>
      <c r="E272" s="20">
        <v>1</v>
      </c>
      <c r="F272" s="17" t="s">
        <v>120</v>
      </c>
      <c r="G272" s="17" t="s">
        <v>163</v>
      </c>
      <c r="H272" s="17" t="s">
        <v>164</v>
      </c>
      <c r="I272" s="17" t="s">
        <v>165</v>
      </c>
      <c r="J272" s="27" t="s">
        <v>29</v>
      </c>
      <c r="K272" s="29">
        <v>1082</v>
      </c>
      <c r="L272" s="31">
        <v>310205.41999970999</v>
      </c>
      <c r="M272" s="31">
        <v>80485.729999920994</v>
      </c>
      <c r="N272" s="31">
        <v>64198.439999974995</v>
      </c>
      <c r="O272" s="34">
        <f t="shared" si="40"/>
        <v>0.25945945754267041</v>
      </c>
      <c r="P272" s="34">
        <f t="shared" si="41"/>
        <v>0.7976375439477037</v>
      </c>
      <c r="Q272" s="34">
        <f t="shared" si="42"/>
        <v>0.74054054245732959</v>
      </c>
      <c r="R272" s="46">
        <f t="shared" si="43"/>
        <v>59.333123844708865</v>
      </c>
    </row>
    <row r="273" spans="2:18" ht="12.75" customHeight="1" x14ac:dyDescent="0.25">
      <c r="B273" s="17" t="s">
        <v>0</v>
      </c>
      <c r="C273" s="44" t="s">
        <v>157</v>
      </c>
      <c r="D273" s="22" t="s">
        <v>2</v>
      </c>
      <c r="E273" s="20">
        <v>1</v>
      </c>
      <c r="F273" s="17" t="s">
        <v>120</v>
      </c>
      <c r="G273" s="17" t="s">
        <v>163</v>
      </c>
      <c r="H273" s="17" t="s">
        <v>164</v>
      </c>
      <c r="I273" s="17" t="s">
        <v>165</v>
      </c>
      <c r="J273" s="27" t="s">
        <v>158</v>
      </c>
      <c r="K273" s="29">
        <v>3544</v>
      </c>
      <c r="L273" s="31">
        <v>216702.72999969899</v>
      </c>
      <c r="M273" s="31">
        <v>70357.630000311008</v>
      </c>
      <c r="N273" s="31">
        <v>55420.110000378008</v>
      </c>
      <c r="O273" s="34">
        <f t="shared" si="40"/>
        <v>0.32467348242640387</v>
      </c>
      <c r="P273" s="34">
        <f t="shared" si="41"/>
        <v>0.78769154106147454</v>
      </c>
      <c r="Q273" s="34">
        <f t="shared" si="42"/>
        <v>0.67532651757359607</v>
      </c>
      <c r="R273" s="46">
        <f t="shared" si="43"/>
        <v>15.637728555411401</v>
      </c>
    </row>
    <row r="274" spans="2:18" ht="12.75" customHeight="1" x14ac:dyDescent="0.25">
      <c r="B274" s="17" t="s">
        <v>0</v>
      </c>
      <c r="C274" s="44" t="s">
        <v>92</v>
      </c>
      <c r="D274" s="22" t="s">
        <v>9</v>
      </c>
      <c r="E274" s="20">
        <v>2</v>
      </c>
      <c r="F274" s="17" t="s">
        <v>120</v>
      </c>
      <c r="G274" s="17" t="s">
        <v>163</v>
      </c>
      <c r="H274" s="17" t="s">
        <v>164</v>
      </c>
      <c r="I274" s="17" t="s">
        <v>165</v>
      </c>
      <c r="J274" s="27" t="s">
        <v>93</v>
      </c>
      <c r="K274" s="29">
        <v>3503</v>
      </c>
      <c r="L274" s="31">
        <v>138054.52999999601</v>
      </c>
      <c r="M274" s="31">
        <v>69778.310000280995</v>
      </c>
      <c r="N274" s="31">
        <v>53821.699999831981</v>
      </c>
      <c r="O274" s="34">
        <f t="shared" si="40"/>
        <v>0.50544020540494405</v>
      </c>
      <c r="P274" s="34">
        <f t="shared" si="41"/>
        <v>0.77132421234643322</v>
      </c>
      <c r="Q274" s="34">
        <f t="shared" si="42"/>
        <v>0.49455979459505595</v>
      </c>
      <c r="R274" s="46">
        <f t="shared" si="43"/>
        <v>15.364459035064796</v>
      </c>
    </row>
    <row r="275" spans="2:18" ht="12.75" customHeight="1" x14ac:dyDescent="0.25">
      <c r="B275" s="17" t="s">
        <v>0</v>
      </c>
      <c r="C275" s="44" t="s">
        <v>135</v>
      </c>
      <c r="D275" s="22" t="s">
        <v>9</v>
      </c>
      <c r="E275" s="20">
        <v>2</v>
      </c>
      <c r="F275" s="17" t="s">
        <v>120</v>
      </c>
      <c r="G275" s="17" t="s">
        <v>163</v>
      </c>
      <c r="H275" s="17" t="s">
        <v>164</v>
      </c>
      <c r="I275" s="17" t="s">
        <v>165</v>
      </c>
      <c r="J275" s="27" t="s">
        <v>136</v>
      </c>
      <c r="K275" s="29">
        <v>2596</v>
      </c>
      <c r="L275" s="31">
        <v>184873.09000060899</v>
      </c>
      <c r="M275" s="31">
        <v>69956.300000114992</v>
      </c>
      <c r="N275" s="31">
        <v>53364.880000031604</v>
      </c>
      <c r="O275" s="34">
        <f t="shared" si="40"/>
        <v>0.37840174575912888</v>
      </c>
      <c r="P275" s="34">
        <f t="shared" si="41"/>
        <v>0.76283165347429582</v>
      </c>
      <c r="Q275" s="34">
        <f t="shared" si="42"/>
        <v>0.62159825424087112</v>
      </c>
      <c r="R275" s="46">
        <f t="shared" si="43"/>
        <v>20.556579352862713</v>
      </c>
    </row>
    <row r="276" spans="2:18" ht="12.75" customHeight="1" x14ac:dyDescent="0.25">
      <c r="B276" s="17" t="s">
        <v>0</v>
      </c>
      <c r="C276" s="44" t="s">
        <v>137</v>
      </c>
      <c r="D276" s="22" t="s">
        <v>2</v>
      </c>
      <c r="E276" s="20">
        <v>1</v>
      </c>
      <c r="F276" s="17" t="s">
        <v>120</v>
      </c>
      <c r="G276" s="17" t="s">
        <v>163</v>
      </c>
      <c r="H276" s="17" t="s">
        <v>164</v>
      </c>
      <c r="I276" s="17" t="s">
        <v>165</v>
      </c>
      <c r="J276" s="27" t="s">
        <v>138</v>
      </c>
      <c r="K276" s="29">
        <v>1016</v>
      </c>
      <c r="L276" s="31">
        <v>229970.24000040002</v>
      </c>
      <c r="M276" s="31">
        <v>66855.699999949997</v>
      </c>
      <c r="N276" s="31">
        <v>53051.189999955001</v>
      </c>
      <c r="O276" s="34">
        <f t="shared" si="40"/>
        <v>0.29071457245873944</v>
      </c>
      <c r="P276" s="34">
        <f t="shared" si="41"/>
        <v>0.79351783019240962</v>
      </c>
      <c r="Q276" s="34">
        <f t="shared" si="42"/>
        <v>0.70928542754126056</v>
      </c>
      <c r="R276" s="46">
        <f t="shared" si="43"/>
        <v>52.215738188932086</v>
      </c>
    </row>
    <row r="277" spans="2:18" ht="12.75" customHeight="1" x14ac:dyDescent="0.25">
      <c r="B277" s="17" t="s">
        <v>0</v>
      </c>
      <c r="C277" s="44" t="s">
        <v>166</v>
      </c>
      <c r="D277" s="22" t="s">
        <v>9</v>
      </c>
      <c r="E277" s="20">
        <v>2</v>
      </c>
      <c r="F277" s="17" t="s">
        <v>120</v>
      </c>
      <c r="G277" s="17" t="s">
        <v>163</v>
      </c>
      <c r="H277" s="17" t="s">
        <v>164</v>
      </c>
      <c r="I277" s="17" t="s">
        <v>165</v>
      </c>
      <c r="J277" s="27" t="s">
        <v>167</v>
      </c>
      <c r="K277" s="29">
        <v>3713</v>
      </c>
      <c r="L277" s="31">
        <v>92717.470000132002</v>
      </c>
      <c r="M277" s="31">
        <v>57090.700000063</v>
      </c>
      <c r="N277" s="31">
        <v>43972.659999422991</v>
      </c>
      <c r="O277" s="34">
        <f t="shared" si="40"/>
        <v>0.61574911394779996</v>
      </c>
      <c r="P277" s="34">
        <f t="shared" si="41"/>
        <v>0.77022457246757292</v>
      </c>
      <c r="Q277" s="34">
        <f t="shared" si="42"/>
        <v>0.38425088605220004</v>
      </c>
      <c r="R277" s="46">
        <f t="shared" si="43"/>
        <v>11.842892539569887</v>
      </c>
    </row>
    <row r="278" spans="2:18" ht="12.75" customHeight="1" x14ac:dyDescent="0.25">
      <c r="B278" s="17" t="s">
        <v>0</v>
      </c>
      <c r="C278" s="44" t="s">
        <v>151</v>
      </c>
      <c r="D278" s="22" t="s">
        <v>9</v>
      </c>
      <c r="E278" s="20">
        <v>2</v>
      </c>
      <c r="F278" s="17" t="s">
        <v>120</v>
      </c>
      <c r="G278" s="17" t="s">
        <v>163</v>
      </c>
      <c r="H278" s="17" t="s">
        <v>164</v>
      </c>
      <c r="I278" s="17" t="s">
        <v>165</v>
      </c>
      <c r="J278" s="27" t="s">
        <v>152</v>
      </c>
      <c r="K278" s="29">
        <v>2429</v>
      </c>
      <c r="L278" s="31">
        <v>146529.14999996699</v>
      </c>
      <c r="M278" s="31">
        <v>54294.949999847006</v>
      </c>
      <c r="N278" s="31">
        <v>42576.220000106994</v>
      </c>
      <c r="O278" s="34">
        <f t="shared" si="40"/>
        <v>0.37054026451296029</v>
      </c>
      <c r="P278" s="34">
        <f t="shared" si="41"/>
        <v>0.78416537818391885</v>
      </c>
      <c r="Q278" s="34">
        <f t="shared" si="42"/>
        <v>0.62945973548703971</v>
      </c>
      <c r="R278" s="46">
        <f t="shared" si="43"/>
        <v>17.528291478018524</v>
      </c>
    </row>
    <row r="279" spans="2:18" ht="12.75" customHeight="1" x14ac:dyDescent="0.25">
      <c r="B279" s="17" t="s">
        <v>0</v>
      </c>
      <c r="C279" s="44" t="s">
        <v>66</v>
      </c>
      <c r="D279" s="22" t="s">
        <v>2</v>
      </c>
      <c r="E279" s="20">
        <v>1</v>
      </c>
      <c r="F279" s="17" t="s">
        <v>120</v>
      </c>
      <c r="G279" s="17" t="s">
        <v>163</v>
      </c>
      <c r="H279" s="17" t="s">
        <v>164</v>
      </c>
      <c r="I279" s="17" t="s">
        <v>165</v>
      </c>
      <c r="J279" s="27" t="s">
        <v>67</v>
      </c>
      <c r="K279" s="29">
        <v>2711</v>
      </c>
      <c r="L279" s="31">
        <v>134912.71999977197</v>
      </c>
      <c r="M279" s="31">
        <v>53856.129999728983</v>
      </c>
      <c r="N279" s="31">
        <v>41673.740000010621</v>
      </c>
      <c r="O279" s="34">
        <f t="shared" si="40"/>
        <v>0.39919238156209441</v>
      </c>
      <c r="P279" s="34">
        <f t="shared" si="41"/>
        <v>0.77379752314583938</v>
      </c>
      <c r="Q279" s="34">
        <f t="shared" si="42"/>
        <v>0.60080761843790564</v>
      </c>
      <c r="R279" s="46">
        <f t="shared" si="43"/>
        <v>15.372091479162899</v>
      </c>
    </row>
    <row r="280" spans="2:18" ht="12.75" customHeight="1" x14ac:dyDescent="0.25">
      <c r="B280" s="17" t="s">
        <v>0</v>
      </c>
      <c r="C280" s="44" t="s">
        <v>82</v>
      </c>
      <c r="D280" s="22" t="s">
        <v>9</v>
      </c>
      <c r="E280" s="20">
        <v>2</v>
      </c>
      <c r="F280" s="17" t="s">
        <v>120</v>
      </c>
      <c r="G280" s="17" t="s">
        <v>163</v>
      </c>
      <c r="H280" s="17" t="s">
        <v>164</v>
      </c>
      <c r="I280" s="17" t="s">
        <v>165</v>
      </c>
      <c r="J280" s="27" t="s">
        <v>83</v>
      </c>
      <c r="K280" s="29">
        <v>3345</v>
      </c>
      <c r="L280" s="31">
        <v>114318.67</v>
      </c>
      <c r="M280" s="31">
        <v>54161.869999832008</v>
      </c>
      <c r="N280" s="31">
        <v>40945.490000118305</v>
      </c>
      <c r="O280" s="34">
        <f t="shared" si="40"/>
        <v>0.47377974218762348</v>
      </c>
      <c r="P280" s="34">
        <f t="shared" si="41"/>
        <v>0.75598368372889091</v>
      </c>
      <c r="Q280" s="34">
        <f t="shared" si="42"/>
        <v>0.52622025781237647</v>
      </c>
      <c r="R280" s="46">
        <f t="shared" si="43"/>
        <v>12.240804185386638</v>
      </c>
    </row>
    <row r="281" spans="2:18" ht="12.75" customHeight="1" x14ac:dyDescent="0.25">
      <c r="B281" s="17" t="s">
        <v>0</v>
      </c>
      <c r="C281" s="44" t="s">
        <v>159</v>
      </c>
      <c r="D281" s="22" t="s">
        <v>9</v>
      </c>
      <c r="E281" s="20">
        <v>2</v>
      </c>
      <c r="F281" s="17" t="s">
        <v>120</v>
      </c>
      <c r="G281" s="17" t="s">
        <v>163</v>
      </c>
      <c r="H281" s="17" t="s">
        <v>164</v>
      </c>
      <c r="I281" s="17" t="s">
        <v>165</v>
      </c>
      <c r="J281" s="27" t="s">
        <v>160</v>
      </c>
      <c r="K281" s="29">
        <v>1105</v>
      </c>
      <c r="L281" s="31">
        <v>58779.779999915001</v>
      </c>
      <c r="M281" s="31">
        <v>41016.019999923003</v>
      </c>
      <c r="N281" s="31">
        <v>38732.499999869702</v>
      </c>
      <c r="O281" s="34">
        <f t="shared" si="40"/>
        <v>0.6977913153125499</v>
      </c>
      <c r="P281" s="34">
        <f t="shared" si="41"/>
        <v>0.9443261437833903</v>
      </c>
      <c r="Q281" s="34">
        <f t="shared" si="42"/>
        <v>0.3022086846874501</v>
      </c>
      <c r="R281" s="46">
        <f t="shared" si="43"/>
        <v>35.052036198977106</v>
      </c>
    </row>
    <row r="282" spans="2:18" ht="12.75" customHeight="1" x14ac:dyDescent="0.25">
      <c r="B282" s="17" t="s">
        <v>0</v>
      </c>
      <c r="C282" s="44" t="s">
        <v>72</v>
      </c>
      <c r="D282" s="22" t="s">
        <v>9</v>
      </c>
      <c r="E282" s="20">
        <v>2</v>
      </c>
      <c r="F282" s="17" t="s">
        <v>120</v>
      </c>
      <c r="G282" s="17" t="s">
        <v>163</v>
      </c>
      <c r="H282" s="17" t="s">
        <v>164</v>
      </c>
      <c r="I282" s="17" t="s">
        <v>165</v>
      </c>
      <c r="J282" s="27" t="s">
        <v>73</v>
      </c>
      <c r="K282" s="29">
        <v>2561</v>
      </c>
      <c r="L282" s="31">
        <v>83099.070000123</v>
      </c>
      <c r="M282" s="31">
        <v>47444.919999783</v>
      </c>
      <c r="N282" s="31">
        <v>37439.33000035899</v>
      </c>
      <c r="O282" s="34">
        <f t="shared" si="40"/>
        <v>0.57094405508645008</v>
      </c>
      <c r="P282" s="34">
        <f t="shared" si="41"/>
        <v>0.78911145809773153</v>
      </c>
      <c r="Q282" s="34">
        <f t="shared" si="42"/>
        <v>0.42905594491354992</v>
      </c>
      <c r="R282" s="46">
        <f t="shared" si="43"/>
        <v>14.619027723685665</v>
      </c>
    </row>
    <row r="283" spans="2:18" ht="12.75" customHeight="1" x14ac:dyDescent="0.25">
      <c r="B283" s="17" t="s">
        <v>0</v>
      </c>
      <c r="C283" s="44" t="s">
        <v>135</v>
      </c>
      <c r="D283" s="22" t="s">
        <v>2</v>
      </c>
      <c r="E283" s="20">
        <v>1</v>
      </c>
      <c r="F283" s="17" t="s">
        <v>120</v>
      </c>
      <c r="G283" s="17" t="s">
        <v>163</v>
      </c>
      <c r="H283" s="17" t="s">
        <v>164</v>
      </c>
      <c r="I283" s="17" t="s">
        <v>165</v>
      </c>
      <c r="J283" s="27" t="s">
        <v>136</v>
      </c>
      <c r="K283" s="29">
        <v>754</v>
      </c>
      <c r="L283" s="31">
        <v>171697.68000029001</v>
      </c>
      <c r="M283" s="31">
        <v>46896.199999967997</v>
      </c>
      <c r="N283" s="31">
        <v>37100.629999919001</v>
      </c>
      <c r="O283" s="34">
        <f t="shared" si="40"/>
        <v>0.27313240341913059</v>
      </c>
      <c r="P283" s="34">
        <f t="shared" si="41"/>
        <v>0.79112230841612585</v>
      </c>
      <c r="Q283" s="34">
        <f t="shared" si="42"/>
        <v>0.72686759658086941</v>
      </c>
      <c r="R283" s="46">
        <f t="shared" si="43"/>
        <v>49.205079575489393</v>
      </c>
    </row>
    <row r="284" spans="2:18" ht="12.75" customHeight="1" x14ac:dyDescent="0.25">
      <c r="B284" s="17" t="s">
        <v>0</v>
      </c>
      <c r="C284" s="44" t="s">
        <v>161</v>
      </c>
      <c r="D284" s="22" t="s">
        <v>9</v>
      </c>
      <c r="E284" s="20">
        <v>2</v>
      </c>
      <c r="F284" s="17" t="s">
        <v>120</v>
      </c>
      <c r="G284" s="17" t="s">
        <v>163</v>
      </c>
      <c r="H284" s="17" t="s">
        <v>164</v>
      </c>
      <c r="I284" s="17" t="s">
        <v>165</v>
      </c>
      <c r="J284" s="27" t="s">
        <v>162</v>
      </c>
      <c r="K284" s="29">
        <v>2666</v>
      </c>
      <c r="L284" s="31">
        <v>125471.01999986799</v>
      </c>
      <c r="M284" s="31">
        <v>45222.690000086994</v>
      </c>
      <c r="N284" s="31">
        <v>35210.679999829401</v>
      </c>
      <c r="O284" s="34">
        <f t="shared" si="40"/>
        <v>0.3604233870110769</v>
      </c>
      <c r="P284" s="34">
        <f t="shared" si="41"/>
        <v>0.77860649155903083</v>
      </c>
      <c r="Q284" s="34">
        <f t="shared" si="42"/>
        <v>0.6395766129889231</v>
      </c>
      <c r="R284" s="46">
        <f t="shared" si="43"/>
        <v>13.207306826642686</v>
      </c>
    </row>
    <row r="285" spans="2:18" ht="12.75" customHeight="1" x14ac:dyDescent="0.25">
      <c r="B285" s="17" t="s">
        <v>0</v>
      </c>
      <c r="C285" s="44" t="s">
        <v>168</v>
      </c>
      <c r="D285" s="22" t="s">
        <v>9</v>
      </c>
      <c r="E285" s="20">
        <v>2</v>
      </c>
      <c r="F285" s="17" t="s">
        <v>120</v>
      </c>
      <c r="G285" s="17" t="s">
        <v>163</v>
      </c>
      <c r="H285" s="17" t="s">
        <v>164</v>
      </c>
      <c r="I285" s="17" t="s">
        <v>165</v>
      </c>
      <c r="J285" s="27" t="s">
        <v>169</v>
      </c>
      <c r="K285" s="29">
        <v>1504</v>
      </c>
      <c r="L285" s="31">
        <v>146505.54000022201</v>
      </c>
      <c r="M285" s="31">
        <v>44555.329999897003</v>
      </c>
      <c r="N285" s="31">
        <v>33576.779999812999</v>
      </c>
      <c r="O285" s="34">
        <f t="shared" si="40"/>
        <v>0.30412044486392448</v>
      </c>
      <c r="P285" s="34">
        <f t="shared" si="41"/>
        <v>0.75359738105161866</v>
      </c>
      <c r="Q285" s="34">
        <f t="shared" si="42"/>
        <v>0.69587955513607547</v>
      </c>
      <c r="R285" s="46">
        <f t="shared" si="43"/>
        <v>22.324986702003326</v>
      </c>
    </row>
    <row r="286" spans="2:18" ht="12.75" customHeight="1" x14ac:dyDescent="0.25">
      <c r="B286" s="17" t="s">
        <v>0</v>
      </c>
      <c r="C286" s="44" t="s">
        <v>38</v>
      </c>
      <c r="D286" s="22" t="s">
        <v>2</v>
      </c>
      <c r="E286" s="20">
        <v>1</v>
      </c>
      <c r="F286" s="17" t="s">
        <v>120</v>
      </c>
      <c r="G286" s="17" t="s">
        <v>163</v>
      </c>
      <c r="H286" s="17" t="s">
        <v>164</v>
      </c>
      <c r="I286" s="17" t="s">
        <v>165</v>
      </c>
      <c r="J286" s="27" t="s">
        <v>39</v>
      </c>
      <c r="K286" s="29">
        <v>1420</v>
      </c>
      <c r="L286" s="31">
        <v>91702.000000041997</v>
      </c>
      <c r="M286" s="31">
        <v>42573.070000043001</v>
      </c>
      <c r="N286" s="31">
        <v>33510.039999911998</v>
      </c>
      <c r="O286" s="34">
        <f t="shared" si="40"/>
        <v>0.46425454188592946</v>
      </c>
      <c r="P286" s="34">
        <f t="shared" si="41"/>
        <v>0.78711824164614275</v>
      </c>
      <c r="Q286" s="34">
        <f t="shared" si="42"/>
        <v>0.53574545811407059</v>
      </c>
      <c r="R286" s="46">
        <f t="shared" si="43"/>
        <v>23.598619718247885</v>
      </c>
    </row>
    <row r="287" spans="2:18" ht="12.75" customHeight="1" x14ac:dyDescent="0.25">
      <c r="B287" s="17" t="s">
        <v>0</v>
      </c>
      <c r="C287" s="44" t="s">
        <v>52</v>
      </c>
      <c r="D287" s="22" t="s">
        <v>9</v>
      </c>
      <c r="E287" s="20">
        <v>2</v>
      </c>
      <c r="F287" s="17" t="s">
        <v>120</v>
      </c>
      <c r="G287" s="17" t="s">
        <v>163</v>
      </c>
      <c r="H287" s="17" t="s">
        <v>164</v>
      </c>
      <c r="I287" s="17" t="s">
        <v>165</v>
      </c>
      <c r="J287" s="27" t="s">
        <v>53</v>
      </c>
      <c r="K287" s="29">
        <v>1363</v>
      </c>
      <c r="L287" s="31">
        <v>89776.37999996799</v>
      </c>
      <c r="M287" s="31">
        <v>42388.210000062994</v>
      </c>
      <c r="N287" s="31">
        <v>32808.250000058993</v>
      </c>
      <c r="O287" s="34">
        <f t="shared" si="40"/>
        <v>0.47215325456515522</v>
      </c>
      <c r="P287" s="34">
        <f t="shared" si="41"/>
        <v>0.77399470277254534</v>
      </c>
      <c r="Q287" s="34">
        <f t="shared" si="42"/>
        <v>0.52784674543484478</v>
      </c>
      <c r="R287" s="46">
        <f t="shared" si="43"/>
        <v>24.070616287644164</v>
      </c>
    </row>
    <row r="288" spans="2:18" ht="12.75" customHeight="1" x14ac:dyDescent="0.25">
      <c r="B288" s="17" t="s">
        <v>0</v>
      </c>
      <c r="C288" s="44" t="s">
        <v>155</v>
      </c>
      <c r="D288" s="22" t="s">
        <v>9</v>
      </c>
      <c r="E288" s="20">
        <v>2</v>
      </c>
      <c r="F288" s="17" t="s">
        <v>120</v>
      </c>
      <c r="G288" s="17" t="s">
        <v>163</v>
      </c>
      <c r="H288" s="17" t="s">
        <v>164</v>
      </c>
      <c r="I288" s="17" t="s">
        <v>165</v>
      </c>
      <c r="J288" s="27" t="s">
        <v>156</v>
      </c>
      <c r="K288" s="29">
        <v>2178</v>
      </c>
      <c r="L288" s="31">
        <v>75177.100000000006</v>
      </c>
      <c r="M288" s="31">
        <v>34585.569999558</v>
      </c>
      <c r="N288" s="31">
        <v>26852.029999643</v>
      </c>
      <c r="O288" s="34">
        <f t="shared" ref="O288:O319" si="44">IFERROR(M288/L288,0)</f>
        <v>0.46005459108635471</v>
      </c>
      <c r="P288" s="34">
        <f t="shared" ref="P288:P319" si="45">IFERROR(N288/M288,0)</f>
        <v>0.77639402791355372</v>
      </c>
      <c r="Q288" s="34">
        <f t="shared" ref="Q288:Q319" si="46">IFERROR(1-(M288/L288),0)</f>
        <v>0.53994540891364529</v>
      </c>
      <c r="R288" s="46">
        <f t="shared" ref="R288:R319" si="47">IFERROR(N288/K288,0)</f>
        <v>12.328755739046374</v>
      </c>
    </row>
    <row r="289" spans="2:18" ht="12.75" customHeight="1" x14ac:dyDescent="0.25">
      <c r="B289" s="17" t="s">
        <v>0</v>
      </c>
      <c r="C289" s="44" t="s">
        <v>110</v>
      </c>
      <c r="D289" s="22" t="s">
        <v>9</v>
      </c>
      <c r="E289" s="20">
        <v>2</v>
      </c>
      <c r="F289" s="17" t="s">
        <v>120</v>
      </c>
      <c r="G289" s="17" t="s">
        <v>163</v>
      </c>
      <c r="H289" s="17" t="s">
        <v>164</v>
      </c>
      <c r="I289" s="17" t="s">
        <v>165</v>
      </c>
      <c r="J289" s="27" t="s">
        <v>111</v>
      </c>
      <c r="K289" s="29">
        <v>1688</v>
      </c>
      <c r="L289" s="31">
        <v>62105.660000240008</v>
      </c>
      <c r="M289" s="31">
        <v>34575.000000159009</v>
      </c>
      <c r="N289" s="31">
        <v>26264.329999981197</v>
      </c>
      <c r="O289" s="34">
        <f t="shared" si="44"/>
        <v>0.55671254439652351</v>
      </c>
      <c r="P289" s="34">
        <f t="shared" si="45"/>
        <v>0.75963355024903567</v>
      </c>
      <c r="Q289" s="34">
        <f t="shared" si="46"/>
        <v>0.44328745560347649</v>
      </c>
      <c r="R289" s="46">
        <f t="shared" si="47"/>
        <v>15.55943720378033</v>
      </c>
    </row>
    <row r="290" spans="2:18" ht="12.75" customHeight="1" x14ac:dyDescent="0.25">
      <c r="B290" s="17" t="s">
        <v>0</v>
      </c>
      <c r="C290" s="44" t="s">
        <v>18</v>
      </c>
      <c r="D290" s="22" t="s">
        <v>9</v>
      </c>
      <c r="E290" s="20">
        <v>2</v>
      </c>
      <c r="F290" s="17" t="s">
        <v>120</v>
      </c>
      <c r="G290" s="17" t="s">
        <v>163</v>
      </c>
      <c r="H290" s="17" t="s">
        <v>164</v>
      </c>
      <c r="I290" s="17" t="s">
        <v>165</v>
      </c>
      <c r="J290" s="27" t="s">
        <v>19</v>
      </c>
      <c r="K290" s="29">
        <v>220</v>
      </c>
      <c r="L290" s="31">
        <v>58300</v>
      </c>
      <c r="M290" s="31">
        <v>28142.5599994</v>
      </c>
      <c r="N290" s="31">
        <v>22069.639999000003</v>
      </c>
      <c r="O290" s="34">
        <f t="shared" si="44"/>
        <v>0.4827197255471698</v>
      </c>
      <c r="P290" s="34">
        <f t="shared" si="45"/>
        <v>0.78420868604243987</v>
      </c>
      <c r="Q290" s="34">
        <f t="shared" si="46"/>
        <v>0.5172802744528302</v>
      </c>
      <c r="R290" s="46">
        <f t="shared" si="47"/>
        <v>100.31654545000001</v>
      </c>
    </row>
    <row r="291" spans="2:18" ht="12.75" customHeight="1" x14ac:dyDescent="0.25">
      <c r="B291" s="17" t="s">
        <v>0</v>
      </c>
      <c r="C291" s="44" t="s">
        <v>16</v>
      </c>
      <c r="D291" s="22" t="s">
        <v>2</v>
      </c>
      <c r="E291" s="20">
        <v>1</v>
      </c>
      <c r="F291" s="17" t="s">
        <v>120</v>
      </c>
      <c r="G291" s="17" t="s">
        <v>163</v>
      </c>
      <c r="H291" s="17" t="s">
        <v>164</v>
      </c>
      <c r="I291" s="17" t="s">
        <v>165</v>
      </c>
      <c r="J291" s="27" t="s">
        <v>17</v>
      </c>
      <c r="K291" s="29">
        <v>1060</v>
      </c>
      <c r="L291" s="31">
        <v>53851.219999956003</v>
      </c>
      <c r="M291" s="31">
        <v>25818.689999839</v>
      </c>
      <c r="N291" s="31">
        <v>20278.909999981999</v>
      </c>
      <c r="O291" s="34">
        <f t="shared" si="44"/>
        <v>0.47944484822925265</v>
      </c>
      <c r="P291" s="34">
        <f t="shared" si="45"/>
        <v>0.78543527964077398</v>
      </c>
      <c r="Q291" s="34">
        <f t="shared" si="46"/>
        <v>0.5205551517707474</v>
      </c>
      <c r="R291" s="46">
        <f t="shared" si="47"/>
        <v>19.131047169794339</v>
      </c>
    </row>
    <row r="292" spans="2:18" ht="12.75" customHeight="1" x14ac:dyDescent="0.25">
      <c r="B292" s="17" t="s">
        <v>0</v>
      </c>
      <c r="C292" s="44" t="s">
        <v>103</v>
      </c>
      <c r="D292" s="22" t="s">
        <v>9</v>
      </c>
      <c r="E292" s="20">
        <v>2</v>
      </c>
      <c r="F292" s="17" t="s">
        <v>120</v>
      </c>
      <c r="G292" s="17" t="s">
        <v>163</v>
      </c>
      <c r="H292" s="17" t="s">
        <v>164</v>
      </c>
      <c r="I292" s="17" t="s">
        <v>165</v>
      </c>
      <c r="J292" s="27" t="s">
        <v>104</v>
      </c>
      <c r="K292" s="29">
        <v>1718</v>
      </c>
      <c r="L292" s="31">
        <v>43067.990000089005</v>
      </c>
      <c r="M292" s="31">
        <v>23848.859999430995</v>
      </c>
      <c r="N292" s="31">
        <v>18643.440000088198</v>
      </c>
      <c r="O292" s="34">
        <f t="shared" si="44"/>
        <v>0.55374908370187947</v>
      </c>
      <c r="P292" s="34">
        <f t="shared" si="45"/>
        <v>0.7817329633589617</v>
      </c>
      <c r="Q292" s="34">
        <f t="shared" si="46"/>
        <v>0.44625091629812053</v>
      </c>
      <c r="R292" s="46">
        <f t="shared" si="47"/>
        <v>10.85182770668696</v>
      </c>
    </row>
    <row r="293" spans="2:18" ht="12.75" customHeight="1" x14ac:dyDescent="0.25">
      <c r="B293" s="17" t="s">
        <v>0</v>
      </c>
      <c r="C293" s="44" t="s">
        <v>131</v>
      </c>
      <c r="D293" s="22" t="s">
        <v>9</v>
      </c>
      <c r="E293" s="20">
        <v>2</v>
      </c>
      <c r="F293" s="17" t="s">
        <v>120</v>
      </c>
      <c r="G293" s="17" t="s">
        <v>163</v>
      </c>
      <c r="H293" s="17" t="s">
        <v>164</v>
      </c>
      <c r="I293" s="17" t="s">
        <v>165</v>
      </c>
      <c r="J293" s="27" t="s">
        <v>132</v>
      </c>
      <c r="K293" s="29">
        <v>449</v>
      </c>
      <c r="L293" s="31">
        <v>23374.940000000002</v>
      </c>
      <c r="M293" s="31">
        <v>23002.269999999997</v>
      </c>
      <c r="N293" s="31">
        <v>18328.18</v>
      </c>
      <c r="O293" s="34">
        <f t="shared" si="44"/>
        <v>0.98405685747214733</v>
      </c>
      <c r="P293" s="34">
        <f t="shared" si="45"/>
        <v>0.79679875073199313</v>
      </c>
      <c r="Q293" s="34">
        <f t="shared" si="46"/>
        <v>1.5943142527852672E-2</v>
      </c>
      <c r="R293" s="46">
        <f t="shared" si="47"/>
        <v>40.82</v>
      </c>
    </row>
    <row r="294" spans="2:18" ht="12.75" customHeight="1" x14ac:dyDescent="0.25">
      <c r="B294" s="17" t="s">
        <v>0</v>
      </c>
      <c r="C294" s="44" t="s">
        <v>94</v>
      </c>
      <c r="D294" s="22" t="s">
        <v>2</v>
      </c>
      <c r="E294" s="20">
        <v>1</v>
      </c>
      <c r="F294" s="17" t="s">
        <v>120</v>
      </c>
      <c r="G294" s="17" t="s">
        <v>163</v>
      </c>
      <c r="H294" s="17" t="s">
        <v>164</v>
      </c>
      <c r="I294" s="17" t="s">
        <v>165</v>
      </c>
      <c r="J294" s="27" t="s">
        <v>95</v>
      </c>
      <c r="K294" s="29">
        <v>1506</v>
      </c>
      <c r="L294" s="31">
        <v>41605.020000213</v>
      </c>
      <c r="M294" s="31">
        <v>24317.589999934</v>
      </c>
      <c r="N294" s="31">
        <v>18265.019999527001</v>
      </c>
      <c r="O294" s="34">
        <f t="shared" si="44"/>
        <v>0.58448692008342995</v>
      </c>
      <c r="P294" s="34">
        <f t="shared" si="45"/>
        <v>0.75110321374678057</v>
      </c>
      <c r="Q294" s="34">
        <f t="shared" si="46"/>
        <v>0.41551307991657005</v>
      </c>
      <c r="R294" s="46">
        <f t="shared" si="47"/>
        <v>12.128167330363215</v>
      </c>
    </row>
    <row r="295" spans="2:18" ht="12.75" customHeight="1" x14ac:dyDescent="0.25">
      <c r="B295" s="17" t="s">
        <v>0</v>
      </c>
      <c r="C295" s="44" t="s">
        <v>64</v>
      </c>
      <c r="D295" s="22" t="s">
        <v>9</v>
      </c>
      <c r="E295" s="20">
        <v>2</v>
      </c>
      <c r="F295" s="17" t="s">
        <v>120</v>
      </c>
      <c r="G295" s="17" t="s">
        <v>163</v>
      </c>
      <c r="H295" s="17" t="s">
        <v>164</v>
      </c>
      <c r="I295" s="17" t="s">
        <v>165</v>
      </c>
      <c r="J295" s="27" t="s">
        <v>65</v>
      </c>
      <c r="K295" s="29">
        <v>186</v>
      </c>
      <c r="L295" s="31">
        <v>46894.75</v>
      </c>
      <c r="M295" s="31">
        <v>22514.510000500002</v>
      </c>
      <c r="N295" s="31">
        <v>17836.350000499999</v>
      </c>
      <c r="O295" s="34">
        <f t="shared" si="44"/>
        <v>0.48010726148449456</v>
      </c>
      <c r="P295" s="34">
        <f t="shared" si="45"/>
        <v>0.79221577552004863</v>
      </c>
      <c r="Q295" s="34">
        <f t="shared" si="46"/>
        <v>0.51989273851550544</v>
      </c>
      <c r="R295" s="46">
        <f t="shared" si="47"/>
        <v>95.894354841397842</v>
      </c>
    </row>
    <row r="296" spans="2:18" ht="12.75" customHeight="1" x14ac:dyDescent="0.25">
      <c r="B296" s="17" t="s">
        <v>0</v>
      </c>
      <c r="C296" s="44" t="s">
        <v>170</v>
      </c>
      <c r="D296" s="22" t="s">
        <v>9</v>
      </c>
      <c r="E296" s="20">
        <v>2</v>
      </c>
      <c r="F296" s="17" t="s">
        <v>120</v>
      </c>
      <c r="G296" s="17" t="s">
        <v>163</v>
      </c>
      <c r="H296" s="17" t="s">
        <v>164</v>
      </c>
      <c r="I296" s="17" t="s">
        <v>165</v>
      </c>
      <c r="J296" s="27" t="s">
        <v>171</v>
      </c>
      <c r="K296" s="29">
        <v>1290</v>
      </c>
      <c r="L296" s="31">
        <v>43288.149999979003</v>
      </c>
      <c r="M296" s="31">
        <v>20669.859999933</v>
      </c>
      <c r="N296" s="31">
        <v>15807.800000207</v>
      </c>
      <c r="O296" s="34">
        <f t="shared" si="44"/>
        <v>0.47749464922716783</v>
      </c>
      <c r="P296" s="34">
        <f t="shared" si="45"/>
        <v>0.76477537826856301</v>
      </c>
      <c r="Q296" s="34">
        <f t="shared" si="46"/>
        <v>0.52250535077283211</v>
      </c>
      <c r="R296" s="46">
        <f t="shared" si="47"/>
        <v>12.254108527292248</v>
      </c>
    </row>
    <row r="297" spans="2:18" ht="12.75" customHeight="1" x14ac:dyDescent="0.25">
      <c r="B297" s="17" t="s">
        <v>0</v>
      </c>
      <c r="C297" s="44" t="s">
        <v>172</v>
      </c>
      <c r="D297" s="22" t="s">
        <v>9</v>
      </c>
      <c r="E297" s="20">
        <v>2</v>
      </c>
      <c r="F297" s="17" t="s">
        <v>120</v>
      </c>
      <c r="G297" s="17" t="s">
        <v>163</v>
      </c>
      <c r="H297" s="17" t="s">
        <v>164</v>
      </c>
      <c r="I297" s="17" t="s">
        <v>165</v>
      </c>
      <c r="J297" s="27" t="s">
        <v>173</v>
      </c>
      <c r="K297" s="29">
        <v>1031</v>
      </c>
      <c r="L297" s="31">
        <v>51968.250000084001</v>
      </c>
      <c r="M297" s="31">
        <v>19110.910000024</v>
      </c>
      <c r="N297" s="31">
        <v>14892.250000114998</v>
      </c>
      <c r="O297" s="34">
        <f t="shared" si="44"/>
        <v>0.3677420347999617</v>
      </c>
      <c r="P297" s="34">
        <f t="shared" si="45"/>
        <v>0.77925383982742302</v>
      </c>
      <c r="Q297" s="34">
        <f t="shared" si="46"/>
        <v>0.6322579652000383</v>
      </c>
      <c r="R297" s="46">
        <f t="shared" si="47"/>
        <v>14.444471387114451</v>
      </c>
    </row>
    <row r="298" spans="2:18" ht="12.75" customHeight="1" x14ac:dyDescent="0.25">
      <c r="B298" s="17" t="s">
        <v>0</v>
      </c>
      <c r="C298" s="44" t="s">
        <v>36</v>
      </c>
      <c r="D298" s="22" t="s">
        <v>2</v>
      </c>
      <c r="E298" s="20">
        <v>1</v>
      </c>
      <c r="F298" s="17" t="s">
        <v>120</v>
      </c>
      <c r="G298" s="17" t="s">
        <v>163</v>
      </c>
      <c r="H298" s="17" t="s">
        <v>164</v>
      </c>
      <c r="I298" s="17" t="s">
        <v>165</v>
      </c>
      <c r="J298" s="27" t="s">
        <v>37</v>
      </c>
      <c r="K298" s="29">
        <v>839</v>
      </c>
      <c r="L298" s="31">
        <v>50245.870000087998</v>
      </c>
      <c r="M298" s="31">
        <v>18233.999999988002</v>
      </c>
      <c r="N298" s="31">
        <v>14526.22</v>
      </c>
      <c r="O298" s="34">
        <f t="shared" si="44"/>
        <v>0.36289549767883544</v>
      </c>
      <c r="P298" s="34">
        <f t="shared" si="45"/>
        <v>0.79665569814684423</v>
      </c>
      <c r="Q298" s="34">
        <f t="shared" si="46"/>
        <v>0.63710450232116456</v>
      </c>
      <c r="R298" s="46">
        <f t="shared" si="47"/>
        <v>17.313730631704409</v>
      </c>
    </row>
    <row r="299" spans="2:18" ht="12.75" customHeight="1" x14ac:dyDescent="0.25">
      <c r="B299" s="17" t="s">
        <v>0</v>
      </c>
      <c r="C299" s="44" t="s">
        <v>34</v>
      </c>
      <c r="D299" s="22" t="s">
        <v>2</v>
      </c>
      <c r="E299" s="20">
        <v>1</v>
      </c>
      <c r="F299" s="17" t="s">
        <v>120</v>
      </c>
      <c r="G299" s="17" t="s">
        <v>163</v>
      </c>
      <c r="H299" s="17" t="s">
        <v>164</v>
      </c>
      <c r="I299" s="17" t="s">
        <v>165</v>
      </c>
      <c r="J299" s="27" t="s">
        <v>35</v>
      </c>
      <c r="K299" s="29">
        <v>1012</v>
      </c>
      <c r="L299" s="31">
        <v>41877.67</v>
      </c>
      <c r="M299" s="31">
        <v>16593.190000068003</v>
      </c>
      <c r="N299" s="31">
        <v>13028.020000070999</v>
      </c>
      <c r="O299" s="34">
        <f t="shared" si="44"/>
        <v>0.39623001948456071</v>
      </c>
      <c r="P299" s="34">
        <f t="shared" si="45"/>
        <v>0.78514257957738121</v>
      </c>
      <c r="Q299" s="34">
        <f t="shared" si="46"/>
        <v>0.60376998051543929</v>
      </c>
      <c r="R299" s="46">
        <f t="shared" si="47"/>
        <v>12.873537549477271</v>
      </c>
    </row>
    <row r="300" spans="2:18" ht="12.75" customHeight="1" x14ac:dyDescent="0.25">
      <c r="B300" s="17" t="s">
        <v>0</v>
      </c>
      <c r="C300" s="44" t="s">
        <v>7</v>
      </c>
      <c r="D300" s="22" t="s">
        <v>2</v>
      </c>
      <c r="E300" s="20">
        <v>1</v>
      </c>
      <c r="F300" s="17" t="s">
        <v>120</v>
      </c>
      <c r="G300" s="17" t="s">
        <v>163</v>
      </c>
      <c r="H300" s="17" t="s">
        <v>164</v>
      </c>
      <c r="I300" s="17" t="s">
        <v>165</v>
      </c>
      <c r="J300" s="27" t="s">
        <v>8</v>
      </c>
      <c r="K300" s="29">
        <v>409</v>
      </c>
      <c r="L300" s="31">
        <v>29449</v>
      </c>
      <c r="M300" s="31">
        <v>14738.519999986</v>
      </c>
      <c r="N300" s="31">
        <v>11789.000000026001</v>
      </c>
      <c r="O300" s="34">
        <f t="shared" si="44"/>
        <v>0.50047607728568033</v>
      </c>
      <c r="P300" s="34">
        <f t="shared" si="45"/>
        <v>0.79987678545995111</v>
      </c>
      <c r="Q300" s="34">
        <f t="shared" si="46"/>
        <v>0.49952392271431967</v>
      </c>
      <c r="R300" s="46">
        <f t="shared" si="47"/>
        <v>28.823960880259172</v>
      </c>
    </row>
    <row r="301" spans="2:18" ht="12.75" customHeight="1" x14ac:dyDescent="0.25">
      <c r="B301" s="17" t="s">
        <v>0</v>
      </c>
      <c r="C301" s="44" t="s">
        <v>36</v>
      </c>
      <c r="D301" s="22" t="s">
        <v>9</v>
      </c>
      <c r="E301" s="20">
        <v>2</v>
      </c>
      <c r="F301" s="17" t="s">
        <v>120</v>
      </c>
      <c r="G301" s="17" t="s">
        <v>163</v>
      </c>
      <c r="H301" s="17" t="s">
        <v>164</v>
      </c>
      <c r="I301" s="17" t="s">
        <v>165</v>
      </c>
      <c r="J301" s="27" t="s">
        <v>37</v>
      </c>
      <c r="K301" s="29">
        <v>688</v>
      </c>
      <c r="L301" s="31">
        <v>32606.790000014</v>
      </c>
      <c r="M301" s="31">
        <v>15446.609999927001</v>
      </c>
      <c r="N301" s="31">
        <v>11335.48000005</v>
      </c>
      <c r="O301" s="34">
        <f t="shared" si="44"/>
        <v>0.4737237244120126</v>
      </c>
      <c r="P301" s="34">
        <f t="shared" si="45"/>
        <v>0.73384904520173488</v>
      </c>
      <c r="Q301" s="34">
        <f t="shared" si="46"/>
        <v>0.5262762755879874</v>
      </c>
      <c r="R301" s="46">
        <f t="shared" si="47"/>
        <v>16.475988372165698</v>
      </c>
    </row>
    <row r="302" spans="2:18" ht="12.75" customHeight="1" x14ac:dyDescent="0.25">
      <c r="B302" s="17" t="s">
        <v>0</v>
      </c>
      <c r="C302" s="44" t="s">
        <v>174</v>
      </c>
      <c r="D302" s="22" t="s">
        <v>9</v>
      </c>
      <c r="E302" s="20">
        <v>2</v>
      </c>
      <c r="F302" s="17" t="s">
        <v>120</v>
      </c>
      <c r="G302" s="17" t="s">
        <v>163</v>
      </c>
      <c r="H302" s="17" t="s">
        <v>164</v>
      </c>
      <c r="I302" s="17" t="s">
        <v>165</v>
      </c>
      <c r="J302" s="27" t="s">
        <v>175</v>
      </c>
      <c r="K302" s="29">
        <v>751</v>
      </c>
      <c r="L302" s="31">
        <v>20488.699999812001</v>
      </c>
      <c r="M302" s="31">
        <v>12452.560000177002</v>
      </c>
      <c r="N302" s="31">
        <v>9011.5600003649997</v>
      </c>
      <c r="O302" s="34">
        <f t="shared" si="44"/>
        <v>0.60777696975851392</v>
      </c>
      <c r="P302" s="34">
        <f t="shared" si="45"/>
        <v>0.72367127725037328</v>
      </c>
      <c r="Q302" s="34">
        <f t="shared" si="46"/>
        <v>0.39222303024148608</v>
      </c>
      <c r="R302" s="46">
        <f t="shared" si="47"/>
        <v>11.999414115</v>
      </c>
    </row>
    <row r="303" spans="2:18" ht="12.75" customHeight="1" x14ac:dyDescent="0.25">
      <c r="B303" s="17" t="s">
        <v>0</v>
      </c>
      <c r="C303" s="44" t="s">
        <v>48</v>
      </c>
      <c r="D303" s="22" t="s">
        <v>2</v>
      </c>
      <c r="E303" s="20">
        <v>1</v>
      </c>
      <c r="F303" s="17" t="s">
        <v>120</v>
      </c>
      <c r="G303" s="17" t="s">
        <v>163</v>
      </c>
      <c r="H303" s="17" t="s">
        <v>164</v>
      </c>
      <c r="I303" s="17" t="s">
        <v>165</v>
      </c>
      <c r="J303" s="27" t="s">
        <v>49</v>
      </c>
      <c r="K303" s="29">
        <v>537</v>
      </c>
      <c r="L303" s="31">
        <v>23885.190000006998</v>
      </c>
      <c r="M303" s="31">
        <v>10895.419999998001</v>
      </c>
      <c r="N303" s="31">
        <v>8606.4800000499981</v>
      </c>
      <c r="O303" s="34">
        <f t="shared" si="44"/>
        <v>0.45615797906547145</v>
      </c>
      <c r="P303" s="34">
        <f t="shared" si="45"/>
        <v>0.78991723128172908</v>
      </c>
      <c r="Q303" s="34">
        <f t="shared" si="46"/>
        <v>0.54384202093452849</v>
      </c>
      <c r="R303" s="46">
        <f t="shared" si="47"/>
        <v>16.026964618342642</v>
      </c>
    </row>
    <row r="304" spans="2:18" ht="12.75" customHeight="1" x14ac:dyDescent="0.25">
      <c r="B304" s="17" t="s">
        <v>0</v>
      </c>
      <c r="C304" s="44" t="s">
        <v>52</v>
      </c>
      <c r="D304" s="22" t="s">
        <v>2</v>
      </c>
      <c r="E304" s="20">
        <v>1</v>
      </c>
      <c r="F304" s="17" t="s">
        <v>120</v>
      </c>
      <c r="G304" s="17" t="s">
        <v>163</v>
      </c>
      <c r="H304" s="17" t="s">
        <v>164</v>
      </c>
      <c r="I304" s="17" t="s">
        <v>165</v>
      </c>
      <c r="J304" s="27" t="s">
        <v>53</v>
      </c>
      <c r="K304" s="29">
        <v>647</v>
      </c>
      <c r="L304" s="31">
        <v>37192.960000000006</v>
      </c>
      <c r="M304" s="31">
        <v>10177.279999929999</v>
      </c>
      <c r="N304" s="31">
        <v>8027.9899998360006</v>
      </c>
      <c r="O304" s="34">
        <f t="shared" si="44"/>
        <v>0.27363458030578897</v>
      </c>
      <c r="P304" s="34">
        <f t="shared" si="45"/>
        <v>0.78881488962583501</v>
      </c>
      <c r="Q304" s="34">
        <f t="shared" si="46"/>
        <v>0.72636541969421109</v>
      </c>
      <c r="R304" s="46">
        <f t="shared" si="47"/>
        <v>12.408021638077281</v>
      </c>
    </row>
    <row r="305" spans="2:18" ht="12.75" customHeight="1" x14ac:dyDescent="0.25">
      <c r="B305" s="17" t="s">
        <v>0</v>
      </c>
      <c r="C305" s="44" t="s">
        <v>12</v>
      </c>
      <c r="D305" s="22" t="s">
        <v>2</v>
      </c>
      <c r="E305" s="20">
        <v>1</v>
      </c>
      <c r="F305" s="17" t="s">
        <v>120</v>
      </c>
      <c r="G305" s="17" t="s">
        <v>163</v>
      </c>
      <c r="H305" s="17" t="s">
        <v>164</v>
      </c>
      <c r="I305" s="17" t="s">
        <v>165</v>
      </c>
      <c r="J305" s="27" t="s">
        <v>13</v>
      </c>
      <c r="K305" s="29">
        <v>598</v>
      </c>
      <c r="L305" s="31">
        <v>29385.380000019999</v>
      </c>
      <c r="M305" s="31">
        <v>9588.060000083</v>
      </c>
      <c r="N305" s="31">
        <v>7614.2200000860012</v>
      </c>
      <c r="O305" s="34">
        <f t="shared" si="44"/>
        <v>0.32628674531608831</v>
      </c>
      <c r="P305" s="34">
        <f t="shared" si="45"/>
        <v>0.79413562284967842</v>
      </c>
      <c r="Q305" s="34">
        <f t="shared" si="46"/>
        <v>0.67371325468391174</v>
      </c>
      <c r="R305" s="46">
        <f t="shared" si="47"/>
        <v>12.73280936469231</v>
      </c>
    </row>
    <row r="306" spans="2:18" ht="12.75" customHeight="1" x14ac:dyDescent="0.25">
      <c r="B306" s="17" t="s">
        <v>0</v>
      </c>
      <c r="C306" s="44" t="s">
        <v>20</v>
      </c>
      <c r="D306" s="22" t="s">
        <v>2</v>
      </c>
      <c r="E306" s="20">
        <v>1</v>
      </c>
      <c r="F306" s="17" t="s">
        <v>120</v>
      </c>
      <c r="G306" s="17" t="s">
        <v>163</v>
      </c>
      <c r="H306" s="17" t="s">
        <v>164</v>
      </c>
      <c r="I306" s="17" t="s">
        <v>165</v>
      </c>
      <c r="J306" s="27" t="s">
        <v>21</v>
      </c>
      <c r="K306" s="29">
        <v>372</v>
      </c>
      <c r="L306" s="31">
        <v>35787.589999929995</v>
      </c>
      <c r="M306" s="31">
        <v>9654.6899999260004</v>
      </c>
      <c r="N306" s="31">
        <v>7225.5400001340004</v>
      </c>
      <c r="O306" s="34">
        <f t="shared" si="44"/>
        <v>0.26977759608693647</v>
      </c>
      <c r="P306" s="34">
        <f t="shared" si="45"/>
        <v>0.74839689313581081</v>
      </c>
      <c r="Q306" s="34">
        <f t="shared" si="46"/>
        <v>0.73022240391306359</v>
      </c>
      <c r="R306" s="46">
        <f t="shared" si="47"/>
        <v>19.423494624016129</v>
      </c>
    </row>
    <row r="307" spans="2:18" ht="12.75" customHeight="1" x14ac:dyDescent="0.25">
      <c r="B307" s="17" t="s">
        <v>0</v>
      </c>
      <c r="C307" s="44" t="s">
        <v>139</v>
      </c>
      <c r="D307" s="22" t="s">
        <v>2</v>
      </c>
      <c r="E307" s="20">
        <v>1</v>
      </c>
      <c r="F307" s="17" t="s">
        <v>120</v>
      </c>
      <c r="G307" s="17" t="s">
        <v>163</v>
      </c>
      <c r="H307" s="17" t="s">
        <v>164</v>
      </c>
      <c r="I307" s="17" t="s">
        <v>165</v>
      </c>
      <c r="J307" s="27" t="s">
        <v>140</v>
      </c>
      <c r="K307" s="29">
        <v>571</v>
      </c>
      <c r="L307" s="31">
        <v>33334.980000000003</v>
      </c>
      <c r="M307" s="31">
        <v>9192.3099998019989</v>
      </c>
      <c r="N307" s="31">
        <v>7165.8599997500005</v>
      </c>
      <c r="O307" s="34">
        <f t="shared" si="44"/>
        <v>0.27575567766358333</v>
      </c>
      <c r="P307" s="34">
        <f t="shared" si="45"/>
        <v>0.77954942771777191</v>
      </c>
      <c r="Q307" s="34">
        <f t="shared" si="46"/>
        <v>0.72424432233641667</v>
      </c>
      <c r="R307" s="46">
        <f t="shared" si="47"/>
        <v>12.549667250000001</v>
      </c>
    </row>
    <row r="308" spans="2:18" ht="12.75" customHeight="1" x14ac:dyDescent="0.25">
      <c r="B308" s="17" t="s">
        <v>0</v>
      </c>
      <c r="C308" s="44" t="s">
        <v>143</v>
      </c>
      <c r="D308" s="22" t="s">
        <v>9</v>
      </c>
      <c r="E308" s="20">
        <v>2</v>
      </c>
      <c r="F308" s="17" t="s">
        <v>120</v>
      </c>
      <c r="G308" s="17" t="s">
        <v>163</v>
      </c>
      <c r="H308" s="17" t="s">
        <v>164</v>
      </c>
      <c r="I308" s="17" t="s">
        <v>165</v>
      </c>
      <c r="J308" s="27" t="s">
        <v>144</v>
      </c>
      <c r="K308" s="29">
        <v>198</v>
      </c>
      <c r="L308" s="31">
        <v>10490.039999999999</v>
      </c>
      <c r="M308" s="31">
        <v>8892.18</v>
      </c>
      <c r="N308" s="31">
        <v>6838.92</v>
      </c>
      <c r="O308" s="34">
        <f t="shared" si="44"/>
        <v>0.8476783691959231</v>
      </c>
      <c r="P308" s="34">
        <f t="shared" si="45"/>
        <v>0.7690937430416388</v>
      </c>
      <c r="Q308" s="34">
        <f t="shared" si="46"/>
        <v>0.1523216308040769</v>
      </c>
      <c r="R308" s="46">
        <f t="shared" si="47"/>
        <v>34.54</v>
      </c>
    </row>
    <row r="309" spans="2:18" ht="12.75" customHeight="1" x14ac:dyDescent="0.25">
      <c r="B309" s="17" t="s">
        <v>0</v>
      </c>
      <c r="C309" s="44" t="s">
        <v>68</v>
      </c>
      <c r="D309" s="22" t="s">
        <v>9</v>
      </c>
      <c r="E309" s="20">
        <v>2</v>
      </c>
      <c r="F309" s="17" t="s">
        <v>120</v>
      </c>
      <c r="G309" s="17" t="s">
        <v>163</v>
      </c>
      <c r="H309" s="17" t="s">
        <v>164</v>
      </c>
      <c r="I309" s="17" t="s">
        <v>165</v>
      </c>
      <c r="J309" s="27" t="s">
        <v>69</v>
      </c>
      <c r="K309" s="29">
        <v>372</v>
      </c>
      <c r="L309" s="31">
        <v>16425</v>
      </c>
      <c r="M309" s="31">
        <v>8345.7799999469989</v>
      </c>
      <c r="N309" s="31">
        <v>6789.7400000129992</v>
      </c>
      <c r="O309" s="34">
        <f t="shared" si="44"/>
        <v>0.50811445966191771</v>
      </c>
      <c r="P309" s="34">
        <f t="shared" si="45"/>
        <v>0.81355367623590824</v>
      </c>
      <c r="Q309" s="34">
        <f t="shared" si="46"/>
        <v>0.49188554033808229</v>
      </c>
      <c r="R309" s="46">
        <f t="shared" si="47"/>
        <v>18.251989247346771</v>
      </c>
    </row>
    <row r="310" spans="2:18" ht="12.75" customHeight="1" x14ac:dyDescent="0.25">
      <c r="B310" s="17" t="s">
        <v>0</v>
      </c>
      <c r="C310" s="44" t="s">
        <v>96</v>
      </c>
      <c r="D310" s="22" t="s">
        <v>2</v>
      </c>
      <c r="E310" s="20">
        <v>1</v>
      </c>
      <c r="F310" s="17" t="s">
        <v>120</v>
      </c>
      <c r="G310" s="17" t="s">
        <v>163</v>
      </c>
      <c r="H310" s="17" t="s">
        <v>164</v>
      </c>
      <c r="I310" s="17" t="s">
        <v>165</v>
      </c>
      <c r="J310" s="27" t="s">
        <v>97</v>
      </c>
      <c r="K310" s="29">
        <v>100</v>
      </c>
      <c r="L310" s="31">
        <v>15002.000000000002</v>
      </c>
      <c r="M310" s="31">
        <v>7883.7900000000009</v>
      </c>
      <c r="N310" s="31">
        <v>6354.49</v>
      </c>
      <c r="O310" s="34">
        <f t="shared" si="44"/>
        <v>0.52551593120917206</v>
      </c>
      <c r="P310" s="34">
        <f t="shared" si="45"/>
        <v>0.8060196935737759</v>
      </c>
      <c r="Q310" s="34">
        <f t="shared" si="46"/>
        <v>0.47448406879082794</v>
      </c>
      <c r="R310" s="46">
        <f t="shared" si="47"/>
        <v>63.544899999999998</v>
      </c>
    </row>
    <row r="311" spans="2:18" ht="12.75" customHeight="1" x14ac:dyDescent="0.25">
      <c r="B311" s="17" t="s">
        <v>0</v>
      </c>
      <c r="C311" s="44" t="s">
        <v>176</v>
      </c>
      <c r="D311" s="22" t="s">
        <v>9</v>
      </c>
      <c r="E311" s="20">
        <v>2</v>
      </c>
      <c r="F311" s="17" t="s">
        <v>120</v>
      </c>
      <c r="G311" s="17" t="s">
        <v>163</v>
      </c>
      <c r="H311" s="17" t="s">
        <v>164</v>
      </c>
      <c r="I311" s="17" t="s">
        <v>165</v>
      </c>
      <c r="J311" s="27" t="s">
        <v>177</v>
      </c>
      <c r="K311" s="29">
        <v>542</v>
      </c>
      <c r="L311" s="31">
        <v>15604</v>
      </c>
      <c r="M311" s="31">
        <v>8555.0100000799994</v>
      </c>
      <c r="N311" s="31">
        <v>6273.269999917</v>
      </c>
      <c r="O311" s="34">
        <f t="shared" si="44"/>
        <v>0.54825749808254287</v>
      </c>
      <c r="P311" s="34">
        <f t="shared" si="45"/>
        <v>0.73328610952627027</v>
      </c>
      <c r="Q311" s="34">
        <f t="shared" si="46"/>
        <v>0.45174250191745713</v>
      </c>
      <c r="R311" s="46">
        <f t="shared" si="47"/>
        <v>11.574298892835793</v>
      </c>
    </row>
    <row r="312" spans="2:18" ht="12.75" customHeight="1" x14ac:dyDescent="0.25">
      <c r="B312" s="17" t="s">
        <v>0</v>
      </c>
      <c r="C312" s="44" t="s">
        <v>127</v>
      </c>
      <c r="D312" s="22" t="s">
        <v>2</v>
      </c>
      <c r="E312" s="20">
        <v>1</v>
      </c>
      <c r="F312" s="17" t="s">
        <v>120</v>
      </c>
      <c r="G312" s="17" t="s">
        <v>163</v>
      </c>
      <c r="H312" s="17" t="s">
        <v>164</v>
      </c>
      <c r="I312" s="17" t="s">
        <v>165</v>
      </c>
      <c r="J312" s="27" t="s">
        <v>128</v>
      </c>
      <c r="K312" s="29">
        <v>496</v>
      </c>
      <c r="L312" s="31">
        <v>17197.28999995</v>
      </c>
      <c r="M312" s="31">
        <v>7862.46000009</v>
      </c>
      <c r="N312" s="31">
        <v>6112.2100000170003</v>
      </c>
      <c r="O312" s="34">
        <f t="shared" si="44"/>
        <v>0.45719180173811452</v>
      </c>
      <c r="P312" s="34">
        <f t="shared" si="45"/>
        <v>0.77739155429051909</v>
      </c>
      <c r="Q312" s="34">
        <f t="shared" si="46"/>
        <v>0.54280819826188553</v>
      </c>
      <c r="R312" s="46">
        <f t="shared" si="47"/>
        <v>12.323004032292339</v>
      </c>
    </row>
    <row r="313" spans="2:18" ht="12.75" customHeight="1" x14ac:dyDescent="0.25">
      <c r="B313" s="17" t="s">
        <v>0</v>
      </c>
      <c r="C313" s="44" t="s">
        <v>159</v>
      </c>
      <c r="D313" s="22" t="s">
        <v>2</v>
      </c>
      <c r="E313" s="20">
        <v>1</v>
      </c>
      <c r="F313" s="17" t="s">
        <v>120</v>
      </c>
      <c r="G313" s="17" t="s">
        <v>163</v>
      </c>
      <c r="H313" s="17" t="s">
        <v>164</v>
      </c>
      <c r="I313" s="17" t="s">
        <v>165</v>
      </c>
      <c r="J313" s="27" t="s">
        <v>160</v>
      </c>
      <c r="K313" s="29">
        <v>93</v>
      </c>
      <c r="L313" s="31">
        <v>26863.999999899999</v>
      </c>
      <c r="M313" s="31">
        <v>6938.3100000089999</v>
      </c>
      <c r="N313" s="31">
        <v>5527.7500000119999</v>
      </c>
      <c r="O313" s="34">
        <f t="shared" si="44"/>
        <v>0.25827538713649595</v>
      </c>
      <c r="P313" s="34">
        <f t="shared" si="45"/>
        <v>0.79669977271191827</v>
      </c>
      <c r="Q313" s="34">
        <f t="shared" si="46"/>
        <v>0.741724612863504</v>
      </c>
      <c r="R313" s="46">
        <f t="shared" si="47"/>
        <v>59.438172043139787</v>
      </c>
    </row>
    <row r="314" spans="2:18" ht="12.75" customHeight="1" x14ac:dyDescent="0.25">
      <c r="B314" s="17" t="s">
        <v>0</v>
      </c>
      <c r="C314" s="44" t="s">
        <v>74</v>
      </c>
      <c r="D314" s="22" t="s">
        <v>2</v>
      </c>
      <c r="E314" s="20">
        <v>1</v>
      </c>
      <c r="F314" s="17" t="s">
        <v>120</v>
      </c>
      <c r="G314" s="17" t="s">
        <v>163</v>
      </c>
      <c r="H314" s="17" t="s">
        <v>164</v>
      </c>
      <c r="I314" s="17" t="s">
        <v>165</v>
      </c>
      <c r="J314" s="27" t="s">
        <v>75</v>
      </c>
      <c r="K314" s="29">
        <v>382</v>
      </c>
      <c r="L314" s="31">
        <v>24448</v>
      </c>
      <c r="M314" s="31">
        <v>6174.3999998699992</v>
      </c>
      <c r="N314" s="31">
        <v>4920.9200000780002</v>
      </c>
      <c r="O314" s="34">
        <f t="shared" si="44"/>
        <v>0.25255235601562498</v>
      </c>
      <c r="P314" s="34">
        <f t="shared" si="45"/>
        <v>0.79698756157385486</v>
      </c>
      <c r="Q314" s="34">
        <f t="shared" si="46"/>
        <v>0.74744764398437502</v>
      </c>
      <c r="R314" s="46">
        <f t="shared" si="47"/>
        <v>12.881989529</v>
      </c>
    </row>
    <row r="315" spans="2:18" ht="12.75" customHeight="1" x14ac:dyDescent="0.25">
      <c r="B315" s="17" t="s">
        <v>0</v>
      </c>
      <c r="C315" s="44" t="s">
        <v>151</v>
      </c>
      <c r="D315" s="22" t="s">
        <v>2</v>
      </c>
      <c r="E315" s="20">
        <v>1</v>
      </c>
      <c r="F315" s="17" t="s">
        <v>120</v>
      </c>
      <c r="G315" s="17" t="s">
        <v>163</v>
      </c>
      <c r="H315" s="17" t="s">
        <v>164</v>
      </c>
      <c r="I315" s="17" t="s">
        <v>165</v>
      </c>
      <c r="J315" s="27" t="s">
        <v>152</v>
      </c>
      <c r="K315" s="29">
        <v>376</v>
      </c>
      <c r="L315" s="31">
        <v>20020</v>
      </c>
      <c r="M315" s="31">
        <v>6253.0700000059996</v>
      </c>
      <c r="N315" s="31">
        <v>4860.9900000159996</v>
      </c>
      <c r="O315" s="34">
        <f t="shared" si="44"/>
        <v>0.31234115884145852</v>
      </c>
      <c r="P315" s="34">
        <f t="shared" si="45"/>
        <v>0.77737655263915739</v>
      </c>
      <c r="Q315" s="34">
        <f t="shared" si="46"/>
        <v>0.68765884115854148</v>
      </c>
      <c r="R315" s="46">
        <f t="shared" si="47"/>
        <v>12.928164893659574</v>
      </c>
    </row>
    <row r="316" spans="2:18" ht="12.75" customHeight="1" x14ac:dyDescent="0.25">
      <c r="B316" s="17" t="s">
        <v>0</v>
      </c>
      <c r="C316" s="44" t="s">
        <v>149</v>
      </c>
      <c r="D316" s="22" t="s">
        <v>9</v>
      </c>
      <c r="E316" s="20">
        <v>2</v>
      </c>
      <c r="F316" s="17" t="s">
        <v>120</v>
      </c>
      <c r="G316" s="17" t="s">
        <v>163</v>
      </c>
      <c r="H316" s="17" t="s">
        <v>164</v>
      </c>
      <c r="I316" s="17" t="s">
        <v>165</v>
      </c>
      <c r="J316" s="27" t="s">
        <v>150</v>
      </c>
      <c r="K316" s="29">
        <v>373</v>
      </c>
      <c r="L316" s="31">
        <v>17904</v>
      </c>
      <c r="M316" s="31">
        <v>5971.1499998990002</v>
      </c>
      <c r="N316" s="31">
        <v>4748.1300000270003</v>
      </c>
      <c r="O316" s="34">
        <f t="shared" si="44"/>
        <v>0.33350927166549377</v>
      </c>
      <c r="P316" s="34">
        <f t="shared" si="45"/>
        <v>0.7951784832247244</v>
      </c>
      <c r="Q316" s="34">
        <f t="shared" si="46"/>
        <v>0.66649072833450629</v>
      </c>
      <c r="R316" s="46">
        <f t="shared" si="47"/>
        <v>12.729571045648795</v>
      </c>
    </row>
    <row r="317" spans="2:18" ht="12.75" customHeight="1" x14ac:dyDescent="0.25">
      <c r="B317" s="17" t="s">
        <v>0</v>
      </c>
      <c r="C317" s="44" t="s">
        <v>32</v>
      </c>
      <c r="D317" s="22" t="s">
        <v>2</v>
      </c>
      <c r="E317" s="20">
        <v>1</v>
      </c>
      <c r="F317" s="17" t="s">
        <v>120</v>
      </c>
      <c r="G317" s="17" t="s">
        <v>163</v>
      </c>
      <c r="H317" s="17" t="s">
        <v>164</v>
      </c>
      <c r="I317" s="17" t="s">
        <v>165</v>
      </c>
      <c r="J317" s="27" t="s">
        <v>33</v>
      </c>
      <c r="K317" s="29">
        <v>318</v>
      </c>
      <c r="L317" s="31">
        <v>10557</v>
      </c>
      <c r="M317" s="31">
        <v>5113.5799999440005</v>
      </c>
      <c r="N317" s="31">
        <v>4089.0299999570002</v>
      </c>
      <c r="O317" s="34">
        <f t="shared" si="44"/>
        <v>0.48437813772321686</v>
      </c>
      <c r="P317" s="34">
        <f t="shared" si="45"/>
        <v>0.79964134715830781</v>
      </c>
      <c r="Q317" s="34">
        <f t="shared" si="46"/>
        <v>0.51562186227678319</v>
      </c>
      <c r="R317" s="46">
        <f t="shared" si="47"/>
        <v>12.858584905525158</v>
      </c>
    </row>
    <row r="318" spans="2:18" ht="12.75" customHeight="1" x14ac:dyDescent="0.25">
      <c r="B318" s="17" t="s">
        <v>0</v>
      </c>
      <c r="C318" s="44" t="s">
        <v>125</v>
      </c>
      <c r="D318" s="22" t="s">
        <v>9</v>
      </c>
      <c r="E318" s="20">
        <v>2</v>
      </c>
      <c r="F318" s="17" t="s">
        <v>120</v>
      </c>
      <c r="G318" s="17" t="s">
        <v>163</v>
      </c>
      <c r="H318" s="17" t="s">
        <v>164</v>
      </c>
      <c r="I318" s="17" t="s">
        <v>165</v>
      </c>
      <c r="J318" s="27" t="s">
        <v>126</v>
      </c>
      <c r="K318" s="29">
        <v>98</v>
      </c>
      <c r="L318" s="31">
        <v>19045.419999996</v>
      </c>
      <c r="M318" s="31">
        <v>5348.7499999659995</v>
      </c>
      <c r="N318" s="31">
        <v>3920.0599999759997</v>
      </c>
      <c r="O318" s="34">
        <f t="shared" si="44"/>
        <v>0.28084179818387428</v>
      </c>
      <c r="P318" s="34">
        <f t="shared" si="45"/>
        <v>0.7328927319468882</v>
      </c>
      <c r="Q318" s="34">
        <f t="shared" si="46"/>
        <v>0.71915820181612577</v>
      </c>
      <c r="R318" s="46">
        <f t="shared" si="47"/>
        <v>40.000612244653055</v>
      </c>
    </row>
    <row r="319" spans="2:18" ht="12.75" customHeight="1" x14ac:dyDescent="0.25">
      <c r="B319" s="17" t="s">
        <v>0</v>
      </c>
      <c r="C319" s="44" t="s">
        <v>166</v>
      </c>
      <c r="D319" s="22" t="s">
        <v>2</v>
      </c>
      <c r="E319" s="20">
        <v>1</v>
      </c>
      <c r="F319" s="17" t="s">
        <v>120</v>
      </c>
      <c r="G319" s="17" t="s">
        <v>163</v>
      </c>
      <c r="H319" s="17" t="s">
        <v>164</v>
      </c>
      <c r="I319" s="17" t="s">
        <v>165</v>
      </c>
      <c r="J319" s="27" t="s">
        <v>167</v>
      </c>
      <c r="K319" s="29">
        <v>292</v>
      </c>
      <c r="L319" s="31">
        <v>11078.26</v>
      </c>
      <c r="M319" s="31">
        <v>4677.0399999959991</v>
      </c>
      <c r="N319" s="31">
        <v>3676.8099999170004</v>
      </c>
      <c r="O319" s="34">
        <f t="shared" si="44"/>
        <v>0.422181822776862</v>
      </c>
      <c r="P319" s="34">
        <f t="shared" si="45"/>
        <v>0.78614037936817849</v>
      </c>
      <c r="Q319" s="34">
        <f t="shared" si="46"/>
        <v>0.577818177223138</v>
      </c>
      <c r="R319" s="46">
        <f t="shared" si="47"/>
        <v>12.591815068208906</v>
      </c>
    </row>
    <row r="320" spans="2:18" ht="12.75" customHeight="1" x14ac:dyDescent="0.25">
      <c r="B320" s="17" t="s">
        <v>0</v>
      </c>
      <c r="C320" s="44" t="s">
        <v>90</v>
      </c>
      <c r="D320" s="22" t="s">
        <v>2</v>
      </c>
      <c r="E320" s="20">
        <v>1</v>
      </c>
      <c r="F320" s="17" t="s">
        <v>120</v>
      </c>
      <c r="G320" s="17" t="s">
        <v>163</v>
      </c>
      <c r="H320" s="17" t="s">
        <v>164</v>
      </c>
      <c r="I320" s="17" t="s">
        <v>165</v>
      </c>
      <c r="J320" s="27" t="s">
        <v>91</v>
      </c>
      <c r="K320" s="29">
        <v>86</v>
      </c>
      <c r="L320" s="31">
        <v>12705</v>
      </c>
      <c r="M320" s="31">
        <v>4642.7300000109999</v>
      </c>
      <c r="N320" s="31">
        <v>3587.0699999840003</v>
      </c>
      <c r="O320" s="34">
        <f t="shared" ref="O320:O346" si="48">IFERROR(M320/L320,0)</f>
        <v>0.36542542306265247</v>
      </c>
      <c r="P320" s="34">
        <f t="shared" ref="P320:P346" si="49">IFERROR(N320/M320,0)</f>
        <v>0.77262085022723737</v>
      </c>
      <c r="Q320" s="34">
        <f t="shared" ref="Q320:Q346" si="50">IFERROR(1-(M320/L320),0)</f>
        <v>0.63457457693734753</v>
      </c>
      <c r="R320" s="46">
        <f t="shared" ref="R320:R346" si="51">IFERROR(N320/K320,0)</f>
        <v>41.710116278883724</v>
      </c>
    </row>
    <row r="321" spans="2:18" ht="12.75" customHeight="1" x14ac:dyDescent="0.25">
      <c r="B321" s="17" t="s">
        <v>0</v>
      </c>
      <c r="C321" s="44" t="s">
        <v>76</v>
      </c>
      <c r="D321" s="22" t="s">
        <v>9</v>
      </c>
      <c r="E321" s="20">
        <v>2</v>
      </c>
      <c r="F321" s="17" t="s">
        <v>120</v>
      </c>
      <c r="G321" s="17" t="s">
        <v>163</v>
      </c>
      <c r="H321" s="17" t="s">
        <v>164</v>
      </c>
      <c r="I321" s="17" t="s">
        <v>165</v>
      </c>
      <c r="J321" s="27" t="s">
        <v>77</v>
      </c>
      <c r="K321" s="29">
        <v>249</v>
      </c>
      <c r="L321" s="31">
        <v>14297.880000000001</v>
      </c>
      <c r="M321" s="31">
        <v>4005.29999989</v>
      </c>
      <c r="N321" s="31">
        <v>3157.8700000420004</v>
      </c>
      <c r="O321" s="34">
        <f t="shared" si="48"/>
        <v>0.28013243920707126</v>
      </c>
      <c r="P321" s="34">
        <f t="shared" si="49"/>
        <v>0.78842283976948713</v>
      </c>
      <c r="Q321" s="34">
        <f t="shared" si="50"/>
        <v>0.7198675607929288</v>
      </c>
      <c r="R321" s="46">
        <f t="shared" si="51"/>
        <v>12.682208835510041</v>
      </c>
    </row>
    <row r="322" spans="2:18" ht="12.75" customHeight="1" x14ac:dyDescent="0.25">
      <c r="B322" s="17" t="s">
        <v>0</v>
      </c>
      <c r="C322" s="44" t="s">
        <v>70</v>
      </c>
      <c r="D322" s="22" t="s">
        <v>2</v>
      </c>
      <c r="E322" s="20">
        <v>1</v>
      </c>
      <c r="F322" s="17" t="s">
        <v>120</v>
      </c>
      <c r="G322" s="17" t="s">
        <v>163</v>
      </c>
      <c r="H322" s="17" t="s">
        <v>164</v>
      </c>
      <c r="I322" s="17" t="s">
        <v>165</v>
      </c>
      <c r="J322" s="27" t="s">
        <v>71</v>
      </c>
      <c r="K322" s="29">
        <v>45</v>
      </c>
      <c r="L322" s="31">
        <v>7380</v>
      </c>
      <c r="M322" s="31">
        <v>3413.2499999999995</v>
      </c>
      <c r="N322" s="31">
        <v>2719.35</v>
      </c>
      <c r="O322" s="34">
        <f t="shared" si="48"/>
        <v>0.46249999999999991</v>
      </c>
      <c r="P322" s="34">
        <f t="shared" si="49"/>
        <v>0.79670402109426508</v>
      </c>
      <c r="Q322" s="34">
        <f t="shared" si="50"/>
        <v>0.53750000000000009</v>
      </c>
      <c r="R322" s="46">
        <f t="shared" si="51"/>
        <v>60.43</v>
      </c>
    </row>
    <row r="323" spans="2:18" ht="12.75" customHeight="1" x14ac:dyDescent="0.25">
      <c r="B323" s="17" t="s">
        <v>0</v>
      </c>
      <c r="C323" s="44" t="s">
        <v>147</v>
      </c>
      <c r="D323" s="22" t="s">
        <v>9</v>
      </c>
      <c r="E323" s="20">
        <v>2</v>
      </c>
      <c r="F323" s="17" t="s">
        <v>120</v>
      </c>
      <c r="G323" s="17" t="s">
        <v>163</v>
      </c>
      <c r="H323" s="17" t="s">
        <v>164</v>
      </c>
      <c r="I323" s="17" t="s">
        <v>165</v>
      </c>
      <c r="J323" s="27" t="s">
        <v>148</v>
      </c>
      <c r="K323" s="29">
        <v>200</v>
      </c>
      <c r="L323" s="31">
        <v>9587</v>
      </c>
      <c r="M323" s="31">
        <v>3336.64</v>
      </c>
      <c r="N323" s="31">
        <v>2671.02</v>
      </c>
      <c r="O323" s="34">
        <f t="shared" si="48"/>
        <v>0.34803796808177739</v>
      </c>
      <c r="P323" s="34">
        <f t="shared" si="49"/>
        <v>0.80051189220293473</v>
      </c>
      <c r="Q323" s="34">
        <f t="shared" si="50"/>
        <v>0.65196203191822266</v>
      </c>
      <c r="R323" s="46">
        <f t="shared" si="51"/>
        <v>13.3551</v>
      </c>
    </row>
    <row r="324" spans="2:18" ht="12.75" customHeight="1" x14ac:dyDescent="0.25">
      <c r="B324" s="17" t="s">
        <v>0</v>
      </c>
      <c r="C324" s="44" t="s">
        <v>139</v>
      </c>
      <c r="D324" s="22" t="s">
        <v>9</v>
      </c>
      <c r="E324" s="20">
        <v>2</v>
      </c>
      <c r="F324" s="17" t="s">
        <v>120</v>
      </c>
      <c r="G324" s="17" t="s">
        <v>163</v>
      </c>
      <c r="H324" s="17" t="s">
        <v>164</v>
      </c>
      <c r="I324" s="17" t="s">
        <v>165</v>
      </c>
      <c r="J324" s="27" t="s">
        <v>140</v>
      </c>
      <c r="K324" s="29">
        <v>172</v>
      </c>
      <c r="L324" s="31">
        <v>10041.36</v>
      </c>
      <c r="M324" s="31">
        <v>2769.0699999919998</v>
      </c>
      <c r="N324" s="31">
        <v>2150.7499999799998</v>
      </c>
      <c r="O324" s="34">
        <f t="shared" si="48"/>
        <v>0.27576643004453577</v>
      </c>
      <c r="P324" s="34">
        <f t="shared" si="49"/>
        <v>0.77670481424673754</v>
      </c>
      <c r="Q324" s="34">
        <f t="shared" si="50"/>
        <v>0.72423356995546428</v>
      </c>
      <c r="R324" s="46">
        <f t="shared" si="51"/>
        <v>12.504360464999998</v>
      </c>
    </row>
    <row r="325" spans="2:18" ht="12.75" customHeight="1" x14ac:dyDescent="0.25">
      <c r="B325" s="17" t="s">
        <v>0</v>
      </c>
      <c r="C325" s="44" t="s">
        <v>42</v>
      </c>
      <c r="D325" s="22" t="s">
        <v>2</v>
      </c>
      <c r="E325" s="20">
        <v>1</v>
      </c>
      <c r="F325" s="17" t="s">
        <v>120</v>
      </c>
      <c r="G325" s="17" t="s">
        <v>163</v>
      </c>
      <c r="H325" s="17" t="s">
        <v>164</v>
      </c>
      <c r="I325" s="17" t="s">
        <v>165</v>
      </c>
      <c r="J325" s="27" t="s">
        <v>43</v>
      </c>
      <c r="K325" s="29">
        <v>49</v>
      </c>
      <c r="L325" s="31">
        <v>6757.0000000399996</v>
      </c>
      <c r="M325" s="31">
        <v>2138.8400000010001</v>
      </c>
      <c r="N325" s="31">
        <v>1643.650000006</v>
      </c>
      <c r="O325" s="34">
        <f t="shared" si="48"/>
        <v>0.31653692466898603</v>
      </c>
      <c r="P325" s="34">
        <f t="shared" si="49"/>
        <v>0.7684773054577394</v>
      </c>
      <c r="Q325" s="34">
        <f t="shared" si="50"/>
        <v>0.68346307533101402</v>
      </c>
      <c r="R325" s="46">
        <f t="shared" si="51"/>
        <v>33.543877551142856</v>
      </c>
    </row>
    <row r="326" spans="2:18" ht="12.75" customHeight="1" x14ac:dyDescent="0.25">
      <c r="B326" s="17" t="s">
        <v>0</v>
      </c>
      <c r="C326" s="44" t="s">
        <v>168</v>
      </c>
      <c r="D326" s="22" t="s">
        <v>2</v>
      </c>
      <c r="E326" s="20">
        <v>1</v>
      </c>
      <c r="F326" s="17" t="s">
        <v>120</v>
      </c>
      <c r="G326" s="17" t="s">
        <v>163</v>
      </c>
      <c r="H326" s="17" t="s">
        <v>164</v>
      </c>
      <c r="I326" s="17" t="s">
        <v>165</v>
      </c>
      <c r="J326" s="27" t="s">
        <v>169</v>
      </c>
      <c r="K326" s="29">
        <v>38</v>
      </c>
      <c r="L326" s="31">
        <v>6650</v>
      </c>
      <c r="M326" s="31">
        <v>1965.5299999920001</v>
      </c>
      <c r="N326" s="31">
        <v>1566.0399999859999</v>
      </c>
      <c r="O326" s="34">
        <f t="shared" si="48"/>
        <v>0.29556842105142855</v>
      </c>
      <c r="P326" s="34">
        <f t="shared" si="49"/>
        <v>0.79675202107949195</v>
      </c>
      <c r="Q326" s="34">
        <f t="shared" si="50"/>
        <v>0.70443157894857145</v>
      </c>
      <c r="R326" s="46">
        <f t="shared" si="51"/>
        <v>41.211578947</v>
      </c>
    </row>
    <row r="327" spans="2:18" ht="12.75" customHeight="1" x14ac:dyDescent="0.25">
      <c r="B327" s="17" t="s">
        <v>0</v>
      </c>
      <c r="C327" s="44" t="s">
        <v>103</v>
      </c>
      <c r="D327" s="22" t="s">
        <v>2</v>
      </c>
      <c r="E327" s="20">
        <v>1</v>
      </c>
      <c r="F327" s="17" t="s">
        <v>120</v>
      </c>
      <c r="G327" s="17" t="s">
        <v>163</v>
      </c>
      <c r="H327" s="17" t="s">
        <v>164</v>
      </c>
      <c r="I327" s="17" t="s">
        <v>165</v>
      </c>
      <c r="J327" s="27" t="s">
        <v>104</v>
      </c>
      <c r="K327" s="29">
        <v>115</v>
      </c>
      <c r="L327" s="31">
        <v>4715</v>
      </c>
      <c r="M327" s="31">
        <v>1856.48000002</v>
      </c>
      <c r="N327" s="31">
        <v>1458.5400000299999</v>
      </c>
      <c r="O327" s="34">
        <f t="shared" si="48"/>
        <v>0.39373913043902442</v>
      </c>
      <c r="P327" s="34">
        <f t="shared" si="49"/>
        <v>0.78564810825556264</v>
      </c>
      <c r="Q327" s="34">
        <f t="shared" si="50"/>
        <v>0.60626086956097558</v>
      </c>
      <c r="R327" s="46">
        <f t="shared" si="51"/>
        <v>12.682956522</v>
      </c>
    </row>
    <row r="328" spans="2:18" ht="12.75" customHeight="1" x14ac:dyDescent="0.25">
      <c r="B328" s="17" t="s">
        <v>0</v>
      </c>
      <c r="C328" s="44" t="s">
        <v>170</v>
      </c>
      <c r="D328" s="22" t="s">
        <v>2</v>
      </c>
      <c r="E328" s="20">
        <v>1</v>
      </c>
      <c r="F328" s="17" t="s">
        <v>120</v>
      </c>
      <c r="G328" s="17" t="s">
        <v>163</v>
      </c>
      <c r="H328" s="17" t="s">
        <v>164</v>
      </c>
      <c r="I328" s="17" t="s">
        <v>165</v>
      </c>
      <c r="J328" s="27" t="s">
        <v>171</v>
      </c>
      <c r="K328" s="29">
        <v>126</v>
      </c>
      <c r="L328" s="31">
        <v>11239</v>
      </c>
      <c r="M328" s="31">
        <v>1823.0900000079998</v>
      </c>
      <c r="N328" s="31">
        <v>1453.8500000003999</v>
      </c>
      <c r="O328" s="34">
        <f t="shared" si="48"/>
        <v>0.16221105080594359</v>
      </c>
      <c r="P328" s="34">
        <f t="shared" si="49"/>
        <v>0.79746474392049782</v>
      </c>
      <c r="Q328" s="34">
        <f t="shared" si="50"/>
        <v>0.83778894919405644</v>
      </c>
      <c r="R328" s="46">
        <f t="shared" si="51"/>
        <v>11.538492063495237</v>
      </c>
    </row>
    <row r="329" spans="2:18" ht="12.75" customHeight="1" x14ac:dyDescent="0.25">
      <c r="B329" s="17" t="s">
        <v>0</v>
      </c>
      <c r="C329" s="44" t="s">
        <v>161</v>
      </c>
      <c r="D329" s="22" t="s">
        <v>2</v>
      </c>
      <c r="E329" s="20">
        <v>1</v>
      </c>
      <c r="F329" s="17" t="s">
        <v>120</v>
      </c>
      <c r="G329" s="17" t="s">
        <v>163</v>
      </c>
      <c r="H329" s="17" t="s">
        <v>164</v>
      </c>
      <c r="I329" s="17" t="s">
        <v>165</v>
      </c>
      <c r="J329" s="27" t="s">
        <v>162</v>
      </c>
      <c r="K329" s="29">
        <v>94</v>
      </c>
      <c r="L329" s="31">
        <v>4221.54</v>
      </c>
      <c r="M329" s="31">
        <v>1544.42</v>
      </c>
      <c r="N329" s="31">
        <v>1232.3399999999999</v>
      </c>
      <c r="O329" s="34">
        <f t="shared" si="48"/>
        <v>0.36584279670452019</v>
      </c>
      <c r="P329" s="34">
        <f t="shared" si="49"/>
        <v>0.79793061472915394</v>
      </c>
      <c r="Q329" s="34">
        <f t="shared" si="50"/>
        <v>0.63415720329547987</v>
      </c>
      <c r="R329" s="46">
        <f t="shared" si="51"/>
        <v>13.11</v>
      </c>
    </row>
    <row r="330" spans="2:18" ht="12.75" customHeight="1" x14ac:dyDescent="0.25">
      <c r="B330" s="17" t="s">
        <v>0</v>
      </c>
      <c r="C330" s="44" t="s">
        <v>149</v>
      </c>
      <c r="D330" s="22" t="s">
        <v>2</v>
      </c>
      <c r="E330" s="20">
        <v>1</v>
      </c>
      <c r="F330" s="17" t="s">
        <v>120</v>
      </c>
      <c r="G330" s="17" t="s">
        <v>163</v>
      </c>
      <c r="H330" s="17" t="s">
        <v>164</v>
      </c>
      <c r="I330" s="17" t="s">
        <v>165</v>
      </c>
      <c r="J330" s="27" t="s">
        <v>150</v>
      </c>
      <c r="K330" s="29">
        <v>79</v>
      </c>
      <c r="L330" s="31">
        <v>3634</v>
      </c>
      <c r="M330" s="31">
        <v>1275.06</v>
      </c>
      <c r="N330" s="31">
        <v>1015.9399999999999</v>
      </c>
      <c r="O330" s="34">
        <f t="shared" si="48"/>
        <v>0.35086956521739127</v>
      </c>
      <c r="P330" s="34">
        <f t="shared" si="49"/>
        <v>0.79677819083023538</v>
      </c>
      <c r="Q330" s="34">
        <f t="shared" si="50"/>
        <v>0.64913043478260879</v>
      </c>
      <c r="R330" s="46">
        <f t="shared" si="51"/>
        <v>12.86</v>
      </c>
    </row>
    <row r="331" spans="2:18" ht="12.75" customHeight="1" x14ac:dyDescent="0.25">
      <c r="B331" s="17" t="s">
        <v>0</v>
      </c>
      <c r="C331" s="44" t="s">
        <v>176</v>
      </c>
      <c r="D331" s="22" t="s">
        <v>2</v>
      </c>
      <c r="E331" s="20">
        <v>1</v>
      </c>
      <c r="F331" s="17" t="s">
        <v>120</v>
      </c>
      <c r="G331" s="17" t="s">
        <v>163</v>
      </c>
      <c r="H331" s="17" t="s">
        <v>164</v>
      </c>
      <c r="I331" s="17" t="s">
        <v>165</v>
      </c>
      <c r="J331" s="27" t="s">
        <v>177</v>
      </c>
      <c r="K331" s="29">
        <v>71</v>
      </c>
      <c r="L331" s="31">
        <v>2461</v>
      </c>
      <c r="M331" s="31">
        <v>1124.49</v>
      </c>
      <c r="N331" s="31">
        <v>897.86999999999989</v>
      </c>
      <c r="O331" s="34">
        <f t="shared" si="48"/>
        <v>0.45692401462819993</v>
      </c>
      <c r="P331" s="34">
        <f t="shared" si="49"/>
        <v>0.79846863911639931</v>
      </c>
      <c r="Q331" s="34">
        <f t="shared" si="50"/>
        <v>0.54307598537180013</v>
      </c>
      <c r="R331" s="46">
        <f t="shared" si="51"/>
        <v>12.646056338028167</v>
      </c>
    </row>
    <row r="332" spans="2:18" ht="12.75" customHeight="1" x14ac:dyDescent="0.25">
      <c r="B332" s="17" t="s">
        <v>0</v>
      </c>
      <c r="C332" s="44" t="s">
        <v>42</v>
      </c>
      <c r="D332" s="22" t="s">
        <v>9</v>
      </c>
      <c r="E332" s="20">
        <v>2</v>
      </c>
      <c r="F332" s="17" t="s">
        <v>120</v>
      </c>
      <c r="G332" s="17" t="s">
        <v>163</v>
      </c>
      <c r="H332" s="17" t="s">
        <v>164</v>
      </c>
      <c r="I332" s="17" t="s">
        <v>165</v>
      </c>
      <c r="J332" s="27" t="s">
        <v>43</v>
      </c>
      <c r="K332" s="29">
        <v>67</v>
      </c>
      <c r="L332" s="31">
        <v>2094</v>
      </c>
      <c r="M332" s="31">
        <v>1094.490000005</v>
      </c>
      <c r="N332" s="31">
        <v>823.51000000470003</v>
      </c>
      <c r="O332" s="34">
        <f t="shared" si="48"/>
        <v>0.52267908309694366</v>
      </c>
      <c r="P332" s="34">
        <f t="shared" si="49"/>
        <v>0.75241436650945914</v>
      </c>
      <c r="Q332" s="34">
        <f t="shared" si="50"/>
        <v>0.47732091690305634</v>
      </c>
      <c r="R332" s="46">
        <f t="shared" si="51"/>
        <v>12.291194029920897</v>
      </c>
    </row>
    <row r="333" spans="2:18" ht="12.75" customHeight="1" x14ac:dyDescent="0.25">
      <c r="B333" s="17" t="s">
        <v>0</v>
      </c>
      <c r="C333" s="44" t="s">
        <v>178</v>
      </c>
      <c r="D333" s="22" t="s">
        <v>2</v>
      </c>
      <c r="E333" s="20">
        <v>1</v>
      </c>
      <c r="F333" s="17" t="s">
        <v>120</v>
      </c>
      <c r="G333" s="17" t="s">
        <v>163</v>
      </c>
      <c r="H333" s="17" t="s">
        <v>164</v>
      </c>
      <c r="I333" s="17" t="s">
        <v>165</v>
      </c>
      <c r="J333" s="27" t="s">
        <v>179</v>
      </c>
      <c r="K333" s="29">
        <v>13</v>
      </c>
      <c r="L333" s="31">
        <v>3421.9999999900001</v>
      </c>
      <c r="M333" s="31">
        <v>972.23000000100001</v>
      </c>
      <c r="N333" s="31">
        <v>774.30999999599999</v>
      </c>
      <c r="O333" s="34">
        <f t="shared" si="48"/>
        <v>0.28411163062648775</v>
      </c>
      <c r="P333" s="34">
        <f t="shared" si="49"/>
        <v>0.79642677143803786</v>
      </c>
      <c r="Q333" s="34">
        <f t="shared" si="50"/>
        <v>0.7158883693735123</v>
      </c>
      <c r="R333" s="46">
        <f t="shared" si="51"/>
        <v>59.562307691999997</v>
      </c>
    </row>
    <row r="334" spans="2:18" ht="12.75" customHeight="1" x14ac:dyDescent="0.25">
      <c r="B334" s="17" t="s">
        <v>0</v>
      </c>
      <c r="C334" s="44" t="s">
        <v>155</v>
      </c>
      <c r="D334" s="22" t="s">
        <v>2</v>
      </c>
      <c r="E334" s="20">
        <v>1</v>
      </c>
      <c r="F334" s="17" t="s">
        <v>120</v>
      </c>
      <c r="G334" s="17" t="s">
        <v>163</v>
      </c>
      <c r="H334" s="17" t="s">
        <v>164</v>
      </c>
      <c r="I334" s="17" t="s">
        <v>165</v>
      </c>
      <c r="J334" s="27" t="s">
        <v>156</v>
      </c>
      <c r="K334" s="29">
        <v>58</v>
      </c>
      <c r="L334" s="31">
        <v>2842</v>
      </c>
      <c r="M334" s="31">
        <v>934.96</v>
      </c>
      <c r="N334" s="31">
        <v>731.88000002000001</v>
      </c>
      <c r="O334" s="34">
        <f t="shared" si="48"/>
        <v>0.3289795918367347</v>
      </c>
      <c r="P334" s="34">
        <f t="shared" si="49"/>
        <v>0.78279284677419358</v>
      </c>
      <c r="Q334" s="34">
        <f t="shared" si="50"/>
        <v>0.67102040816326536</v>
      </c>
      <c r="R334" s="46">
        <f t="shared" si="51"/>
        <v>12.61862069</v>
      </c>
    </row>
    <row r="335" spans="2:18" ht="12.75" customHeight="1" x14ac:dyDescent="0.25">
      <c r="B335" s="17" t="s">
        <v>0</v>
      </c>
      <c r="C335" s="44" t="s">
        <v>82</v>
      </c>
      <c r="D335" s="22" t="s">
        <v>2</v>
      </c>
      <c r="E335" s="20">
        <v>1</v>
      </c>
      <c r="F335" s="17" t="s">
        <v>120</v>
      </c>
      <c r="G335" s="17" t="s">
        <v>163</v>
      </c>
      <c r="H335" s="17" t="s">
        <v>164</v>
      </c>
      <c r="I335" s="17" t="s">
        <v>165</v>
      </c>
      <c r="J335" s="27" t="s">
        <v>83</v>
      </c>
      <c r="K335" s="29">
        <v>59</v>
      </c>
      <c r="L335" s="31">
        <v>1905.11</v>
      </c>
      <c r="M335" s="31">
        <v>929.51999998899998</v>
      </c>
      <c r="N335" s="31">
        <v>715.150000019</v>
      </c>
      <c r="O335" s="34">
        <f t="shared" si="48"/>
        <v>0.48790883465469187</v>
      </c>
      <c r="P335" s="34">
        <f t="shared" si="49"/>
        <v>0.76937559173279024</v>
      </c>
      <c r="Q335" s="34">
        <f t="shared" si="50"/>
        <v>0.51209116534530819</v>
      </c>
      <c r="R335" s="46">
        <f t="shared" si="51"/>
        <v>12.121186441000001</v>
      </c>
    </row>
    <row r="336" spans="2:18" ht="12.75" customHeight="1" x14ac:dyDescent="0.25">
      <c r="B336" s="17" t="s">
        <v>0</v>
      </c>
      <c r="C336" s="44" t="s">
        <v>68</v>
      </c>
      <c r="D336" s="22" t="s">
        <v>2</v>
      </c>
      <c r="E336" s="20">
        <v>1</v>
      </c>
      <c r="F336" s="17" t="s">
        <v>120</v>
      </c>
      <c r="G336" s="17" t="s">
        <v>163</v>
      </c>
      <c r="H336" s="17" t="s">
        <v>164</v>
      </c>
      <c r="I336" s="17" t="s">
        <v>165</v>
      </c>
      <c r="J336" s="27" t="s">
        <v>69</v>
      </c>
      <c r="K336" s="29">
        <v>55</v>
      </c>
      <c r="L336" s="31">
        <v>1511.059999995</v>
      </c>
      <c r="M336" s="31">
        <v>873.82</v>
      </c>
      <c r="N336" s="31">
        <v>697.97</v>
      </c>
      <c r="O336" s="34">
        <f t="shared" si="48"/>
        <v>0.57828279486115142</v>
      </c>
      <c r="P336" s="34">
        <f t="shared" si="49"/>
        <v>0.79875718111281502</v>
      </c>
      <c r="Q336" s="34">
        <f t="shared" si="50"/>
        <v>0.42171720513884858</v>
      </c>
      <c r="R336" s="46">
        <f t="shared" si="51"/>
        <v>12.690363636363637</v>
      </c>
    </row>
    <row r="337" spans="2:18" ht="12.75" customHeight="1" x14ac:dyDescent="0.25">
      <c r="B337" s="17" t="s">
        <v>0</v>
      </c>
      <c r="C337" s="44" t="s">
        <v>22</v>
      </c>
      <c r="D337" s="22" t="s">
        <v>2</v>
      </c>
      <c r="E337" s="20">
        <v>1</v>
      </c>
      <c r="F337" s="17" t="s">
        <v>120</v>
      </c>
      <c r="G337" s="17" t="s">
        <v>163</v>
      </c>
      <c r="H337" s="17" t="s">
        <v>164</v>
      </c>
      <c r="I337" s="17" t="s">
        <v>165</v>
      </c>
      <c r="J337" s="27" t="s">
        <v>23</v>
      </c>
      <c r="K337" s="29">
        <v>47</v>
      </c>
      <c r="L337" s="31">
        <v>1103.9999999940001</v>
      </c>
      <c r="M337" s="31">
        <v>762.72999998399996</v>
      </c>
      <c r="N337" s="31">
        <v>599.87999998499993</v>
      </c>
      <c r="O337" s="34">
        <f t="shared" si="48"/>
        <v>0.69087862317766779</v>
      </c>
      <c r="P337" s="34">
        <f t="shared" si="49"/>
        <v>0.78649063233068561</v>
      </c>
      <c r="Q337" s="34">
        <f t="shared" si="50"/>
        <v>0.30912137682233221</v>
      </c>
      <c r="R337" s="46">
        <f t="shared" si="51"/>
        <v>12.763404254999999</v>
      </c>
    </row>
    <row r="338" spans="2:18" ht="12.75" customHeight="1" x14ac:dyDescent="0.25">
      <c r="B338" s="17" t="s">
        <v>0</v>
      </c>
      <c r="C338" s="44" t="s">
        <v>180</v>
      </c>
      <c r="D338" s="22" t="s">
        <v>9</v>
      </c>
      <c r="E338" s="20">
        <v>2</v>
      </c>
      <c r="F338" s="17" t="s">
        <v>120</v>
      </c>
      <c r="G338" s="17" t="s">
        <v>163</v>
      </c>
      <c r="H338" s="17" t="s">
        <v>164</v>
      </c>
      <c r="I338" s="17" t="s">
        <v>165</v>
      </c>
      <c r="J338" s="27" t="s">
        <v>181</v>
      </c>
      <c r="K338" s="29">
        <v>48</v>
      </c>
      <c r="L338" s="31">
        <v>2304</v>
      </c>
      <c r="M338" s="31">
        <v>762.52999999199994</v>
      </c>
      <c r="N338" s="31">
        <v>568.73000000399998</v>
      </c>
      <c r="O338" s="34">
        <f t="shared" si="48"/>
        <v>0.33095920138541662</v>
      </c>
      <c r="P338" s="34">
        <f t="shared" si="49"/>
        <v>0.74584606508592033</v>
      </c>
      <c r="Q338" s="34">
        <f t="shared" si="50"/>
        <v>0.66904079861458343</v>
      </c>
      <c r="R338" s="46">
        <f t="shared" si="51"/>
        <v>11.84854166675</v>
      </c>
    </row>
    <row r="339" spans="2:18" ht="12.75" customHeight="1" x14ac:dyDescent="0.25">
      <c r="B339" s="17" t="s">
        <v>0</v>
      </c>
      <c r="C339" s="44" t="s">
        <v>182</v>
      </c>
      <c r="D339" s="22" t="s">
        <v>9</v>
      </c>
      <c r="E339" s="20">
        <v>2</v>
      </c>
      <c r="F339" s="17" t="s">
        <v>120</v>
      </c>
      <c r="G339" s="17" t="s">
        <v>163</v>
      </c>
      <c r="H339" s="17" t="s">
        <v>164</v>
      </c>
      <c r="I339" s="17" t="s">
        <v>165</v>
      </c>
      <c r="J339" s="27" t="s">
        <v>183</v>
      </c>
      <c r="K339" s="29">
        <v>36</v>
      </c>
      <c r="L339" s="31">
        <v>1517.18</v>
      </c>
      <c r="M339" s="31">
        <v>561.99999999500005</v>
      </c>
      <c r="N339" s="31">
        <v>447.799999996</v>
      </c>
      <c r="O339" s="34">
        <f t="shared" si="48"/>
        <v>0.37042407624342533</v>
      </c>
      <c r="P339" s="34">
        <f t="shared" si="49"/>
        <v>0.79679715302488241</v>
      </c>
      <c r="Q339" s="34">
        <f t="shared" si="50"/>
        <v>0.62957592375657467</v>
      </c>
      <c r="R339" s="46">
        <f t="shared" si="51"/>
        <v>12.438888888777777</v>
      </c>
    </row>
    <row r="340" spans="2:18" ht="12.75" customHeight="1" x14ac:dyDescent="0.25">
      <c r="B340" s="17" t="s">
        <v>0</v>
      </c>
      <c r="C340" s="44" t="s">
        <v>184</v>
      </c>
      <c r="D340" s="22" t="s">
        <v>2</v>
      </c>
      <c r="E340" s="20">
        <v>1</v>
      </c>
      <c r="F340" s="17" t="s">
        <v>120</v>
      </c>
      <c r="G340" s="17" t="s">
        <v>163</v>
      </c>
      <c r="H340" s="17" t="s">
        <v>164</v>
      </c>
      <c r="I340" s="17" t="s">
        <v>165</v>
      </c>
      <c r="J340" s="27" t="s">
        <v>185</v>
      </c>
      <c r="K340" s="29">
        <v>33</v>
      </c>
      <c r="L340" s="31">
        <v>1337.6400000149999</v>
      </c>
      <c r="M340" s="31">
        <v>520.37999999700003</v>
      </c>
      <c r="N340" s="31">
        <v>414.840000003</v>
      </c>
      <c r="O340" s="34">
        <f t="shared" si="48"/>
        <v>0.3890284381381871</v>
      </c>
      <c r="P340" s="34">
        <f t="shared" si="49"/>
        <v>0.79718667128904175</v>
      </c>
      <c r="Q340" s="34">
        <f t="shared" si="50"/>
        <v>0.6109715618618129</v>
      </c>
      <c r="R340" s="46">
        <f t="shared" si="51"/>
        <v>12.570909091000001</v>
      </c>
    </row>
    <row r="341" spans="2:18" ht="12.75" customHeight="1" x14ac:dyDescent="0.25">
      <c r="B341" s="17" t="s">
        <v>0</v>
      </c>
      <c r="C341" s="44" t="s">
        <v>26</v>
      </c>
      <c r="D341" s="22" t="s">
        <v>2</v>
      </c>
      <c r="E341" s="20">
        <v>1</v>
      </c>
      <c r="F341" s="17" t="s">
        <v>120</v>
      </c>
      <c r="G341" s="17" t="s">
        <v>163</v>
      </c>
      <c r="H341" s="17" t="s">
        <v>164</v>
      </c>
      <c r="I341" s="17" t="s">
        <v>165</v>
      </c>
      <c r="J341" s="27" t="s">
        <v>27</v>
      </c>
      <c r="K341" s="29">
        <v>30</v>
      </c>
      <c r="L341" s="31">
        <v>1230</v>
      </c>
      <c r="M341" s="31">
        <v>489.81999999999994</v>
      </c>
      <c r="N341" s="31">
        <v>377.14</v>
      </c>
      <c r="O341" s="34">
        <f t="shared" si="48"/>
        <v>0.39822764227642271</v>
      </c>
      <c r="P341" s="34">
        <f t="shared" si="49"/>
        <v>0.76995631048140145</v>
      </c>
      <c r="Q341" s="34">
        <f t="shared" si="50"/>
        <v>0.60177235772357729</v>
      </c>
      <c r="R341" s="46">
        <f t="shared" si="51"/>
        <v>12.571333333333333</v>
      </c>
    </row>
    <row r="342" spans="2:18" ht="12.75" customHeight="1" x14ac:dyDescent="0.25">
      <c r="B342" s="17" t="s">
        <v>0</v>
      </c>
      <c r="C342" s="44" t="s">
        <v>92</v>
      </c>
      <c r="D342" s="22" t="s">
        <v>2</v>
      </c>
      <c r="E342" s="20">
        <v>1</v>
      </c>
      <c r="F342" s="17" t="s">
        <v>120</v>
      </c>
      <c r="G342" s="17" t="s">
        <v>163</v>
      </c>
      <c r="H342" s="17" t="s">
        <v>164</v>
      </c>
      <c r="I342" s="17" t="s">
        <v>165</v>
      </c>
      <c r="J342" s="27" t="s">
        <v>93</v>
      </c>
      <c r="K342" s="29">
        <v>27</v>
      </c>
      <c r="L342" s="31">
        <v>1377</v>
      </c>
      <c r="M342" s="31">
        <v>442.88000000099998</v>
      </c>
      <c r="N342" s="31">
        <v>354.07999999800001</v>
      </c>
      <c r="O342" s="34">
        <f t="shared" si="48"/>
        <v>0.32162672476470588</v>
      </c>
      <c r="P342" s="34">
        <f t="shared" si="49"/>
        <v>0.79949421964685807</v>
      </c>
      <c r="Q342" s="34">
        <f t="shared" si="50"/>
        <v>0.67837327523529412</v>
      </c>
      <c r="R342" s="46">
        <f t="shared" si="51"/>
        <v>13.114074073999999</v>
      </c>
    </row>
    <row r="343" spans="2:18" ht="12.75" customHeight="1" x14ac:dyDescent="0.25">
      <c r="B343" s="17" t="s">
        <v>0</v>
      </c>
      <c r="C343" s="44" t="s">
        <v>64</v>
      </c>
      <c r="D343" s="22" t="s">
        <v>2</v>
      </c>
      <c r="E343" s="20">
        <v>1</v>
      </c>
      <c r="F343" s="17" t="s">
        <v>120</v>
      </c>
      <c r="G343" s="17" t="s">
        <v>163</v>
      </c>
      <c r="H343" s="17" t="s">
        <v>164</v>
      </c>
      <c r="I343" s="17" t="s">
        <v>165</v>
      </c>
      <c r="J343" s="27" t="s">
        <v>65</v>
      </c>
      <c r="K343" s="29">
        <v>27</v>
      </c>
      <c r="L343" s="31">
        <v>648</v>
      </c>
      <c r="M343" s="31">
        <v>438.75</v>
      </c>
      <c r="N343" s="31">
        <v>352.35</v>
      </c>
      <c r="O343" s="34">
        <f t="shared" si="48"/>
        <v>0.67708333333333337</v>
      </c>
      <c r="P343" s="34">
        <f t="shared" si="49"/>
        <v>0.80307692307692313</v>
      </c>
      <c r="Q343" s="34">
        <f t="shared" si="50"/>
        <v>0.32291666666666663</v>
      </c>
      <c r="R343" s="46">
        <f t="shared" si="51"/>
        <v>13.05</v>
      </c>
    </row>
    <row r="344" spans="2:18" ht="12.75" customHeight="1" x14ac:dyDescent="0.25">
      <c r="B344" s="17" t="s">
        <v>0</v>
      </c>
      <c r="C344" s="44" t="s">
        <v>186</v>
      </c>
      <c r="D344" s="22" t="s">
        <v>9</v>
      </c>
      <c r="E344" s="20">
        <v>2</v>
      </c>
      <c r="F344" s="17" t="s">
        <v>120</v>
      </c>
      <c r="G344" s="17" t="s">
        <v>163</v>
      </c>
      <c r="H344" s="17" t="s">
        <v>164</v>
      </c>
      <c r="I344" s="17" t="s">
        <v>165</v>
      </c>
      <c r="J344" s="27" t="s">
        <v>187</v>
      </c>
      <c r="K344" s="29">
        <v>38</v>
      </c>
      <c r="L344" s="31">
        <v>1450.9999999880001</v>
      </c>
      <c r="M344" s="31">
        <v>431.52000001199997</v>
      </c>
      <c r="N344" s="31">
        <v>290.15000000039998</v>
      </c>
      <c r="O344" s="34">
        <f t="shared" si="48"/>
        <v>0.29739490007964758</v>
      </c>
      <c r="P344" s="34">
        <f t="shared" si="49"/>
        <v>0.67239061918875442</v>
      </c>
      <c r="Q344" s="34">
        <f t="shared" si="50"/>
        <v>0.70260509992035236</v>
      </c>
      <c r="R344" s="46">
        <f t="shared" si="51"/>
        <v>7.6355263158</v>
      </c>
    </row>
    <row r="345" spans="2:18" ht="12.75" customHeight="1" x14ac:dyDescent="0.25">
      <c r="B345" s="17" t="s">
        <v>0</v>
      </c>
      <c r="C345" s="44" t="s">
        <v>1</v>
      </c>
      <c r="D345" s="22" t="s">
        <v>9</v>
      </c>
      <c r="E345" s="20">
        <v>2</v>
      </c>
      <c r="F345" s="17" t="s">
        <v>120</v>
      </c>
      <c r="G345" s="17" t="s">
        <v>163</v>
      </c>
      <c r="H345" s="17" t="s">
        <v>164</v>
      </c>
      <c r="I345" s="17" t="s">
        <v>165</v>
      </c>
      <c r="J345" s="27" t="s">
        <v>6</v>
      </c>
      <c r="K345" s="29">
        <v>19</v>
      </c>
      <c r="L345" s="31">
        <v>337.99999999600004</v>
      </c>
      <c r="M345" s="31">
        <v>307.61</v>
      </c>
      <c r="N345" s="31">
        <v>245.67</v>
      </c>
      <c r="O345" s="34">
        <f t="shared" si="48"/>
        <v>0.91008875740721995</v>
      </c>
      <c r="P345" s="34">
        <f t="shared" si="49"/>
        <v>0.79864113650401469</v>
      </c>
      <c r="Q345" s="34">
        <f t="shared" si="50"/>
        <v>8.991124259278005E-2</v>
      </c>
      <c r="R345" s="46">
        <f t="shared" si="51"/>
        <v>12.93</v>
      </c>
    </row>
    <row r="346" spans="2:18" ht="12.75" customHeight="1" thickBot="1" x14ac:dyDescent="0.3">
      <c r="B346" s="15" t="s">
        <v>0</v>
      </c>
      <c r="C346" s="50" t="s">
        <v>110</v>
      </c>
      <c r="D346" s="19" t="s">
        <v>2</v>
      </c>
      <c r="E346" s="16">
        <v>1</v>
      </c>
      <c r="F346" s="15" t="s">
        <v>120</v>
      </c>
      <c r="G346" s="15" t="s">
        <v>163</v>
      </c>
      <c r="H346" s="15" t="s">
        <v>164</v>
      </c>
      <c r="I346" s="15" t="s">
        <v>165</v>
      </c>
      <c r="J346" s="24" t="s">
        <v>111</v>
      </c>
      <c r="K346" s="26">
        <v>15</v>
      </c>
      <c r="L346" s="28">
        <v>615</v>
      </c>
      <c r="M346" s="28">
        <v>247.65000000000003</v>
      </c>
      <c r="N346" s="28">
        <v>197.4</v>
      </c>
      <c r="O346" s="32">
        <f t="shared" si="48"/>
        <v>0.40268292682926837</v>
      </c>
      <c r="P346" s="32">
        <f t="shared" si="49"/>
        <v>0.79709267110841908</v>
      </c>
      <c r="Q346" s="32">
        <f t="shared" si="50"/>
        <v>0.59731707317073157</v>
      </c>
      <c r="R346" s="49">
        <f t="shared" si="51"/>
        <v>13.16</v>
      </c>
    </row>
    <row r="347" spans="2:18" ht="17.25" customHeight="1" x14ac:dyDescent="0.25">
      <c r="B347" s="48"/>
      <c r="C347" s="58"/>
      <c r="D347" s="51" t="s">
        <v>366</v>
      </c>
      <c r="E347" s="52"/>
      <c r="F347" s="52"/>
      <c r="G347" s="53"/>
      <c r="H347" s="53"/>
      <c r="I347" s="53"/>
      <c r="J347" s="54"/>
      <c r="K347" s="55">
        <f>SUM(K224:K346)</f>
        <v>3212778</v>
      </c>
      <c r="L347" s="56">
        <f>SUM(L224:L346)</f>
        <v>280543716.56996316</v>
      </c>
      <c r="M347" s="56">
        <f>SUM(M224:M346)</f>
        <v>137249531.69994187</v>
      </c>
      <c r="N347" s="56">
        <f>SUM(N224:N346)</f>
        <v>106953296.17995054</v>
      </c>
      <c r="O347" s="57">
        <f>IFERROR(M347/L347,0)</f>
        <v>0.48922689617863535</v>
      </c>
      <c r="P347" s="57">
        <f>IFERROR(N347/M347,0)</f>
        <v>0.77926164741876369</v>
      </c>
      <c r="Q347" s="57">
        <f>IFERROR(1-(M347/L347),0)</f>
        <v>0.51077310382136465</v>
      </c>
      <c r="R347" s="59">
        <f>IFERROR(N347/K347,0)</f>
        <v>33.289974028691226</v>
      </c>
    </row>
    <row r="348" spans="2:18" ht="15.75" thickBot="1" x14ac:dyDescent="0.3">
      <c r="B348" s="60"/>
      <c r="C348" s="64"/>
      <c r="D348" s="62" t="s">
        <v>165</v>
      </c>
      <c r="E348" s="61"/>
      <c r="F348" s="61"/>
      <c r="G348" s="61"/>
      <c r="H348" s="61"/>
      <c r="I348" s="61"/>
      <c r="J348" s="61"/>
      <c r="K348" s="63"/>
      <c r="L348" s="63"/>
      <c r="M348" s="63"/>
      <c r="N348" s="63"/>
      <c r="O348" s="63"/>
      <c r="P348" s="63"/>
      <c r="Q348" s="63"/>
      <c r="R348" s="65"/>
    </row>
    <row r="349" spans="2:18" ht="15.75" thickBot="1" x14ac:dyDescent="0.3"/>
    <row r="350" spans="2:18" ht="15.75" x14ac:dyDescent="0.25">
      <c r="B350" s="1"/>
      <c r="C350" s="7" t="s">
        <v>348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9"/>
    </row>
    <row r="351" spans="2:18" ht="18" x14ac:dyDescent="0.25">
      <c r="B351" s="2"/>
      <c r="C351" s="8" t="s">
        <v>190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10"/>
    </row>
    <row r="352" spans="2:18" ht="15.75" thickBot="1" x14ac:dyDescent="0.3">
      <c r="B352" s="3"/>
      <c r="C352" s="1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12"/>
    </row>
    <row r="353" spans="2:18" ht="17.25" customHeight="1" thickBot="1" x14ac:dyDescent="0.3">
      <c r="B353" s="14" t="s">
        <v>349</v>
      </c>
      <c r="C353" s="18" t="s">
        <v>350</v>
      </c>
      <c r="D353" s="21" t="s">
        <v>351</v>
      </c>
      <c r="E353" s="23" t="s">
        <v>352</v>
      </c>
      <c r="F353" s="21" t="s">
        <v>353</v>
      </c>
      <c r="G353" s="23" t="s">
        <v>354</v>
      </c>
      <c r="H353" s="23" t="s">
        <v>355</v>
      </c>
      <c r="I353" s="23" t="s">
        <v>356</v>
      </c>
      <c r="J353" s="25" t="s">
        <v>357</v>
      </c>
      <c r="K353" s="25" t="s">
        <v>358</v>
      </c>
      <c r="L353" s="30" t="s">
        <v>359</v>
      </c>
      <c r="M353" s="30" t="s">
        <v>360</v>
      </c>
      <c r="N353" s="30" t="s">
        <v>361</v>
      </c>
      <c r="O353" s="33" t="s">
        <v>362</v>
      </c>
      <c r="P353" s="33" t="s">
        <v>363</v>
      </c>
      <c r="Q353" s="33" t="s">
        <v>364</v>
      </c>
      <c r="R353" s="35" t="s">
        <v>365</v>
      </c>
    </row>
    <row r="354" spans="2:18" ht="12.75" customHeight="1" x14ac:dyDescent="0.25">
      <c r="B354" s="17" t="s">
        <v>0</v>
      </c>
      <c r="C354" s="43" t="s">
        <v>28</v>
      </c>
      <c r="D354" s="37" t="s">
        <v>2</v>
      </c>
      <c r="E354" s="36">
        <v>1</v>
      </c>
      <c r="F354" s="38" t="s">
        <v>120</v>
      </c>
      <c r="G354" s="38" t="s">
        <v>188</v>
      </c>
      <c r="H354" s="38" t="s">
        <v>189</v>
      </c>
      <c r="I354" s="38" t="s">
        <v>190</v>
      </c>
      <c r="J354" s="39" t="s">
        <v>29</v>
      </c>
      <c r="K354" s="40">
        <v>115680</v>
      </c>
      <c r="L354" s="41">
        <v>200699287.59999073</v>
      </c>
      <c r="M354" s="41">
        <v>23952936.609998606</v>
      </c>
      <c r="N354" s="41">
        <v>18760146.89001574</v>
      </c>
      <c r="O354" s="42">
        <f t="shared" ref="O354:O396" si="52">IFERROR(M354/L354,0)</f>
        <v>0.11934739229238656</v>
      </c>
      <c r="P354" s="42">
        <f t="shared" ref="P354:P396" si="53">IFERROR(N354/M354,0)</f>
        <v>0.78320863931918661</v>
      </c>
      <c r="Q354" s="42">
        <f t="shared" ref="Q354:Q396" si="54">IFERROR(1-(M354/L354),0)</f>
        <v>0.88065260770761344</v>
      </c>
      <c r="R354" s="45">
        <f t="shared" ref="R354:R396" si="55">IFERROR(N354/K354,0)</f>
        <v>162.17277740331724</v>
      </c>
    </row>
    <row r="355" spans="2:18" ht="12.75" customHeight="1" x14ac:dyDescent="0.25">
      <c r="B355" s="17" t="s">
        <v>0</v>
      </c>
      <c r="C355" s="44" t="s">
        <v>44</v>
      </c>
      <c r="D355" s="22" t="s">
        <v>2</v>
      </c>
      <c r="E355" s="20">
        <v>1</v>
      </c>
      <c r="F355" s="17" t="s">
        <v>120</v>
      </c>
      <c r="G355" s="17" t="s">
        <v>188</v>
      </c>
      <c r="H355" s="17" t="s">
        <v>189</v>
      </c>
      <c r="I355" s="17" t="s">
        <v>190</v>
      </c>
      <c r="J355" s="27" t="s">
        <v>45</v>
      </c>
      <c r="K355" s="29">
        <v>88228</v>
      </c>
      <c r="L355" s="31">
        <v>55610509.590015262</v>
      </c>
      <c r="M355" s="31">
        <v>17587620.640011542</v>
      </c>
      <c r="N355" s="31">
        <v>13941363.499993101</v>
      </c>
      <c r="O355" s="34">
        <f t="shared" si="52"/>
        <v>0.31626433150271577</v>
      </c>
      <c r="P355" s="34">
        <f t="shared" si="53"/>
        <v>0.79268047596368629</v>
      </c>
      <c r="Q355" s="34">
        <f t="shared" si="54"/>
        <v>0.68373566849728418</v>
      </c>
      <c r="R355" s="46">
        <f t="shared" si="55"/>
        <v>158.01518225498822</v>
      </c>
    </row>
    <row r="356" spans="2:18" ht="12.75" customHeight="1" x14ac:dyDescent="0.25">
      <c r="B356" s="17" t="s">
        <v>0</v>
      </c>
      <c r="C356" s="44" t="s">
        <v>38</v>
      </c>
      <c r="D356" s="22" t="s">
        <v>2</v>
      </c>
      <c r="E356" s="20">
        <v>1</v>
      </c>
      <c r="F356" s="17" t="s">
        <v>120</v>
      </c>
      <c r="G356" s="17" t="s">
        <v>188</v>
      </c>
      <c r="H356" s="17" t="s">
        <v>189</v>
      </c>
      <c r="I356" s="17" t="s">
        <v>190</v>
      </c>
      <c r="J356" s="27" t="s">
        <v>39</v>
      </c>
      <c r="K356" s="29">
        <v>60910</v>
      </c>
      <c r="L356" s="31">
        <v>54204695.139989071</v>
      </c>
      <c r="M356" s="31">
        <v>12458830.199988419</v>
      </c>
      <c r="N356" s="31">
        <v>9870876.7199731693</v>
      </c>
      <c r="O356" s="34">
        <f t="shared" si="52"/>
        <v>0.2298478050252333</v>
      </c>
      <c r="P356" s="34">
        <f t="shared" si="53"/>
        <v>0.79227957693671314</v>
      </c>
      <c r="Q356" s="34">
        <f t="shared" si="54"/>
        <v>0.77015219497476672</v>
      </c>
      <c r="R356" s="46">
        <f t="shared" si="55"/>
        <v>162.05675127192856</v>
      </c>
    </row>
    <row r="357" spans="2:18" ht="12.75" customHeight="1" x14ac:dyDescent="0.25">
      <c r="B357" s="17" t="s">
        <v>0</v>
      </c>
      <c r="C357" s="44" t="s">
        <v>30</v>
      </c>
      <c r="D357" s="22" t="s">
        <v>2</v>
      </c>
      <c r="E357" s="20">
        <v>1</v>
      </c>
      <c r="F357" s="17" t="s">
        <v>120</v>
      </c>
      <c r="G357" s="17" t="s">
        <v>188</v>
      </c>
      <c r="H357" s="17" t="s">
        <v>189</v>
      </c>
      <c r="I357" s="17" t="s">
        <v>190</v>
      </c>
      <c r="J357" s="27" t="s">
        <v>31</v>
      </c>
      <c r="K357" s="29">
        <v>47496</v>
      </c>
      <c r="L357" s="31">
        <v>39292885.039992318</v>
      </c>
      <c r="M357" s="31">
        <v>9494139.3900056165</v>
      </c>
      <c r="N357" s="31">
        <v>7519225.1599791404</v>
      </c>
      <c r="O357" s="34">
        <f t="shared" si="52"/>
        <v>0.24162489927482994</v>
      </c>
      <c r="P357" s="34">
        <f t="shared" si="53"/>
        <v>0.79198596640518593</v>
      </c>
      <c r="Q357" s="34">
        <f t="shared" si="54"/>
        <v>0.75837510072517</v>
      </c>
      <c r="R357" s="46">
        <f t="shared" si="55"/>
        <v>158.31280865713197</v>
      </c>
    </row>
    <row r="358" spans="2:18" ht="12.75" customHeight="1" x14ac:dyDescent="0.25">
      <c r="B358" s="17" t="s">
        <v>0</v>
      </c>
      <c r="C358" s="44" t="s">
        <v>46</v>
      </c>
      <c r="D358" s="22" t="s">
        <v>2</v>
      </c>
      <c r="E358" s="20">
        <v>1</v>
      </c>
      <c r="F358" s="17" t="s">
        <v>120</v>
      </c>
      <c r="G358" s="17" t="s">
        <v>188</v>
      </c>
      <c r="H358" s="17" t="s">
        <v>189</v>
      </c>
      <c r="I358" s="17" t="s">
        <v>190</v>
      </c>
      <c r="J358" s="27" t="s">
        <v>47</v>
      </c>
      <c r="K358" s="29">
        <v>28585</v>
      </c>
      <c r="L358" s="31">
        <v>26476250.880002417</v>
      </c>
      <c r="M358" s="31">
        <v>4968270.3900073841</v>
      </c>
      <c r="N358" s="31">
        <v>3929529.7500037965</v>
      </c>
      <c r="O358" s="34">
        <f t="shared" si="52"/>
        <v>0.18765007222982361</v>
      </c>
      <c r="P358" s="34">
        <f t="shared" si="53"/>
        <v>0.79092509898559615</v>
      </c>
      <c r="Q358" s="34">
        <f t="shared" si="54"/>
        <v>0.81234992777017645</v>
      </c>
      <c r="R358" s="46">
        <f t="shared" si="55"/>
        <v>137.46824383431158</v>
      </c>
    </row>
    <row r="359" spans="2:18" ht="12.75" customHeight="1" x14ac:dyDescent="0.25">
      <c r="B359" s="17" t="s">
        <v>0</v>
      </c>
      <c r="C359" s="44" t="s">
        <v>66</v>
      </c>
      <c r="D359" s="22" t="s">
        <v>2</v>
      </c>
      <c r="E359" s="20">
        <v>1</v>
      </c>
      <c r="F359" s="17" t="s">
        <v>120</v>
      </c>
      <c r="G359" s="17" t="s">
        <v>188</v>
      </c>
      <c r="H359" s="17" t="s">
        <v>189</v>
      </c>
      <c r="I359" s="17" t="s">
        <v>190</v>
      </c>
      <c r="J359" s="27" t="s">
        <v>67</v>
      </c>
      <c r="K359" s="29">
        <v>16616</v>
      </c>
      <c r="L359" s="31">
        <v>12987773.23000036</v>
      </c>
      <c r="M359" s="31">
        <v>3340974.7700074054</v>
      </c>
      <c r="N359" s="31">
        <v>2628189.0299880239</v>
      </c>
      <c r="O359" s="34">
        <f t="shared" si="52"/>
        <v>0.25723999879287335</v>
      </c>
      <c r="P359" s="34">
        <f t="shared" si="53"/>
        <v>0.7866533604449214</v>
      </c>
      <c r="Q359" s="34">
        <f t="shared" si="54"/>
        <v>0.74276000120712671</v>
      </c>
      <c r="R359" s="46">
        <f t="shared" si="55"/>
        <v>158.17218524241838</v>
      </c>
    </row>
    <row r="360" spans="2:18" ht="12.75" customHeight="1" x14ac:dyDescent="0.25">
      <c r="B360" s="17" t="s">
        <v>0</v>
      </c>
      <c r="C360" s="44" t="s">
        <v>14</v>
      </c>
      <c r="D360" s="22" t="s">
        <v>2</v>
      </c>
      <c r="E360" s="20">
        <v>1</v>
      </c>
      <c r="F360" s="17" t="s">
        <v>120</v>
      </c>
      <c r="G360" s="17" t="s">
        <v>188</v>
      </c>
      <c r="H360" s="17" t="s">
        <v>189</v>
      </c>
      <c r="I360" s="17" t="s">
        <v>190</v>
      </c>
      <c r="J360" s="27" t="s">
        <v>15</v>
      </c>
      <c r="K360" s="29">
        <v>8978</v>
      </c>
      <c r="L360" s="31">
        <v>6207092.2999976017</v>
      </c>
      <c r="M360" s="31">
        <v>1855419.9500052105</v>
      </c>
      <c r="N360" s="31">
        <v>1472848.3199979439</v>
      </c>
      <c r="O360" s="34">
        <f t="shared" si="52"/>
        <v>0.29891934263744191</v>
      </c>
      <c r="P360" s="34">
        <f t="shared" si="53"/>
        <v>0.79380860381166418</v>
      </c>
      <c r="Q360" s="34">
        <f t="shared" si="54"/>
        <v>0.70108065736255809</v>
      </c>
      <c r="R360" s="46">
        <f t="shared" si="55"/>
        <v>164.05082646446246</v>
      </c>
    </row>
    <row r="361" spans="2:18" ht="12.75" customHeight="1" x14ac:dyDescent="0.25">
      <c r="B361" s="17" t="s">
        <v>0</v>
      </c>
      <c r="C361" s="44" t="s">
        <v>36</v>
      </c>
      <c r="D361" s="22" t="s">
        <v>2</v>
      </c>
      <c r="E361" s="20">
        <v>1</v>
      </c>
      <c r="F361" s="17" t="s">
        <v>120</v>
      </c>
      <c r="G361" s="17" t="s">
        <v>188</v>
      </c>
      <c r="H361" s="17" t="s">
        <v>189</v>
      </c>
      <c r="I361" s="17" t="s">
        <v>190</v>
      </c>
      <c r="J361" s="27" t="s">
        <v>37</v>
      </c>
      <c r="K361" s="29">
        <v>8178</v>
      </c>
      <c r="L361" s="31">
        <v>7793728.5499983691</v>
      </c>
      <c r="M361" s="31">
        <v>1671494.4699994908</v>
      </c>
      <c r="N361" s="31">
        <v>1321599.3399999279</v>
      </c>
      <c r="O361" s="34">
        <f t="shared" si="52"/>
        <v>0.21446660084149846</v>
      </c>
      <c r="P361" s="34">
        <f t="shared" si="53"/>
        <v>0.79066928651001189</v>
      </c>
      <c r="Q361" s="34">
        <f t="shared" si="54"/>
        <v>0.78553339915850151</v>
      </c>
      <c r="R361" s="46">
        <f t="shared" si="55"/>
        <v>161.6042235265258</v>
      </c>
    </row>
    <row r="362" spans="2:18" ht="12.75" customHeight="1" x14ac:dyDescent="0.25">
      <c r="B362" s="17" t="s">
        <v>0</v>
      </c>
      <c r="C362" s="44" t="s">
        <v>24</v>
      </c>
      <c r="D362" s="22" t="s">
        <v>2</v>
      </c>
      <c r="E362" s="20">
        <v>1</v>
      </c>
      <c r="F362" s="17" t="s">
        <v>120</v>
      </c>
      <c r="G362" s="17" t="s">
        <v>188</v>
      </c>
      <c r="H362" s="17" t="s">
        <v>189</v>
      </c>
      <c r="I362" s="17" t="s">
        <v>190</v>
      </c>
      <c r="J362" s="27" t="s">
        <v>25</v>
      </c>
      <c r="K362" s="29">
        <v>7470</v>
      </c>
      <c r="L362" s="31">
        <v>4581866.679994761</v>
      </c>
      <c r="M362" s="31">
        <v>1507887.6999998798</v>
      </c>
      <c r="N362" s="31">
        <v>1190539.0400095601</v>
      </c>
      <c r="O362" s="34">
        <f t="shared" si="52"/>
        <v>0.32909899072000148</v>
      </c>
      <c r="P362" s="34">
        <f t="shared" si="53"/>
        <v>0.78954091873662402</v>
      </c>
      <c r="Q362" s="34">
        <f t="shared" si="54"/>
        <v>0.67090100927999852</v>
      </c>
      <c r="R362" s="46">
        <f t="shared" si="55"/>
        <v>159.37604283929855</v>
      </c>
    </row>
    <row r="363" spans="2:18" ht="12.75" customHeight="1" x14ac:dyDescent="0.25">
      <c r="B363" s="17" t="s">
        <v>0</v>
      </c>
      <c r="C363" s="44" t="s">
        <v>62</v>
      </c>
      <c r="D363" s="22" t="s">
        <v>2</v>
      </c>
      <c r="E363" s="20">
        <v>1</v>
      </c>
      <c r="F363" s="17" t="s">
        <v>120</v>
      </c>
      <c r="G363" s="17" t="s">
        <v>188</v>
      </c>
      <c r="H363" s="17" t="s">
        <v>189</v>
      </c>
      <c r="I363" s="17" t="s">
        <v>190</v>
      </c>
      <c r="J363" s="27" t="s">
        <v>63</v>
      </c>
      <c r="K363" s="29">
        <v>7254</v>
      </c>
      <c r="L363" s="31">
        <v>5356330.130000609</v>
      </c>
      <c r="M363" s="31">
        <v>1484383.7800023274</v>
      </c>
      <c r="N363" s="31">
        <v>1175373.6300003971</v>
      </c>
      <c r="O363" s="34">
        <f t="shared" si="52"/>
        <v>0.27712701494785547</v>
      </c>
      <c r="P363" s="34">
        <f t="shared" si="53"/>
        <v>0.79182597239007435</v>
      </c>
      <c r="Q363" s="34">
        <f t="shared" si="54"/>
        <v>0.72287298505214448</v>
      </c>
      <c r="R363" s="46">
        <f t="shared" si="55"/>
        <v>162.03110421841703</v>
      </c>
    </row>
    <row r="364" spans="2:18" ht="12.75" customHeight="1" x14ac:dyDescent="0.25">
      <c r="B364" s="17" t="s">
        <v>0</v>
      </c>
      <c r="C364" s="44" t="s">
        <v>54</v>
      </c>
      <c r="D364" s="22" t="s">
        <v>2</v>
      </c>
      <c r="E364" s="20">
        <v>1</v>
      </c>
      <c r="F364" s="17" t="s">
        <v>120</v>
      </c>
      <c r="G364" s="17" t="s">
        <v>188</v>
      </c>
      <c r="H364" s="17" t="s">
        <v>189</v>
      </c>
      <c r="I364" s="17" t="s">
        <v>190</v>
      </c>
      <c r="J364" s="27" t="s">
        <v>55</v>
      </c>
      <c r="K364" s="29">
        <v>7126</v>
      </c>
      <c r="L364" s="31">
        <v>11321968.009998269</v>
      </c>
      <c r="M364" s="31">
        <v>1447102.0899992108</v>
      </c>
      <c r="N364" s="31">
        <v>1138635.920003596</v>
      </c>
      <c r="O364" s="34">
        <f t="shared" si="52"/>
        <v>0.12781365295514838</v>
      </c>
      <c r="P364" s="34">
        <f t="shared" si="53"/>
        <v>0.78683869498399861</v>
      </c>
      <c r="Q364" s="34">
        <f t="shared" si="54"/>
        <v>0.87218634704485165</v>
      </c>
      <c r="R364" s="46">
        <f t="shared" si="55"/>
        <v>159.78612405326916</v>
      </c>
    </row>
    <row r="365" spans="2:18" ht="12.75" customHeight="1" x14ac:dyDescent="0.25">
      <c r="B365" s="17" t="s">
        <v>0</v>
      </c>
      <c r="C365" s="44" t="s">
        <v>151</v>
      </c>
      <c r="D365" s="22" t="s">
        <v>2</v>
      </c>
      <c r="E365" s="20">
        <v>1</v>
      </c>
      <c r="F365" s="17" t="s">
        <v>120</v>
      </c>
      <c r="G365" s="17" t="s">
        <v>188</v>
      </c>
      <c r="H365" s="17" t="s">
        <v>189</v>
      </c>
      <c r="I365" s="17" t="s">
        <v>190</v>
      </c>
      <c r="J365" s="27" t="s">
        <v>152</v>
      </c>
      <c r="K365" s="29">
        <v>5111</v>
      </c>
      <c r="L365" s="31">
        <v>2252825.3099992201</v>
      </c>
      <c r="M365" s="31">
        <v>1034155.1800011902</v>
      </c>
      <c r="N365" s="31">
        <v>820497.59000110999</v>
      </c>
      <c r="O365" s="34">
        <f t="shared" si="52"/>
        <v>0.45904810080527203</v>
      </c>
      <c r="P365" s="34">
        <f t="shared" si="53"/>
        <v>0.79339890750261066</v>
      </c>
      <c r="Q365" s="34">
        <f t="shared" si="54"/>
        <v>0.54095189919472797</v>
      </c>
      <c r="R365" s="46">
        <f t="shared" si="55"/>
        <v>160.53562707906673</v>
      </c>
    </row>
    <row r="366" spans="2:18" ht="12.75" customHeight="1" x14ac:dyDescent="0.25">
      <c r="B366" s="17" t="s">
        <v>0</v>
      </c>
      <c r="C366" s="44" t="s">
        <v>50</v>
      </c>
      <c r="D366" s="22" t="s">
        <v>2</v>
      </c>
      <c r="E366" s="20">
        <v>1</v>
      </c>
      <c r="F366" s="17" t="s">
        <v>120</v>
      </c>
      <c r="G366" s="17" t="s">
        <v>188</v>
      </c>
      <c r="H366" s="17" t="s">
        <v>189</v>
      </c>
      <c r="I366" s="17" t="s">
        <v>190</v>
      </c>
      <c r="J366" s="27" t="s">
        <v>51</v>
      </c>
      <c r="K366" s="29">
        <v>5736</v>
      </c>
      <c r="L366" s="31">
        <v>7088243.8799965205</v>
      </c>
      <c r="M366" s="31">
        <v>998722.90000051761</v>
      </c>
      <c r="N366" s="31">
        <v>789571.49999832409</v>
      </c>
      <c r="O366" s="34">
        <f t="shared" si="52"/>
        <v>0.14089849572176513</v>
      </c>
      <c r="P366" s="34">
        <f t="shared" si="53"/>
        <v>0.79058115118609462</v>
      </c>
      <c r="Q366" s="34">
        <f t="shared" si="54"/>
        <v>0.85910150427823484</v>
      </c>
      <c r="R366" s="46">
        <f t="shared" si="55"/>
        <v>137.65193514615135</v>
      </c>
    </row>
    <row r="367" spans="2:18" ht="12.75" customHeight="1" x14ac:dyDescent="0.25">
      <c r="B367" s="17" t="s">
        <v>0</v>
      </c>
      <c r="C367" s="44" t="s">
        <v>7</v>
      </c>
      <c r="D367" s="22" t="s">
        <v>2</v>
      </c>
      <c r="E367" s="20">
        <v>1</v>
      </c>
      <c r="F367" s="17" t="s">
        <v>120</v>
      </c>
      <c r="G367" s="17" t="s">
        <v>188</v>
      </c>
      <c r="H367" s="17" t="s">
        <v>189</v>
      </c>
      <c r="I367" s="17" t="s">
        <v>190</v>
      </c>
      <c r="J367" s="27" t="s">
        <v>8</v>
      </c>
      <c r="K367" s="29">
        <v>4318</v>
      </c>
      <c r="L367" s="31">
        <v>4859055.6599891195</v>
      </c>
      <c r="M367" s="31">
        <v>894094.55999896966</v>
      </c>
      <c r="N367" s="31">
        <v>709576.06999735604</v>
      </c>
      <c r="O367" s="34">
        <f t="shared" si="52"/>
        <v>0.18400582799682763</v>
      </c>
      <c r="P367" s="34">
        <f t="shared" si="53"/>
        <v>0.79362530737036774</v>
      </c>
      <c r="Q367" s="34">
        <f t="shared" si="54"/>
        <v>0.81599417200317237</v>
      </c>
      <c r="R367" s="46">
        <f t="shared" si="55"/>
        <v>164.32979851722001</v>
      </c>
    </row>
    <row r="368" spans="2:18" ht="12.75" customHeight="1" x14ac:dyDescent="0.25">
      <c r="B368" s="17" t="s">
        <v>0</v>
      </c>
      <c r="C368" s="44" t="s">
        <v>12</v>
      </c>
      <c r="D368" s="22" t="s">
        <v>2</v>
      </c>
      <c r="E368" s="20">
        <v>1</v>
      </c>
      <c r="F368" s="17" t="s">
        <v>120</v>
      </c>
      <c r="G368" s="17" t="s">
        <v>188</v>
      </c>
      <c r="H368" s="17" t="s">
        <v>189</v>
      </c>
      <c r="I368" s="17" t="s">
        <v>190</v>
      </c>
      <c r="J368" s="27" t="s">
        <v>13</v>
      </c>
      <c r="K368" s="29">
        <v>2777</v>
      </c>
      <c r="L368" s="31">
        <v>1695944.07000078</v>
      </c>
      <c r="M368" s="31">
        <v>579989.01999922004</v>
      </c>
      <c r="N368" s="31">
        <v>460957.19999709999</v>
      </c>
      <c r="O368" s="34">
        <f t="shared" si="52"/>
        <v>0.34198593589171444</v>
      </c>
      <c r="P368" s="34">
        <f t="shared" si="53"/>
        <v>0.79476883889581196</v>
      </c>
      <c r="Q368" s="34">
        <f t="shared" si="54"/>
        <v>0.65801406410828556</v>
      </c>
      <c r="R368" s="46">
        <f t="shared" si="55"/>
        <v>165.99106949841556</v>
      </c>
    </row>
    <row r="369" spans="2:18" ht="12.75" customHeight="1" x14ac:dyDescent="0.25">
      <c r="B369" s="17" t="s">
        <v>0</v>
      </c>
      <c r="C369" s="44" t="s">
        <v>52</v>
      </c>
      <c r="D369" s="22" t="s">
        <v>2</v>
      </c>
      <c r="E369" s="20">
        <v>1</v>
      </c>
      <c r="F369" s="17" t="s">
        <v>120</v>
      </c>
      <c r="G369" s="17" t="s">
        <v>188</v>
      </c>
      <c r="H369" s="17" t="s">
        <v>189</v>
      </c>
      <c r="I369" s="17" t="s">
        <v>190</v>
      </c>
      <c r="J369" s="27" t="s">
        <v>53</v>
      </c>
      <c r="K369" s="29">
        <v>2763</v>
      </c>
      <c r="L369" s="31">
        <v>1734837.3800005997</v>
      </c>
      <c r="M369" s="31">
        <v>577288.44999923988</v>
      </c>
      <c r="N369" s="31">
        <v>459923.05000112002</v>
      </c>
      <c r="O369" s="34">
        <f t="shared" si="52"/>
        <v>0.33276228461196766</v>
      </c>
      <c r="P369" s="34">
        <f t="shared" si="53"/>
        <v>0.79669539551973645</v>
      </c>
      <c r="Q369" s="34">
        <f t="shared" si="54"/>
        <v>0.66723771538803234</v>
      </c>
      <c r="R369" s="46">
        <f t="shared" si="55"/>
        <v>166.45785378252626</v>
      </c>
    </row>
    <row r="370" spans="2:18" ht="12.75" customHeight="1" x14ac:dyDescent="0.25">
      <c r="B370" s="17" t="s">
        <v>0</v>
      </c>
      <c r="C370" s="44" t="s">
        <v>44</v>
      </c>
      <c r="D370" s="22" t="s">
        <v>9</v>
      </c>
      <c r="E370" s="20">
        <v>2</v>
      </c>
      <c r="F370" s="17" t="s">
        <v>120</v>
      </c>
      <c r="G370" s="17" t="s">
        <v>188</v>
      </c>
      <c r="H370" s="17" t="s">
        <v>189</v>
      </c>
      <c r="I370" s="17" t="s">
        <v>190</v>
      </c>
      <c r="J370" s="27" t="s">
        <v>45</v>
      </c>
      <c r="K370" s="29">
        <v>1434</v>
      </c>
      <c r="L370" s="31">
        <v>795680.26999955997</v>
      </c>
      <c r="M370" s="31">
        <v>277104.2900026</v>
      </c>
      <c r="N370" s="31">
        <v>219772.61999902001</v>
      </c>
      <c r="O370" s="34">
        <f t="shared" si="52"/>
        <v>0.34826085357470687</v>
      </c>
      <c r="P370" s="34">
        <f t="shared" si="53"/>
        <v>0.7931043579186664</v>
      </c>
      <c r="Q370" s="34">
        <f t="shared" si="54"/>
        <v>0.65173914642529307</v>
      </c>
      <c r="R370" s="46">
        <f t="shared" si="55"/>
        <v>153.25845188216178</v>
      </c>
    </row>
    <row r="371" spans="2:18" ht="12.75" customHeight="1" x14ac:dyDescent="0.25">
      <c r="B371" s="17" t="s">
        <v>0</v>
      </c>
      <c r="C371" s="44" t="s">
        <v>38</v>
      </c>
      <c r="D371" s="22" t="s">
        <v>9</v>
      </c>
      <c r="E371" s="20">
        <v>2</v>
      </c>
      <c r="F371" s="17" t="s">
        <v>120</v>
      </c>
      <c r="G371" s="17" t="s">
        <v>188</v>
      </c>
      <c r="H371" s="17" t="s">
        <v>189</v>
      </c>
      <c r="I371" s="17" t="s">
        <v>190</v>
      </c>
      <c r="J371" s="27" t="s">
        <v>39</v>
      </c>
      <c r="K371" s="29">
        <v>883</v>
      </c>
      <c r="L371" s="31">
        <v>453033.33000019996</v>
      </c>
      <c r="M371" s="31">
        <v>167752.83999914001</v>
      </c>
      <c r="N371" s="31">
        <v>132903.35000066998</v>
      </c>
      <c r="O371" s="34">
        <f t="shared" si="52"/>
        <v>0.37028807571192601</v>
      </c>
      <c r="P371" s="34">
        <f t="shared" si="53"/>
        <v>0.79225692990563568</v>
      </c>
      <c r="Q371" s="34">
        <f t="shared" si="54"/>
        <v>0.62971192428807399</v>
      </c>
      <c r="R371" s="46">
        <f t="shared" si="55"/>
        <v>150.51342015930913</v>
      </c>
    </row>
    <row r="372" spans="2:18" ht="12.75" customHeight="1" x14ac:dyDescent="0.25">
      <c r="B372" s="17" t="s">
        <v>0</v>
      </c>
      <c r="C372" s="44" t="s">
        <v>68</v>
      </c>
      <c r="D372" s="22" t="s">
        <v>2</v>
      </c>
      <c r="E372" s="20">
        <v>1</v>
      </c>
      <c r="F372" s="17" t="s">
        <v>120</v>
      </c>
      <c r="G372" s="17" t="s">
        <v>188</v>
      </c>
      <c r="H372" s="17" t="s">
        <v>189</v>
      </c>
      <c r="I372" s="17" t="s">
        <v>190</v>
      </c>
      <c r="J372" s="27" t="s">
        <v>69</v>
      </c>
      <c r="K372" s="29">
        <v>741</v>
      </c>
      <c r="L372" s="31">
        <v>626525.46999895002</v>
      </c>
      <c r="M372" s="31">
        <v>151048.42999943002</v>
      </c>
      <c r="N372" s="31">
        <v>119458.10000067798</v>
      </c>
      <c r="O372" s="34">
        <f t="shared" si="52"/>
        <v>0.24108904941994325</v>
      </c>
      <c r="P372" s="34">
        <f t="shared" si="53"/>
        <v>0.79085959384767357</v>
      </c>
      <c r="Q372" s="34">
        <f t="shared" si="54"/>
        <v>0.75891095058005675</v>
      </c>
      <c r="R372" s="46">
        <f t="shared" si="55"/>
        <v>161.21201079713629</v>
      </c>
    </row>
    <row r="373" spans="2:18" ht="12.75" customHeight="1" x14ac:dyDescent="0.25">
      <c r="B373" s="17" t="s">
        <v>0</v>
      </c>
      <c r="C373" s="44" t="s">
        <v>48</v>
      </c>
      <c r="D373" s="22" t="s">
        <v>2</v>
      </c>
      <c r="E373" s="20">
        <v>1</v>
      </c>
      <c r="F373" s="17" t="s">
        <v>120</v>
      </c>
      <c r="G373" s="17" t="s">
        <v>188</v>
      </c>
      <c r="H373" s="17" t="s">
        <v>189</v>
      </c>
      <c r="I373" s="17" t="s">
        <v>190</v>
      </c>
      <c r="J373" s="27" t="s">
        <v>49</v>
      </c>
      <c r="K373" s="29">
        <v>641</v>
      </c>
      <c r="L373" s="31">
        <v>482595.95</v>
      </c>
      <c r="M373" s="31">
        <v>136164.95999992001</v>
      </c>
      <c r="N373" s="31">
        <v>107272.15999913002</v>
      </c>
      <c r="O373" s="34">
        <f t="shared" si="52"/>
        <v>0.28215106239478388</v>
      </c>
      <c r="P373" s="34">
        <f t="shared" si="53"/>
        <v>0.78781031477696639</v>
      </c>
      <c r="Q373" s="34">
        <f t="shared" si="54"/>
        <v>0.71784893760521618</v>
      </c>
      <c r="R373" s="46">
        <f t="shared" si="55"/>
        <v>167.35126364918878</v>
      </c>
    </row>
    <row r="374" spans="2:18" ht="12.75" customHeight="1" x14ac:dyDescent="0.25">
      <c r="B374" s="17" t="s">
        <v>0</v>
      </c>
      <c r="C374" s="44" t="s">
        <v>70</v>
      </c>
      <c r="D374" s="22" t="s">
        <v>2</v>
      </c>
      <c r="E374" s="20">
        <v>1</v>
      </c>
      <c r="F374" s="17" t="s">
        <v>120</v>
      </c>
      <c r="G374" s="17" t="s">
        <v>188</v>
      </c>
      <c r="H374" s="17" t="s">
        <v>189</v>
      </c>
      <c r="I374" s="17" t="s">
        <v>190</v>
      </c>
      <c r="J374" s="27" t="s">
        <v>71</v>
      </c>
      <c r="K374" s="29">
        <v>580</v>
      </c>
      <c r="L374" s="31">
        <v>657805.00000080001</v>
      </c>
      <c r="M374" s="31">
        <v>119697.22999942001</v>
      </c>
      <c r="N374" s="31">
        <v>95232.869998080001</v>
      </c>
      <c r="O374" s="34">
        <f t="shared" si="52"/>
        <v>0.18196460957164273</v>
      </c>
      <c r="P374" s="34">
        <f t="shared" si="53"/>
        <v>0.79561465205620419</v>
      </c>
      <c r="Q374" s="34">
        <f t="shared" si="54"/>
        <v>0.81803539042835727</v>
      </c>
      <c r="R374" s="46">
        <f t="shared" si="55"/>
        <v>164.19460344496551</v>
      </c>
    </row>
    <row r="375" spans="2:18" ht="12.75" customHeight="1" x14ac:dyDescent="0.25">
      <c r="B375" s="17" t="s">
        <v>0</v>
      </c>
      <c r="C375" s="44" t="s">
        <v>30</v>
      </c>
      <c r="D375" s="22" t="s">
        <v>9</v>
      </c>
      <c r="E375" s="20">
        <v>2</v>
      </c>
      <c r="F375" s="17" t="s">
        <v>120</v>
      </c>
      <c r="G375" s="17" t="s">
        <v>188</v>
      </c>
      <c r="H375" s="17" t="s">
        <v>189</v>
      </c>
      <c r="I375" s="17" t="s">
        <v>190</v>
      </c>
      <c r="J375" s="27" t="s">
        <v>31</v>
      </c>
      <c r="K375" s="29">
        <v>552</v>
      </c>
      <c r="L375" s="31">
        <v>282209.59999993996</v>
      </c>
      <c r="M375" s="31">
        <v>106528.46999979</v>
      </c>
      <c r="N375" s="31">
        <v>84538.500000100001</v>
      </c>
      <c r="O375" s="34">
        <f t="shared" si="52"/>
        <v>0.37747996524502592</v>
      </c>
      <c r="P375" s="34">
        <f t="shared" si="53"/>
        <v>0.79357659037313355</v>
      </c>
      <c r="Q375" s="34">
        <f t="shared" si="54"/>
        <v>0.62252003475497408</v>
      </c>
      <c r="R375" s="46">
        <f t="shared" si="55"/>
        <v>153.14945652192029</v>
      </c>
    </row>
    <row r="376" spans="2:18" ht="12.75" customHeight="1" x14ac:dyDescent="0.25">
      <c r="B376" s="17" t="s">
        <v>0</v>
      </c>
      <c r="C376" s="44" t="s">
        <v>145</v>
      </c>
      <c r="D376" s="22" t="s">
        <v>2</v>
      </c>
      <c r="E376" s="20">
        <v>1</v>
      </c>
      <c r="F376" s="17" t="s">
        <v>120</v>
      </c>
      <c r="G376" s="17" t="s">
        <v>188</v>
      </c>
      <c r="H376" s="17" t="s">
        <v>189</v>
      </c>
      <c r="I376" s="17" t="s">
        <v>190</v>
      </c>
      <c r="J376" s="27" t="s">
        <v>146</v>
      </c>
      <c r="K376" s="29">
        <v>359</v>
      </c>
      <c r="L376" s="31">
        <v>192964</v>
      </c>
      <c r="M376" s="31">
        <v>71287.020001120007</v>
      </c>
      <c r="N376" s="31">
        <v>56104.980000120006</v>
      </c>
      <c r="O376" s="34">
        <f t="shared" si="52"/>
        <v>0.36943170747455489</v>
      </c>
      <c r="P376" s="34">
        <f t="shared" si="53"/>
        <v>0.78702939187580756</v>
      </c>
      <c r="Q376" s="34">
        <f t="shared" si="54"/>
        <v>0.63056829252544511</v>
      </c>
      <c r="R376" s="46">
        <f t="shared" si="55"/>
        <v>156.28128133738164</v>
      </c>
    </row>
    <row r="377" spans="2:18" ht="12.75" customHeight="1" x14ac:dyDescent="0.25">
      <c r="B377" s="17" t="s">
        <v>0</v>
      </c>
      <c r="C377" s="44" t="s">
        <v>66</v>
      </c>
      <c r="D377" s="22" t="s">
        <v>9</v>
      </c>
      <c r="E377" s="20">
        <v>2</v>
      </c>
      <c r="F377" s="17" t="s">
        <v>120</v>
      </c>
      <c r="G377" s="17" t="s">
        <v>188</v>
      </c>
      <c r="H377" s="17" t="s">
        <v>189</v>
      </c>
      <c r="I377" s="17" t="s">
        <v>190</v>
      </c>
      <c r="J377" s="27" t="s">
        <v>67</v>
      </c>
      <c r="K377" s="29">
        <v>300</v>
      </c>
      <c r="L377" s="31">
        <v>145637.54000009998</v>
      </c>
      <c r="M377" s="31">
        <v>59188.270000329998</v>
      </c>
      <c r="N377" s="31">
        <v>45514.470000379995</v>
      </c>
      <c r="O377" s="34">
        <f t="shared" si="52"/>
        <v>0.40640805935261859</v>
      </c>
      <c r="P377" s="34">
        <f t="shared" si="53"/>
        <v>0.76897787348956537</v>
      </c>
      <c r="Q377" s="34">
        <f t="shared" si="54"/>
        <v>0.59359194064738141</v>
      </c>
      <c r="R377" s="46">
        <f t="shared" si="55"/>
        <v>151.71490000126664</v>
      </c>
    </row>
    <row r="378" spans="2:18" ht="12.75" customHeight="1" x14ac:dyDescent="0.25">
      <c r="B378" s="17" t="s">
        <v>0</v>
      </c>
      <c r="C378" s="44" t="s">
        <v>42</v>
      </c>
      <c r="D378" s="22" t="s">
        <v>2</v>
      </c>
      <c r="E378" s="20">
        <v>1</v>
      </c>
      <c r="F378" s="17" t="s">
        <v>120</v>
      </c>
      <c r="G378" s="17" t="s">
        <v>188</v>
      </c>
      <c r="H378" s="17" t="s">
        <v>189</v>
      </c>
      <c r="I378" s="17" t="s">
        <v>190</v>
      </c>
      <c r="J378" s="27" t="s">
        <v>43</v>
      </c>
      <c r="K378" s="29">
        <v>299</v>
      </c>
      <c r="L378" s="31">
        <v>148295.82000004</v>
      </c>
      <c r="M378" s="31">
        <v>56198.320000010011</v>
      </c>
      <c r="N378" s="31">
        <v>44896.569999470004</v>
      </c>
      <c r="O378" s="34">
        <f t="shared" si="52"/>
        <v>0.37896091744187299</v>
      </c>
      <c r="P378" s="34">
        <f t="shared" si="53"/>
        <v>0.79889523386930439</v>
      </c>
      <c r="Q378" s="34">
        <f t="shared" si="54"/>
        <v>0.62103908255812701</v>
      </c>
      <c r="R378" s="46">
        <f t="shared" si="55"/>
        <v>150.15575250658864</v>
      </c>
    </row>
    <row r="379" spans="2:18" ht="12.75" customHeight="1" x14ac:dyDescent="0.25">
      <c r="B379" s="17" t="s">
        <v>0</v>
      </c>
      <c r="C379" s="44" t="s">
        <v>64</v>
      </c>
      <c r="D379" s="22" t="s">
        <v>2</v>
      </c>
      <c r="E379" s="20">
        <v>1</v>
      </c>
      <c r="F379" s="17" t="s">
        <v>120</v>
      </c>
      <c r="G379" s="17" t="s">
        <v>188</v>
      </c>
      <c r="H379" s="17" t="s">
        <v>189</v>
      </c>
      <c r="I379" s="17" t="s">
        <v>190</v>
      </c>
      <c r="J379" s="27" t="s">
        <v>65</v>
      </c>
      <c r="K379" s="29">
        <v>260</v>
      </c>
      <c r="L379" s="31">
        <v>186097.86000022001</v>
      </c>
      <c r="M379" s="31">
        <v>54876.160000340009</v>
      </c>
      <c r="N379" s="31">
        <v>43869.299999820003</v>
      </c>
      <c r="O379" s="34">
        <f t="shared" si="52"/>
        <v>0.2948779744177345</v>
      </c>
      <c r="P379" s="34">
        <f t="shared" si="53"/>
        <v>0.79942364771055763</v>
      </c>
      <c r="Q379" s="34">
        <f t="shared" si="54"/>
        <v>0.70512202558226544</v>
      </c>
      <c r="R379" s="46">
        <f t="shared" si="55"/>
        <v>168.72807692238462</v>
      </c>
    </row>
    <row r="380" spans="2:18" ht="12.75" customHeight="1" x14ac:dyDescent="0.25">
      <c r="B380" s="17" t="s">
        <v>0</v>
      </c>
      <c r="C380" s="44" t="s">
        <v>32</v>
      </c>
      <c r="D380" s="22" t="s">
        <v>2</v>
      </c>
      <c r="E380" s="20">
        <v>1</v>
      </c>
      <c r="F380" s="17" t="s">
        <v>120</v>
      </c>
      <c r="G380" s="17" t="s">
        <v>188</v>
      </c>
      <c r="H380" s="17" t="s">
        <v>189</v>
      </c>
      <c r="I380" s="17" t="s">
        <v>190</v>
      </c>
      <c r="J380" s="27" t="s">
        <v>33</v>
      </c>
      <c r="K380" s="29">
        <v>220</v>
      </c>
      <c r="L380" s="31">
        <v>109882.99999991</v>
      </c>
      <c r="M380" s="31">
        <v>45844.139999769999</v>
      </c>
      <c r="N380" s="31">
        <v>36234.790000059998</v>
      </c>
      <c r="O380" s="34">
        <f t="shared" si="52"/>
        <v>0.4172086673990294</v>
      </c>
      <c r="P380" s="34">
        <f t="shared" si="53"/>
        <v>0.79039087657095952</v>
      </c>
      <c r="Q380" s="34">
        <f t="shared" si="54"/>
        <v>0.5827913326009706</v>
      </c>
      <c r="R380" s="46">
        <f t="shared" si="55"/>
        <v>164.70359090936364</v>
      </c>
    </row>
    <row r="381" spans="2:18" ht="12.75" customHeight="1" x14ac:dyDescent="0.25">
      <c r="B381" s="17" t="s">
        <v>0</v>
      </c>
      <c r="C381" s="44" t="s">
        <v>135</v>
      </c>
      <c r="D381" s="22" t="s">
        <v>2</v>
      </c>
      <c r="E381" s="20">
        <v>1</v>
      </c>
      <c r="F381" s="17" t="s">
        <v>120</v>
      </c>
      <c r="G381" s="17" t="s">
        <v>188</v>
      </c>
      <c r="H381" s="17" t="s">
        <v>189</v>
      </c>
      <c r="I381" s="17" t="s">
        <v>190</v>
      </c>
      <c r="J381" s="27" t="s">
        <v>136</v>
      </c>
      <c r="K381" s="29">
        <v>240</v>
      </c>
      <c r="L381" s="31">
        <v>194041.92000031</v>
      </c>
      <c r="M381" s="31">
        <v>42079.30000037</v>
      </c>
      <c r="N381" s="31">
        <v>33525.599999990001</v>
      </c>
      <c r="O381" s="34">
        <f t="shared" si="52"/>
        <v>0.21685674930604054</v>
      </c>
      <c r="P381" s="34">
        <f t="shared" si="53"/>
        <v>0.79672428010197915</v>
      </c>
      <c r="Q381" s="34">
        <f t="shared" si="54"/>
        <v>0.78314325069395951</v>
      </c>
      <c r="R381" s="46">
        <f t="shared" si="55"/>
        <v>139.68999999995833</v>
      </c>
    </row>
    <row r="382" spans="2:18" ht="12.75" customHeight="1" x14ac:dyDescent="0.25">
      <c r="B382" s="17" t="s">
        <v>0</v>
      </c>
      <c r="C382" s="44" t="s">
        <v>147</v>
      </c>
      <c r="D382" s="22" t="s">
        <v>2</v>
      </c>
      <c r="E382" s="20">
        <v>1</v>
      </c>
      <c r="F382" s="17" t="s">
        <v>120</v>
      </c>
      <c r="G382" s="17" t="s">
        <v>188</v>
      </c>
      <c r="H382" s="17" t="s">
        <v>189</v>
      </c>
      <c r="I382" s="17" t="s">
        <v>190</v>
      </c>
      <c r="J382" s="27" t="s">
        <v>148</v>
      </c>
      <c r="K382" s="29">
        <v>178</v>
      </c>
      <c r="L382" s="31">
        <v>127877.39999990001</v>
      </c>
      <c r="M382" s="31">
        <v>36821.479999820003</v>
      </c>
      <c r="N382" s="31">
        <v>29498.479999500003</v>
      </c>
      <c r="O382" s="34">
        <f t="shared" si="52"/>
        <v>0.287943608486322</v>
      </c>
      <c r="P382" s="34">
        <f t="shared" si="53"/>
        <v>0.80112151927744901</v>
      </c>
      <c r="Q382" s="34">
        <f t="shared" si="54"/>
        <v>0.71205639151367794</v>
      </c>
      <c r="R382" s="46">
        <f t="shared" si="55"/>
        <v>165.72179775000001</v>
      </c>
    </row>
    <row r="383" spans="2:18" ht="12.75" customHeight="1" x14ac:dyDescent="0.25">
      <c r="B383" s="17" t="s">
        <v>0</v>
      </c>
      <c r="C383" s="44" t="s">
        <v>58</v>
      </c>
      <c r="D383" s="22" t="s">
        <v>2</v>
      </c>
      <c r="E383" s="20">
        <v>1</v>
      </c>
      <c r="F383" s="17" t="s">
        <v>120</v>
      </c>
      <c r="G383" s="17" t="s">
        <v>188</v>
      </c>
      <c r="H383" s="17" t="s">
        <v>189</v>
      </c>
      <c r="I383" s="17" t="s">
        <v>190</v>
      </c>
      <c r="J383" s="27" t="s">
        <v>59</v>
      </c>
      <c r="K383" s="29">
        <v>170</v>
      </c>
      <c r="L383" s="31">
        <v>76500</v>
      </c>
      <c r="M383" s="31">
        <v>33735.100000699997</v>
      </c>
      <c r="N383" s="31">
        <v>26348.660000500004</v>
      </c>
      <c r="O383" s="34">
        <f t="shared" si="52"/>
        <v>0.44098169935555553</v>
      </c>
      <c r="P383" s="34">
        <f t="shared" si="53"/>
        <v>0.78104585431652118</v>
      </c>
      <c r="Q383" s="34">
        <f t="shared" si="54"/>
        <v>0.55901830064444447</v>
      </c>
      <c r="R383" s="46">
        <f t="shared" si="55"/>
        <v>154.99211765000001</v>
      </c>
    </row>
    <row r="384" spans="2:18" ht="12.75" customHeight="1" x14ac:dyDescent="0.25">
      <c r="B384" s="17" t="s">
        <v>0</v>
      </c>
      <c r="C384" s="44" t="s">
        <v>110</v>
      </c>
      <c r="D384" s="22" t="s">
        <v>2</v>
      </c>
      <c r="E384" s="20">
        <v>1</v>
      </c>
      <c r="F384" s="17" t="s">
        <v>120</v>
      </c>
      <c r="G384" s="17" t="s">
        <v>188</v>
      </c>
      <c r="H384" s="17" t="s">
        <v>189</v>
      </c>
      <c r="I384" s="17" t="s">
        <v>190</v>
      </c>
      <c r="J384" s="27" t="s">
        <v>111</v>
      </c>
      <c r="K384" s="29">
        <v>105</v>
      </c>
      <c r="L384" s="31">
        <v>95169.999998839994</v>
      </c>
      <c r="M384" s="31">
        <v>22061.629999979999</v>
      </c>
      <c r="N384" s="31">
        <v>17577.010000300001</v>
      </c>
      <c r="O384" s="34">
        <f t="shared" si="52"/>
        <v>0.23181286119837033</v>
      </c>
      <c r="P384" s="34">
        <f t="shared" si="53"/>
        <v>0.79672308892479549</v>
      </c>
      <c r="Q384" s="34">
        <f t="shared" si="54"/>
        <v>0.7681871388016297</v>
      </c>
      <c r="R384" s="46">
        <f t="shared" si="55"/>
        <v>167.4000952409524</v>
      </c>
    </row>
    <row r="385" spans="2:18" ht="12.75" customHeight="1" x14ac:dyDescent="0.25">
      <c r="B385" s="17" t="s">
        <v>0</v>
      </c>
      <c r="C385" s="44" t="s">
        <v>127</v>
      </c>
      <c r="D385" s="22" t="s">
        <v>2</v>
      </c>
      <c r="E385" s="20">
        <v>1</v>
      </c>
      <c r="F385" s="17" t="s">
        <v>120</v>
      </c>
      <c r="G385" s="17" t="s">
        <v>188</v>
      </c>
      <c r="H385" s="17" t="s">
        <v>189</v>
      </c>
      <c r="I385" s="17" t="s">
        <v>190</v>
      </c>
      <c r="J385" s="27" t="s">
        <v>128</v>
      </c>
      <c r="K385" s="29">
        <v>94</v>
      </c>
      <c r="L385" s="31">
        <v>75876.00000005</v>
      </c>
      <c r="M385" s="31">
        <v>19148.50999993</v>
      </c>
      <c r="N385" s="31">
        <v>15270.430000199998</v>
      </c>
      <c r="O385" s="34">
        <f t="shared" si="52"/>
        <v>0.25236583372762639</v>
      </c>
      <c r="P385" s="34">
        <f t="shared" si="53"/>
        <v>0.79747353711885793</v>
      </c>
      <c r="Q385" s="34">
        <f t="shared" si="54"/>
        <v>0.74763416627237356</v>
      </c>
      <c r="R385" s="46">
        <f t="shared" si="55"/>
        <v>162.45138298085104</v>
      </c>
    </row>
    <row r="386" spans="2:18" ht="12.75" customHeight="1" x14ac:dyDescent="0.25">
      <c r="B386" s="17" t="s">
        <v>0</v>
      </c>
      <c r="C386" s="44" t="s">
        <v>18</v>
      </c>
      <c r="D386" s="22" t="s">
        <v>2</v>
      </c>
      <c r="E386" s="20">
        <v>1</v>
      </c>
      <c r="F386" s="17" t="s">
        <v>120</v>
      </c>
      <c r="G386" s="17" t="s">
        <v>188</v>
      </c>
      <c r="H386" s="17" t="s">
        <v>189</v>
      </c>
      <c r="I386" s="17" t="s">
        <v>190</v>
      </c>
      <c r="J386" s="27" t="s">
        <v>19</v>
      </c>
      <c r="K386" s="29">
        <v>92</v>
      </c>
      <c r="L386" s="31">
        <v>45701.720000279995</v>
      </c>
      <c r="M386" s="31">
        <v>18532.039999879999</v>
      </c>
      <c r="N386" s="31">
        <v>14573.960000399999</v>
      </c>
      <c r="O386" s="34">
        <f t="shared" si="52"/>
        <v>0.40549983676252144</v>
      </c>
      <c r="P386" s="34">
        <f t="shared" si="53"/>
        <v>0.78641962787120956</v>
      </c>
      <c r="Q386" s="34">
        <f t="shared" si="54"/>
        <v>0.59450016323747856</v>
      </c>
      <c r="R386" s="46">
        <f t="shared" si="55"/>
        <v>158.41260869999999</v>
      </c>
    </row>
    <row r="387" spans="2:18" ht="12.75" customHeight="1" x14ac:dyDescent="0.25">
      <c r="B387" s="17" t="s">
        <v>0</v>
      </c>
      <c r="C387" s="44" t="s">
        <v>28</v>
      </c>
      <c r="D387" s="22" t="s">
        <v>9</v>
      </c>
      <c r="E387" s="20">
        <v>2</v>
      </c>
      <c r="F387" s="17" t="s">
        <v>120</v>
      </c>
      <c r="G387" s="17" t="s">
        <v>188</v>
      </c>
      <c r="H387" s="17" t="s">
        <v>189</v>
      </c>
      <c r="I387" s="17" t="s">
        <v>190</v>
      </c>
      <c r="J387" s="27" t="s">
        <v>29</v>
      </c>
      <c r="K387" s="29">
        <v>67</v>
      </c>
      <c r="L387" s="31">
        <v>47235</v>
      </c>
      <c r="M387" s="31">
        <v>17214.930000029999</v>
      </c>
      <c r="N387" s="31">
        <v>13720.80000001</v>
      </c>
      <c r="O387" s="34">
        <f t="shared" si="52"/>
        <v>0.36445284217275326</v>
      </c>
      <c r="P387" s="34">
        <f t="shared" si="53"/>
        <v>0.79702909044568238</v>
      </c>
      <c r="Q387" s="34">
        <f t="shared" si="54"/>
        <v>0.63554715782724669</v>
      </c>
      <c r="R387" s="46">
        <f t="shared" si="55"/>
        <v>204.7880597016418</v>
      </c>
    </row>
    <row r="388" spans="2:18" ht="12.75" customHeight="1" x14ac:dyDescent="0.25">
      <c r="B388" s="17" t="s">
        <v>0</v>
      </c>
      <c r="C388" s="44" t="s">
        <v>186</v>
      </c>
      <c r="D388" s="22" t="s">
        <v>2</v>
      </c>
      <c r="E388" s="20">
        <v>1</v>
      </c>
      <c r="F388" s="17" t="s">
        <v>120</v>
      </c>
      <c r="G388" s="17" t="s">
        <v>188</v>
      </c>
      <c r="H388" s="17" t="s">
        <v>189</v>
      </c>
      <c r="I388" s="17" t="s">
        <v>190</v>
      </c>
      <c r="J388" s="27" t="s">
        <v>187</v>
      </c>
      <c r="K388" s="29">
        <v>81</v>
      </c>
      <c r="L388" s="31">
        <v>42501.999999779997</v>
      </c>
      <c r="M388" s="31">
        <v>16875.629999910001</v>
      </c>
      <c r="N388" s="31">
        <v>13467.07999971</v>
      </c>
      <c r="O388" s="34">
        <f t="shared" si="52"/>
        <v>0.39705496211936742</v>
      </c>
      <c r="P388" s="34">
        <f t="shared" si="53"/>
        <v>0.79801939244827136</v>
      </c>
      <c r="Q388" s="34">
        <f t="shared" si="54"/>
        <v>0.60294503788063258</v>
      </c>
      <c r="R388" s="46">
        <f t="shared" si="55"/>
        <v>166.26024691000001</v>
      </c>
    </row>
    <row r="389" spans="2:18" ht="12.75" customHeight="1" x14ac:dyDescent="0.25">
      <c r="B389" s="17" t="s">
        <v>0</v>
      </c>
      <c r="C389" s="44" t="s">
        <v>62</v>
      </c>
      <c r="D389" s="22" t="s">
        <v>9</v>
      </c>
      <c r="E389" s="20">
        <v>2</v>
      </c>
      <c r="F389" s="17" t="s">
        <v>120</v>
      </c>
      <c r="G389" s="17" t="s">
        <v>188</v>
      </c>
      <c r="H389" s="17" t="s">
        <v>189</v>
      </c>
      <c r="I389" s="17" t="s">
        <v>190</v>
      </c>
      <c r="J389" s="27" t="s">
        <v>63</v>
      </c>
      <c r="K389" s="29">
        <v>86</v>
      </c>
      <c r="L389" s="31">
        <v>43095.45</v>
      </c>
      <c r="M389" s="31">
        <v>16505.819999970001</v>
      </c>
      <c r="N389" s="31">
        <v>12816.82999993</v>
      </c>
      <c r="O389" s="34">
        <f t="shared" si="52"/>
        <v>0.38300609461021989</v>
      </c>
      <c r="P389" s="34">
        <f t="shared" si="53"/>
        <v>0.77650368172882622</v>
      </c>
      <c r="Q389" s="34">
        <f t="shared" si="54"/>
        <v>0.61699390538978016</v>
      </c>
      <c r="R389" s="46">
        <f t="shared" si="55"/>
        <v>149.03290697593022</v>
      </c>
    </row>
    <row r="390" spans="2:18" ht="12.75" customHeight="1" x14ac:dyDescent="0.25">
      <c r="B390" s="17" t="s">
        <v>0</v>
      </c>
      <c r="C390" s="44" t="s">
        <v>191</v>
      </c>
      <c r="D390" s="22" t="s">
        <v>2</v>
      </c>
      <c r="E390" s="20">
        <v>1</v>
      </c>
      <c r="F390" s="17" t="s">
        <v>120</v>
      </c>
      <c r="G390" s="17" t="s">
        <v>188</v>
      </c>
      <c r="H390" s="17" t="s">
        <v>189</v>
      </c>
      <c r="I390" s="17" t="s">
        <v>190</v>
      </c>
      <c r="J390" s="27" t="s">
        <v>192</v>
      </c>
      <c r="K390" s="29">
        <v>45</v>
      </c>
      <c r="L390" s="31">
        <v>127125</v>
      </c>
      <c r="M390" s="31">
        <v>9218.9700000000012</v>
      </c>
      <c r="N390" s="31">
        <v>7369.29</v>
      </c>
      <c r="O390" s="34">
        <f t="shared" si="52"/>
        <v>7.2518938053097351E-2</v>
      </c>
      <c r="P390" s="34">
        <f t="shared" si="53"/>
        <v>0.79936153388068287</v>
      </c>
      <c r="Q390" s="34">
        <f t="shared" si="54"/>
        <v>0.92748106194690261</v>
      </c>
      <c r="R390" s="46">
        <f t="shared" si="55"/>
        <v>163.762</v>
      </c>
    </row>
    <row r="391" spans="2:18" ht="12.75" customHeight="1" x14ac:dyDescent="0.25">
      <c r="B391" s="17" t="s">
        <v>0</v>
      </c>
      <c r="C391" s="44" t="s">
        <v>153</v>
      </c>
      <c r="D391" s="22" t="s">
        <v>2</v>
      </c>
      <c r="E391" s="20">
        <v>1</v>
      </c>
      <c r="F391" s="17" t="s">
        <v>120</v>
      </c>
      <c r="G391" s="17" t="s">
        <v>188</v>
      </c>
      <c r="H391" s="17" t="s">
        <v>189</v>
      </c>
      <c r="I391" s="17" t="s">
        <v>190</v>
      </c>
      <c r="J391" s="27" t="s">
        <v>154</v>
      </c>
      <c r="K391" s="29">
        <v>44</v>
      </c>
      <c r="L391" s="31">
        <v>30517.9700008</v>
      </c>
      <c r="M391" s="31">
        <v>9156.5700001000005</v>
      </c>
      <c r="N391" s="31">
        <v>7030.27000004</v>
      </c>
      <c r="O391" s="34">
        <f t="shared" si="52"/>
        <v>0.30003863297132705</v>
      </c>
      <c r="P391" s="34">
        <f t="shared" si="53"/>
        <v>0.76778422487495002</v>
      </c>
      <c r="Q391" s="34">
        <f t="shared" si="54"/>
        <v>0.69996136702867295</v>
      </c>
      <c r="R391" s="46">
        <f t="shared" si="55"/>
        <v>159.77886363727274</v>
      </c>
    </row>
    <row r="392" spans="2:18" ht="12.75" customHeight="1" x14ac:dyDescent="0.25">
      <c r="B392" s="17" t="s">
        <v>0</v>
      </c>
      <c r="C392" s="44" t="s">
        <v>155</v>
      </c>
      <c r="D392" s="22" t="s">
        <v>2</v>
      </c>
      <c r="E392" s="20">
        <v>1</v>
      </c>
      <c r="F392" s="17" t="s">
        <v>120</v>
      </c>
      <c r="G392" s="17" t="s">
        <v>188</v>
      </c>
      <c r="H392" s="17" t="s">
        <v>189</v>
      </c>
      <c r="I392" s="17" t="s">
        <v>190</v>
      </c>
      <c r="J392" s="27" t="s">
        <v>156</v>
      </c>
      <c r="K392" s="29">
        <v>41</v>
      </c>
      <c r="L392" s="31">
        <v>28003</v>
      </c>
      <c r="M392" s="31">
        <v>8442.1899999699999</v>
      </c>
      <c r="N392" s="31">
        <v>6729.57000006</v>
      </c>
      <c r="O392" s="34">
        <f t="shared" si="52"/>
        <v>0.30147448487554906</v>
      </c>
      <c r="P392" s="34">
        <f t="shared" si="53"/>
        <v>0.79713557738974294</v>
      </c>
      <c r="Q392" s="34">
        <f t="shared" si="54"/>
        <v>0.69852551512445094</v>
      </c>
      <c r="R392" s="46">
        <f t="shared" si="55"/>
        <v>164.13585366000001</v>
      </c>
    </row>
    <row r="393" spans="2:18" ht="12.75" customHeight="1" x14ac:dyDescent="0.25">
      <c r="B393" s="17" t="s">
        <v>0</v>
      </c>
      <c r="C393" s="44" t="s">
        <v>46</v>
      </c>
      <c r="D393" s="22" t="s">
        <v>9</v>
      </c>
      <c r="E393" s="20">
        <v>2</v>
      </c>
      <c r="F393" s="17" t="s">
        <v>120</v>
      </c>
      <c r="G393" s="17" t="s">
        <v>188</v>
      </c>
      <c r="H393" s="17" t="s">
        <v>189</v>
      </c>
      <c r="I393" s="17" t="s">
        <v>190</v>
      </c>
      <c r="J393" s="27" t="s">
        <v>47</v>
      </c>
      <c r="K393" s="29">
        <v>33</v>
      </c>
      <c r="L393" s="31">
        <v>13291.739999999998</v>
      </c>
      <c r="M393" s="31">
        <v>5752.5600000599998</v>
      </c>
      <c r="N393" s="31">
        <v>4583.3499999900005</v>
      </c>
      <c r="O393" s="34">
        <f t="shared" si="52"/>
        <v>0.43279209494467996</v>
      </c>
      <c r="P393" s="34">
        <f t="shared" si="53"/>
        <v>0.7967496210282371</v>
      </c>
      <c r="Q393" s="34">
        <f t="shared" si="54"/>
        <v>0.56720790505532004</v>
      </c>
      <c r="R393" s="46">
        <f t="shared" si="55"/>
        <v>138.88939393909092</v>
      </c>
    </row>
    <row r="394" spans="2:18" ht="12.75" customHeight="1" x14ac:dyDescent="0.25">
      <c r="B394" s="17" t="s">
        <v>0</v>
      </c>
      <c r="C394" s="44" t="s">
        <v>159</v>
      </c>
      <c r="D394" s="22" t="s">
        <v>2</v>
      </c>
      <c r="E394" s="20">
        <v>1</v>
      </c>
      <c r="F394" s="17" t="s">
        <v>120</v>
      </c>
      <c r="G394" s="17" t="s">
        <v>188</v>
      </c>
      <c r="H394" s="17" t="s">
        <v>189</v>
      </c>
      <c r="I394" s="17" t="s">
        <v>190</v>
      </c>
      <c r="J394" s="27" t="s">
        <v>160</v>
      </c>
      <c r="K394" s="29">
        <v>23</v>
      </c>
      <c r="L394" s="31">
        <v>13570</v>
      </c>
      <c r="M394" s="31">
        <v>5006.7900000199998</v>
      </c>
      <c r="N394" s="31">
        <v>3771.5199998899998</v>
      </c>
      <c r="O394" s="34">
        <f t="shared" si="52"/>
        <v>0.36896020633898302</v>
      </c>
      <c r="P394" s="34">
        <f t="shared" si="53"/>
        <v>0.75328104431680465</v>
      </c>
      <c r="Q394" s="34">
        <f t="shared" si="54"/>
        <v>0.63103979366101703</v>
      </c>
      <c r="R394" s="46">
        <f t="shared" si="55"/>
        <v>163.97913043</v>
      </c>
    </row>
    <row r="395" spans="2:18" ht="12.75" customHeight="1" x14ac:dyDescent="0.25">
      <c r="B395" s="17" t="s">
        <v>0</v>
      </c>
      <c r="C395" s="44" t="s">
        <v>22</v>
      </c>
      <c r="D395" s="22" t="s">
        <v>2</v>
      </c>
      <c r="E395" s="20">
        <v>1</v>
      </c>
      <c r="F395" s="17" t="s">
        <v>120</v>
      </c>
      <c r="G395" s="17" t="s">
        <v>188</v>
      </c>
      <c r="H395" s="17" t="s">
        <v>189</v>
      </c>
      <c r="I395" s="17" t="s">
        <v>190</v>
      </c>
      <c r="J395" s="27" t="s">
        <v>23</v>
      </c>
      <c r="K395" s="29">
        <v>21</v>
      </c>
      <c r="L395" s="31">
        <v>13104</v>
      </c>
      <c r="M395" s="31">
        <v>4426.8</v>
      </c>
      <c r="N395" s="31">
        <v>3582.5300000699999</v>
      </c>
      <c r="O395" s="34">
        <f t="shared" si="52"/>
        <v>0.33782051282051284</v>
      </c>
      <c r="P395" s="34">
        <f t="shared" si="53"/>
        <v>0.80928209995256162</v>
      </c>
      <c r="Q395" s="34">
        <f t="shared" si="54"/>
        <v>0.66217948717948716</v>
      </c>
      <c r="R395" s="46">
        <f t="shared" si="55"/>
        <v>170.59666666999999</v>
      </c>
    </row>
    <row r="396" spans="2:18" ht="12.75" customHeight="1" thickBot="1" x14ac:dyDescent="0.3">
      <c r="B396" s="15" t="s">
        <v>0</v>
      </c>
      <c r="C396" s="50" t="s">
        <v>90</v>
      </c>
      <c r="D396" s="19" t="s">
        <v>2</v>
      </c>
      <c r="E396" s="16">
        <v>1</v>
      </c>
      <c r="F396" s="15" t="s">
        <v>120</v>
      </c>
      <c r="G396" s="15" t="s">
        <v>188</v>
      </c>
      <c r="H396" s="15" t="s">
        <v>189</v>
      </c>
      <c r="I396" s="15" t="s">
        <v>190</v>
      </c>
      <c r="J396" s="24" t="s">
        <v>91</v>
      </c>
      <c r="K396" s="26">
        <v>12</v>
      </c>
      <c r="L396" s="28">
        <v>5475.9999999600004</v>
      </c>
      <c r="M396" s="28">
        <v>2475.6800000399999</v>
      </c>
      <c r="N396" s="28">
        <v>1972.4600000400001</v>
      </c>
      <c r="O396" s="32">
        <f t="shared" si="52"/>
        <v>0.4520964207556763</v>
      </c>
      <c r="P396" s="32">
        <f t="shared" si="53"/>
        <v>0.79673463452794013</v>
      </c>
      <c r="Q396" s="32">
        <f t="shared" si="54"/>
        <v>0.54790357924432365</v>
      </c>
      <c r="R396" s="49">
        <f t="shared" si="55"/>
        <v>164.37166667</v>
      </c>
    </row>
    <row r="397" spans="2:18" ht="17.25" customHeight="1" x14ac:dyDescent="0.25">
      <c r="B397" s="48"/>
      <c r="C397" s="58"/>
      <c r="D397" s="51" t="s">
        <v>366</v>
      </c>
      <c r="E397" s="52"/>
      <c r="F397" s="52"/>
      <c r="G397" s="53"/>
      <c r="H397" s="53"/>
      <c r="I397" s="53"/>
      <c r="J397" s="54"/>
      <c r="K397" s="55">
        <f>SUM(K354:K396)</f>
        <v>424827</v>
      </c>
      <c r="L397" s="56">
        <f>SUM(L354:L396)</f>
        <v>447223108.48996562</v>
      </c>
      <c r="M397" s="56">
        <f>SUM(M354:M396)</f>
        <v>85366454.230026856</v>
      </c>
      <c r="N397" s="56">
        <f>SUM(N354:N396)</f>
        <v>67386488.259957612</v>
      </c>
      <c r="O397" s="57">
        <f>IFERROR(M397/L397,0)</f>
        <v>0.19088113429170495</v>
      </c>
      <c r="P397" s="57">
        <f>IFERROR(N397/M397,0)</f>
        <v>0.78937902326807718</v>
      </c>
      <c r="Q397" s="57">
        <f>IFERROR(1-(M397/L397),0)</f>
        <v>0.80911886570829505</v>
      </c>
      <c r="R397" s="59">
        <f>IFERROR(N397/K397,0)</f>
        <v>158.62101104674989</v>
      </c>
    </row>
    <row r="398" spans="2:18" ht="15.75" thickBot="1" x14ac:dyDescent="0.3">
      <c r="B398" s="60"/>
      <c r="C398" s="64"/>
      <c r="D398" s="62" t="s">
        <v>190</v>
      </c>
      <c r="E398" s="61"/>
      <c r="F398" s="61"/>
      <c r="G398" s="61"/>
      <c r="H398" s="61"/>
      <c r="I398" s="61"/>
      <c r="J398" s="61"/>
      <c r="K398" s="63"/>
      <c r="L398" s="63"/>
      <c r="M398" s="63"/>
      <c r="N398" s="63"/>
      <c r="O398" s="63"/>
      <c r="P398" s="63"/>
      <c r="Q398" s="63"/>
      <c r="R398" s="65"/>
    </row>
    <row r="399" spans="2:18" ht="15.75" thickBot="1" x14ac:dyDescent="0.3"/>
    <row r="400" spans="2:18" ht="15.75" x14ac:dyDescent="0.25">
      <c r="B400" s="1"/>
      <c r="C400" s="7" t="s">
        <v>348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9"/>
    </row>
    <row r="401" spans="2:18" ht="18" x14ac:dyDescent="0.25">
      <c r="B401" s="2"/>
      <c r="C401" s="8" t="s">
        <v>195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10"/>
    </row>
    <row r="402" spans="2:18" ht="15.75" thickBot="1" x14ac:dyDescent="0.3">
      <c r="B402" s="3"/>
      <c r="C402" s="1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12"/>
    </row>
    <row r="403" spans="2:18" ht="17.25" customHeight="1" thickBot="1" x14ac:dyDescent="0.3">
      <c r="B403" s="14" t="s">
        <v>349</v>
      </c>
      <c r="C403" s="18" t="s">
        <v>350</v>
      </c>
      <c r="D403" s="21" t="s">
        <v>351</v>
      </c>
      <c r="E403" s="23" t="s">
        <v>352</v>
      </c>
      <c r="F403" s="21" t="s">
        <v>353</v>
      </c>
      <c r="G403" s="23" t="s">
        <v>354</v>
      </c>
      <c r="H403" s="23" t="s">
        <v>355</v>
      </c>
      <c r="I403" s="23" t="s">
        <v>356</v>
      </c>
      <c r="J403" s="25" t="s">
        <v>357</v>
      </c>
      <c r="K403" s="25" t="s">
        <v>358</v>
      </c>
      <c r="L403" s="30" t="s">
        <v>359</v>
      </c>
      <c r="M403" s="30" t="s">
        <v>360</v>
      </c>
      <c r="N403" s="30" t="s">
        <v>361</v>
      </c>
      <c r="O403" s="33" t="s">
        <v>362</v>
      </c>
      <c r="P403" s="33" t="s">
        <v>363</v>
      </c>
      <c r="Q403" s="33" t="s">
        <v>364</v>
      </c>
      <c r="R403" s="35" t="s">
        <v>365</v>
      </c>
    </row>
    <row r="404" spans="2:18" ht="12.75" customHeight="1" x14ac:dyDescent="0.25">
      <c r="B404" s="17" t="s">
        <v>0</v>
      </c>
      <c r="C404" s="43" t="s">
        <v>54</v>
      </c>
      <c r="D404" s="37" t="s">
        <v>9</v>
      </c>
      <c r="E404" s="36">
        <v>2</v>
      </c>
      <c r="F404" s="38" t="s">
        <v>120</v>
      </c>
      <c r="G404" s="38" t="s">
        <v>193</v>
      </c>
      <c r="H404" s="38" t="s">
        <v>194</v>
      </c>
      <c r="I404" s="38" t="s">
        <v>195</v>
      </c>
      <c r="J404" s="39" t="s">
        <v>55</v>
      </c>
      <c r="K404" s="40">
        <v>282392</v>
      </c>
      <c r="L404" s="41">
        <v>23891529.120002292</v>
      </c>
      <c r="M404" s="41">
        <v>12676614.050022736</v>
      </c>
      <c r="N404" s="41">
        <v>9923864.6399921421</v>
      </c>
      <c r="O404" s="42">
        <f t="shared" ref="O404:O435" si="56">IFERROR(M404/L404,0)</f>
        <v>0.53059031870043483</v>
      </c>
      <c r="P404" s="42">
        <f t="shared" ref="P404:P435" si="57">IFERROR(N404/M404,0)</f>
        <v>0.78284821174107944</v>
      </c>
      <c r="Q404" s="42">
        <f t="shared" ref="Q404:Q435" si="58">IFERROR(1-(M404/L404),0)</f>
        <v>0.46940968129956517</v>
      </c>
      <c r="R404" s="45">
        <f t="shared" ref="R404:R435" si="59">IFERROR(N404/K404,0)</f>
        <v>35.142159267940102</v>
      </c>
    </row>
    <row r="405" spans="2:18" ht="12.75" customHeight="1" x14ac:dyDescent="0.25">
      <c r="B405" s="17" t="s">
        <v>0</v>
      </c>
      <c r="C405" s="44" t="s">
        <v>14</v>
      </c>
      <c r="D405" s="22" t="s">
        <v>9</v>
      </c>
      <c r="E405" s="20">
        <v>2</v>
      </c>
      <c r="F405" s="17" t="s">
        <v>120</v>
      </c>
      <c r="G405" s="17" t="s">
        <v>193</v>
      </c>
      <c r="H405" s="17" t="s">
        <v>194</v>
      </c>
      <c r="I405" s="17" t="s">
        <v>195</v>
      </c>
      <c r="J405" s="27" t="s">
        <v>15</v>
      </c>
      <c r="K405" s="29">
        <v>175965</v>
      </c>
      <c r="L405" s="31">
        <v>20071638.309991449</v>
      </c>
      <c r="M405" s="31">
        <v>7547750.6599938655</v>
      </c>
      <c r="N405" s="31">
        <v>5817930.2100003213</v>
      </c>
      <c r="O405" s="34">
        <f t="shared" si="56"/>
        <v>0.37604058739124824</v>
      </c>
      <c r="P405" s="34">
        <f t="shared" si="57"/>
        <v>0.77081642890480029</v>
      </c>
      <c r="Q405" s="34">
        <f t="shared" si="58"/>
        <v>0.62395941260875176</v>
      </c>
      <c r="R405" s="46">
        <f t="shared" si="59"/>
        <v>33.062996675477059</v>
      </c>
    </row>
    <row r="406" spans="2:18" ht="12.75" customHeight="1" x14ac:dyDescent="0.25">
      <c r="B406" s="17" t="s">
        <v>0</v>
      </c>
      <c r="C406" s="44" t="s">
        <v>30</v>
      </c>
      <c r="D406" s="22" t="s">
        <v>9</v>
      </c>
      <c r="E406" s="20">
        <v>2</v>
      </c>
      <c r="F406" s="17" t="s">
        <v>120</v>
      </c>
      <c r="G406" s="17" t="s">
        <v>193</v>
      </c>
      <c r="H406" s="17" t="s">
        <v>194</v>
      </c>
      <c r="I406" s="17" t="s">
        <v>195</v>
      </c>
      <c r="J406" s="27" t="s">
        <v>31</v>
      </c>
      <c r="K406" s="29">
        <v>145982</v>
      </c>
      <c r="L406" s="31">
        <v>14743533.130001724</v>
      </c>
      <c r="M406" s="31">
        <v>5993540.4899983434</v>
      </c>
      <c r="N406" s="31">
        <v>4634383.3100006478</v>
      </c>
      <c r="O406" s="34">
        <f t="shared" si="56"/>
        <v>0.40651995943916891</v>
      </c>
      <c r="P406" s="34">
        <f t="shared" si="57"/>
        <v>0.77322966579340302</v>
      </c>
      <c r="Q406" s="34">
        <f t="shared" si="58"/>
        <v>0.59348004056083115</v>
      </c>
      <c r="R406" s="46">
        <f t="shared" si="59"/>
        <v>31.74626536148736</v>
      </c>
    </row>
    <row r="407" spans="2:18" ht="12.75" customHeight="1" x14ac:dyDescent="0.25">
      <c r="B407" s="17" t="s">
        <v>0</v>
      </c>
      <c r="C407" s="44" t="s">
        <v>24</v>
      </c>
      <c r="D407" s="22" t="s">
        <v>9</v>
      </c>
      <c r="E407" s="20">
        <v>2</v>
      </c>
      <c r="F407" s="17" t="s">
        <v>120</v>
      </c>
      <c r="G407" s="17" t="s">
        <v>193</v>
      </c>
      <c r="H407" s="17" t="s">
        <v>194</v>
      </c>
      <c r="I407" s="17" t="s">
        <v>195</v>
      </c>
      <c r="J407" s="27" t="s">
        <v>25</v>
      </c>
      <c r="K407" s="29">
        <v>45460</v>
      </c>
      <c r="L407" s="31">
        <v>4567732.1200067727</v>
      </c>
      <c r="M407" s="31">
        <v>1960315.9699990994</v>
      </c>
      <c r="N407" s="31">
        <v>1520284.0999999172</v>
      </c>
      <c r="O407" s="34">
        <f t="shared" si="56"/>
        <v>0.42916614164234151</v>
      </c>
      <c r="P407" s="34">
        <f t="shared" si="57"/>
        <v>0.77553013048228936</v>
      </c>
      <c r="Q407" s="34">
        <f t="shared" si="58"/>
        <v>0.57083385835765843</v>
      </c>
      <c r="R407" s="46">
        <f t="shared" si="59"/>
        <v>33.442237131542392</v>
      </c>
    </row>
    <row r="408" spans="2:18" ht="12.75" customHeight="1" x14ac:dyDescent="0.25">
      <c r="B408" s="17" t="s">
        <v>0</v>
      </c>
      <c r="C408" s="44" t="s">
        <v>46</v>
      </c>
      <c r="D408" s="22" t="s">
        <v>9</v>
      </c>
      <c r="E408" s="20">
        <v>2</v>
      </c>
      <c r="F408" s="17" t="s">
        <v>120</v>
      </c>
      <c r="G408" s="17" t="s">
        <v>193</v>
      </c>
      <c r="H408" s="17" t="s">
        <v>194</v>
      </c>
      <c r="I408" s="17" t="s">
        <v>195</v>
      </c>
      <c r="J408" s="27" t="s">
        <v>47</v>
      </c>
      <c r="K408" s="29">
        <v>62054</v>
      </c>
      <c r="L408" s="31">
        <v>5310829.7099884525</v>
      </c>
      <c r="M408" s="31">
        <v>1923645.4700011299</v>
      </c>
      <c r="N408" s="31">
        <v>1470580.6299981819</v>
      </c>
      <c r="O408" s="34">
        <f t="shared" si="56"/>
        <v>0.36221185295834168</v>
      </c>
      <c r="P408" s="34">
        <f t="shared" si="57"/>
        <v>0.76447591457552633</v>
      </c>
      <c r="Q408" s="34">
        <f t="shared" si="58"/>
        <v>0.63778814704165832</v>
      </c>
      <c r="R408" s="46">
        <f t="shared" si="59"/>
        <v>23.698401875756307</v>
      </c>
    </row>
    <row r="409" spans="2:18" ht="12.75" customHeight="1" x14ac:dyDescent="0.25">
      <c r="B409" s="17" t="s">
        <v>0</v>
      </c>
      <c r="C409" s="44" t="s">
        <v>28</v>
      </c>
      <c r="D409" s="22" t="s">
        <v>9</v>
      </c>
      <c r="E409" s="20">
        <v>2</v>
      </c>
      <c r="F409" s="17" t="s">
        <v>120</v>
      </c>
      <c r="G409" s="17" t="s">
        <v>193</v>
      </c>
      <c r="H409" s="17" t="s">
        <v>194</v>
      </c>
      <c r="I409" s="17" t="s">
        <v>195</v>
      </c>
      <c r="J409" s="27" t="s">
        <v>29</v>
      </c>
      <c r="K409" s="29">
        <v>31175</v>
      </c>
      <c r="L409" s="31">
        <v>2340802.3599969982</v>
      </c>
      <c r="M409" s="31">
        <v>1392856.0599959327</v>
      </c>
      <c r="N409" s="31">
        <v>1096379.8199997123</v>
      </c>
      <c r="O409" s="34">
        <f t="shared" si="56"/>
        <v>0.59503360206699329</v>
      </c>
      <c r="P409" s="34">
        <f t="shared" si="57"/>
        <v>0.78714509811079392</v>
      </c>
      <c r="Q409" s="34">
        <f t="shared" si="58"/>
        <v>0.40496639793300671</v>
      </c>
      <c r="R409" s="46">
        <f t="shared" si="59"/>
        <v>35.16855878106535</v>
      </c>
    </row>
    <row r="410" spans="2:18" ht="12.75" customHeight="1" x14ac:dyDescent="0.25">
      <c r="B410" s="17" t="s">
        <v>0</v>
      </c>
      <c r="C410" s="44" t="s">
        <v>58</v>
      </c>
      <c r="D410" s="22" t="s">
        <v>9</v>
      </c>
      <c r="E410" s="20">
        <v>2</v>
      </c>
      <c r="F410" s="17" t="s">
        <v>120</v>
      </c>
      <c r="G410" s="17" t="s">
        <v>193</v>
      </c>
      <c r="H410" s="17" t="s">
        <v>194</v>
      </c>
      <c r="I410" s="17" t="s">
        <v>195</v>
      </c>
      <c r="J410" s="27" t="s">
        <v>59</v>
      </c>
      <c r="K410" s="29">
        <v>20181</v>
      </c>
      <c r="L410" s="31">
        <v>1916978.9099877668</v>
      </c>
      <c r="M410" s="31">
        <v>854303.34000110009</v>
      </c>
      <c r="N410" s="31">
        <v>677716.10000361037</v>
      </c>
      <c r="O410" s="34">
        <f t="shared" si="56"/>
        <v>0.44565088095129429</v>
      </c>
      <c r="P410" s="34">
        <f t="shared" si="57"/>
        <v>0.79329679315398405</v>
      </c>
      <c r="Q410" s="34">
        <f t="shared" si="58"/>
        <v>0.55434911904870576</v>
      </c>
      <c r="R410" s="46">
        <f t="shared" si="59"/>
        <v>33.581888905584975</v>
      </c>
    </row>
    <row r="411" spans="2:18" ht="12.75" customHeight="1" x14ac:dyDescent="0.25">
      <c r="B411" s="17" t="s">
        <v>0</v>
      </c>
      <c r="C411" s="44" t="s">
        <v>12</v>
      </c>
      <c r="D411" s="22" t="s">
        <v>9</v>
      </c>
      <c r="E411" s="20">
        <v>2</v>
      </c>
      <c r="F411" s="17" t="s">
        <v>120</v>
      </c>
      <c r="G411" s="17" t="s">
        <v>193</v>
      </c>
      <c r="H411" s="17" t="s">
        <v>194</v>
      </c>
      <c r="I411" s="17" t="s">
        <v>195</v>
      </c>
      <c r="J411" s="27" t="s">
        <v>13</v>
      </c>
      <c r="K411" s="29">
        <v>18141</v>
      </c>
      <c r="L411" s="31">
        <v>2391654.4699977017</v>
      </c>
      <c r="M411" s="31">
        <v>769697.00000062771</v>
      </c>
      <c r="N411" s="31">
        <v>597399.51000019128</v>
      </c>
      <c r="O411" s="34">
        <f t="shared" si="56"/>
        <v>0.32182617081863307</v>
      </c>
      <c r="P411" s="34">
        <f t="shared" si="57"/>
        <v>0.77614893912761007</v>
      </c>
      <c r="Q411" s="34">
        <f t="shared" si="58"/>
        <v>0.67817382918136693</v>
      </c>
      <c r="R411" s="46">
        <f t="shared" si="59"/>
        <v>32.930902927081817</v>
      </c>
    </row>
    <row r="412" spans="2:18" ht="12.75" customHeight="1" x14ac:dyDescent="0.25">
      <c r="B412" s="17" t="s">
        <v>0</v>
      </c>
      <c r="C412" s="44" t="s">
        <v>44</v>
      </c>
      <c r="D412" s="22" t="s">
        <v>9</v>
      </c>
      <c r="E412" s="20">
        <v>2</v>
      </c>
      <c r="F412" s="17" t="s">
        <v>120</v>
      </c>
      <c r="G412" s="17" t="s">
        <v>193</v>
      </c>
      <c r="H412" s="17" t="s">
        <v>194</v>
      </c>
      <c r="I412" s="17" t="s">
        <v>195</v>
      </c>
      <c r="J412" s="27" t="s">
        <v>45</v>
      </c>
      <c r="K412" s="29">
        <v>15209</v>
      </c>
      <c r="L412" s="31">
        <v>1235414.7400001329</v>
      </c>
      <c r="M412" s="31">
        <v>514313.3800012563</v>
      </c>
      <c r="N412" s="31">
        <v>402724.20999934763</v>
      </c>
      <c r="O412" s="34">
        <f t="shared" si="56"/>
        <v>0.41630827555222544</v>
      </c>
      <c r="P412" s="34">
        <f t="shared" si="57"/>
        <v>0.78303272996390627</v>
      </c>
      <c r="Q412" s="34">
        <f t="shared" si="58"/>
        <v>0.58369172444777462</v>
      </c>
      <c r="R412" s="46">
        <f t="shared" si="59"/>
        <v>26.479335261973016</v>
      </c>
    </row>
    <row r="413" spans="2:18" ht="12.75" customHeight="1" x14ac:dyDescent="0.25">
      <c r="B413" s="17" t="s">
        <v>0</v>
      </c>
      <c r="C413" s="44" t="s">
        <v>114</v>
      </c>
      <c r="D413" s="22" t="s">
        <v>9</v>
      </c>
      <c r="E413" s="20">
        <v>2</v>
      </c>
      <c r="F413" s="17" t="s">
        <v>120</v>
      </c>
      <c r="G413" s="17" t="s">
        <v>193</v>
      </c>
      <c r="H413" s="17" t="s">
        <v>194</v>
      </c>
      <c r="I413" s="17" t="s">
        <v>195</v>
      </c>
      <c r="J413" s="27" t="s">
        <v>118</v>
      </c>
      <c r="K413" s="29">
        <v>11241</v>
      </c>
      <c r="L413" s="31">
        <v>942751.60000055295</v>
      </c>
      <c r="M413" s="31">
        <v>429760.47999934695</v>
      </c>
      <c r="N413" s="31">
        <v>337664.10999936966</v>
      </c>
      <c r="O413" s="34">
        <f t="shared" si="56"/>
        <v>0.45585759811926585</v>
      </c>
      <c r="P413" s="34">
        <f t="shared" si="57"/>
        <v>0.78570302695092564</v>
      </c>
      <c r="Q413" s="34">
        <f t="shared" si="58"/>
        <v>0.54414240188073415</v>
      </c>
      <c r="R413" s="46">
        <f t="shared" si="59"/>
        <v>30.038618450259733</v>
      </c>
    </row>
    <row r="414" spans="2:18" ht="12.75" customHeight="1" x14ac:dyDescent="0.25">
      <c r="B414" s="17" t="s">
        <v>0</v>
      </c>
      <c r="C414" s="44" t="s">
        <v>50</v>
      </c>
      <c r="D414" s="22" t="s">
        <v>9</v>
      </c>
      <c r="E414" s="20">
        <v>2</v>
      </c>
      <c r="F414" s="17" t="s">
        <v>120</v>
      </c>
      <c r="G414" s="17" t="s">
        <v>193</v>
      </c>
      <c r="H414" s="17" t="s">
        <v>194</v>
      </c>
      <c r="I414" s="17" t="s">
        <v>195</v>
      </c>
      <c r="J414" s="27" t="s">
        <v>51</v>
      </c>
      <c r="K414" s="29">
        <v>12494</v>
      </c>
      <c r="L414" s="31">
        <v>1107578.4000001899</v>
      </c>
      <c r="M414" s="31">
        <v>393872.56999986432</v>
      </c>
      <c r="N414" s="31">
        <v>300110.71000089723</v>
      </c>
      <c r="O414" s="34">
        <f t="shared" si="56"/>
        <v>0.35561597264789274</v>
      </c>
      <c r="P414" s="34">
        <f t="shared" si="57"/>
        <v>0.76194874398336654</v>
      </c>
      <c r="Q414" s="34">
        <f t="shared" si="58"/>
        <v>0.64438402735210731</v>
      </c>
      <c r="R414" s="46">
        <f t="shared" si="59"/>
        <v>24.020386585632881</v>
      </c>
    </row>
    <row r="415" spans="2:18" ht="12.75" customHeight="1" x14ac:dyDescent="0.25">
      <c r="B415" s="17" t="s">
        <v>0</v>
      </c>
      <c r="C415" s="44" t="s">
        <v>170</v>
      </c>
      <c r="D415" s="22" t="s">
        <v>9</v>
      </c>
      <c r="E415" s="20">
        <v>2</v>
      </c>
      <c r="F415" s="17" t="s">
        <v>120</v>
      </c>
      <c r="G415" s="17" t="s">
        <v>193</v>
      </c>
      <c r="H415" s="17" t="s">
        <v>194</v>
      </c>
      <c r="I415" s="17" t="s">
        <v>195</v>
      </c>
      <c r="J415" s="27" t="s">
        <v>171</v>
      </c>
      <c r="K415" s="29">
        <v>12147</v>
      </c>
      <c r="L415" s="31">
        <v>997227.25999970397</v>
      </c>
      <c r="M415" s="31">
        <v>360058.26000036078</v>
      </c>
      <c r="N415" s="31">
        <v>263037.58000024362</v>
      </c>
      <c r="O415" s="34">
        <f t="shared" si="56"/>
        <v>0.36105938379629499</v>
      </c>
      <c r="P415" s="34">
        <f t="shared" si="57"/>
        <v>0.73054171844295435</v>
      </c>
      <c r="Q415" s="34">
        <f t="shared" si="58"/>
        <v>0.63894061620370501</v>
      </c>
      <c r="R415" s="46">
        <f t="shared" si="59"/>
        <v>21.654530336728708</v>
      </c>
    </row>
    <row r="416" spans="2:18" ht="12.75" customHeight="1" x14ac:dyDescent="0.25">
      <c r="B416" s="17" t="s">
        <v>0</v>
      </c>
      <c r="C416" s="44" t="s">
        <v>168</v>
      </c>
      <c r="D416" s="22" t="s">
        <v>9</v>
      </c>
      <c r="E416" s="20">
        <v>2</v>
      </c>
      <c r="F416" s="17" t="s">
        <v>120</v>
      </c>
      <c r="G416" s="17" t="s">
        <v>193</v>
      </c>
      <c r="H416" s="17" t="s">
        <v>194</v>
      </c>
      <c r="I416" s="17" t="s">
        <v>195</v>
      </c>
      <c r="J416" s="27" t="s">
        <v>169</v>
      </c>
      <c r="K416" s="29">
        <v>8329</v>
      </c>
      <c r="L416" s="31">
        <v>488838.47000067402</v>
      </c>
      <c r="M416" s="31">
        <v>212016.32999953401</v>
      </c>
      <c r="N416" s="31">
        <v>212016.32999953401</v>
      </c>
      <c r="O416" s="34">
        <f t="shared" si="56"/>
        <v>0.43371449468623385</v>
      </c>
      <c r="P416" s="34">
        <f t="shared" si="57"/>
        <v>1</v>
      </c>
      <c r="Q416" s="34">
        <f t="shared" si="58"/>
        <v>0.56628550531376609</v>
      </c>
      <c r="R416" s="46">
        <f t="shared" si="59"/>
        <v>25.455196302021132</v>
      </c>
    </row>
    <row r="417" spans="2:18" ht="12.75" customHeight="1" x14ac:dyDescent="0.25">
      <c r="B417" s="17" t="s">
        <v>0</v>
      </c>
      <c r="C417" s="44" t="s">
        <v>32</v>
      </c>
      <c r="D417" s="22" t="s">
        <v>9</v>
      </c>
      <c r="E417" s="20">
        <v>2</v>
      </c>
      <c r="F417" s="17" t="s">
        <v>120</v>
      </c>
      <c r="G417" s="17" t="s">
        <v>193</v>
      </c>
      <c r="H417" s="17" t="s">
        <v>194</v>
      </c>
      <c r="I417" s="17" t="s">
        <v>195</v>
      </c>
      <c r="J417" s="27" t="s">
        <v>33</v>
      </c>
      <c r="K417" s="29">
        <v>5948</v>
      </c>
      <c r="L417" s="31">
        <v>624861.99999983888</v>
      </c>
      <c r="M417" s="31">
        <v>240906.07999931902</v>
      </c>
      <c r="N417" s="31">
        <v>185467.57999973203</v>
      </c>
      <c r="O417" s="34">
        <f t="shared" si="56"/>
        <v>0.38553485409479393</v>
      </c>
      <c r="P417" s="34">
        <f t="shared" si="57"/>
        <v>0.76987504840166887</v>
      </c>
      <c r="Q417" s="34">
        <f t="shared" si="58"/>
        <v>0.61446514590520607</v>
      </c>
      <c r="R417" s="46">
        <f t="shared" si="59"/>
        <v>31.181503026182252</v>
      </c>
    </row>
    <row r="418" spans="2:18" ht="12.75" customHeight="1" x14ac:dyDescent="0.25">
      <c r="B418" s="17" t="s">
        <v>0</v>
      </c>
      <c r="C418" s="44" t="s">
        <v>66</v>
      </c>
      <c r="D418" s="22" t="s">
        <v>9</v>
      </c>
      <c r="E418" s="20">
        <v>2</v>
      </c>
      <c r="F418" s="17" t="s">
        <v>120</v>
      </c>
      <c r="G418" s="17" t="s">
        <v>193</v>
      </c>
      <c r="H418" s="17" t="s">
        <v>194</v>
      </c>
      <c r="I418" s="17" t="s">
        <v>195</v>
      </c>
      <c r="J418" s="27" t="s">
        <v>67</v>
      </c>
      <c r="K418" s="29">
        <v>4849</v>
      </c>
      <c r="L418" s="31">
        <v>405181.79</v>
      </c>
      <c r="M418" s="31">
        <v>222524.87000095754</v>
      </c>
      <c r="N418" s="31">
        <v>169740.019999271</v>
      </c>
      <c r="O418" s="34">
        <f t="shared" si="56"/>
        <v>0.54919760831541209</v>
      </c>
      <c r="P418" s="34">
        <f t="shared" si="57"/>
        <v>0.76279123317110842</v>
      </c>
      <c r="Q418" s="34">
        <f t="shared" si="58"/>
        <v>0.45080239168458791</v>
      </c>
      <c r="R418" s="46">
        <f t="shared" si="59"/>
        <v>35.005159826618062</v>
      </c>
    </row>
    <row r="419" spans="2:18" ht="12.75" customHeight="1" x14ac:dyDescent="0.25">
      <c r="B419" s="17" t="s">
        <v>0</v>
      </c>
      <c r="C419" s="44" t="s">
        <v>110</v>
      </c>
      <c r="D419" s="22" t="s">
        <v>9</v>
      </c>
      <c r="E419" s="20">
        <v>2</v>
      </c>
      <c r="F419" s="17" t="s">
        <v>120</v>
      </c>
      <c r="G419" s="17" t="s">
        <v>193</v>
      </c>
      <c r="H419" s="17" t="s">
        <v>194</v>
      </c>
      <c r="I419" s="17" t="s">
        <v>195</v>
      </c>
      <c r="J419" s="27" t="s">
        <v>111</v>
      </c>
      <c r="K419" s="29">
        <v>4564</v>
      </c>
      <c r="L419" s="31">
        <v>265182.00000083499</v>
      </c>
      <c r="M419" s="31">
        <v>193842.57000010859</v>
      </c>
      <c r="N419" s="31">
        <v>153380.21999963658</v>
      </c>
      <c r="O419" s="34">
        <f t="shared" si="56"/>
        <v>0.73097936511338713</v>
      </c>
      <c r="P419" s="34">
        <f t="shared" si="57"/>
        <v>0.79126179558778376</v>
      </c>
      <c r="Q419" s="34">
        <f t="shared" si="58"/>
        <v>0.26902063488661287</v>
      </c>
      <c r="R419" s="46">
        <f t="shared" si="59"/>
        <v>33.606533742251663</v>
      </c>
    </row>
    <row r="420" spans="2:18" ht="12.75" customHeight="1" x14ac:dyDescent="0.25">
      <c r="B420" s="17" t="s">
        <v>0</v>
      </c>
      <c r="C420" s="44" t="s">
        <v>127</v>
      </c>
      <c r="D420" s="22" t="s">
        <v>9</v>
      </c>
      <c r="E420" s="20">
        <v>2</v>
      </c>
      <c r="F420" s="17" t="s">
        <v>120</v>
      </c>
      <c r="G420" s="17" t="s">
        <v>193</v>
      </c>
      <c r="H420" s="17" t="s">
        <v>194</v>
      </c>
      <c r="I420" s="17" t="s">
        <v>195</v>
      </c>
      <c r="J420" s="27" t="s">
        <v>128</v>
      </c>
      <c r="K420" s="29">
        <v>5096</v>
      </c>
      <c r="L420" s="31">
        <v>415509.96000356402</v>
      </c>
      <c r="M420" s="31">
        <v>182253.67000069103</v>
      </c>
      <c r="N420" s="31">
        <v>133877.299999682</v>
      </c>
      <c r="O420" s="34">
        <f t="shared" si="56"/>
        <v>0.43862647720677445</v>
      </c>
      <c r="P420" s="34">
        <f t="shared" si="57"/>
        <v>0.73456572917941454</v>
      </c>
      <c r="Q420" s="34">
        <f t="shared" si="58"/>
        <v>0.5613735227932255</v>
      </c>
      <c r="R420" s="46">
        <f t="shared" si="59"/>
        <v>26.271055729921901</v>
      </c>
    </row>
    <row r="421" spans="2:18" ht="12.75" customHeight="1" x14ac:dyDescent="0.25">
      <c r="B421" s="17" t="s">
        <v>0</v>
      </c>
      <c r="C421" s="44" t="s">
        <v>70</v>
      </c>
      <c r="D421" s="22" t="s">
        <v>9</v>
      </c>
      <c r="E421" s="20">
        <v>2</v>
      </c>
      <c r="F421" s="17" t="s">
        <v>120</v>
      </c>
      <c r="G421" s="17" t="s">
        <v>193</v>
      </c>
      <c r="H421" s="17" t="s">
        <v>194</v>
      </c>
      <c r="I421" s="17" t="s">
        <v>195</v>
      </c>
      <c r="J421" s="27" t="s">
        <v>71</v>
      </c>
      <c r="K421" s="29">
        <v>3761</v>
      </c>
      <c r="L421" s="31">
        <v>404737.83000184799</v>
      </c>
      <c r="M421" s="31">
        <v>155502.08000043678</v>
      </c>
      <c r="N421" s="31">
        <v>118174.4899996234</v>
      </c>
      <c r="O421" s="34">
        <f t="shared" si="56"/>
        <v>0.3842044614404509</v>
      </c>
      <c r="P421" s="34">
        <f t="shared" si="57"/>
        <v>0.75995440060539043</v>
      </c>
      <c r="Q421" s="34">
        <f t="shared" si="58"/>
        <v>0.61579553855954905</v>
      </c>
      <c r="R421" s="46">
        <f t="shared" si="59"/>
        <v>31.421028981553683</v>
      </c>
    </row>
    <row r="422" spans="2:18" ht="12.75" customHeight="1" x14ac:dyDescent="0.25">
      <c r="B422" s="17" t="s">
        <v>0</v>
      </c>
      <c r="C422" s="44" t="s">
        <v>145</v>
      </c>
      <c r="D422" s="22" t="s">
        <v>9</v>
      </c>
      <c r="E422" s="20">
        <v>2</v>
      </c>
      <c r="F422" s="17" t="s">
        <v>120</v>
      </c>
      <c r="G422" s="17" t="s">
        <v>193</v>
      </c>
      <c r="H422" s="17" t="s">
        <v>194</v>
      </c>
      <c r="I422" s="17" t="s">
        <v>195</v>
      </c>
      <c r="J422" s="27" t="s">
        <v>146</v>
      </c>
      <c r="K422" s="29">
        <v>3373</v>
      </c>
      <c r="L422" s="31">
        <v>240052.70999989304</v>
      </c>
      <c r="M422" s="31">
        <v>141991.05999923396</v>
      </c>
      <c r="N422" s="31">
        <v>112872.409999296</v>
      </c>
      <c r="O422" s="34">
        <f t="shared" si="56"/>
        <v>0.59149950858416567</v>
      </c>
      <c r="P422" s="34">
        <f t="shared" si="57"/>
        <v>0.79492617352039585</v>
      </c>
      <c r="Q422" s="34">
        <f t="shared" si="58"/>
        <v>0.40850049141583433</v>
      </c>
      <c r="R422" s="46">
        <f t="shared" si="59"/>
        <v>33.463507263354877</v>
      </c>
    </row>
    <row r="423" spans="2:18" ht="12.75" customHeight="1" x14ac:dyDescent="0.25">
      <c r="B423" s="17" t="s">
        <v>0</v>
      </c>
      <c r="C423" s="44" t="s">
        <v>155</v>
      </c>
      <c r="D423" s="22" t="s">
        <v>9</v>
      </c>
      <c r="E423" s="20">
        <v>2</v>
      </c>
      <c r="F423" s="17" t="s">
        <v>120</v>
      </c>
      <c r="G423" s="17" t="s">
        <v>193</v>
      </c>
      <c r="H423" s="17" t="s">
        <v>194</v>
      </c>
      <c r="I423" s="17" t="s">
        <v>195</v>
      </c>
      <c r="J423" s="27" t="s">
        <v>156</v>
      </c>
      <c r="K423" s="29">
        <v>2611</v>
      </c>
      <c r="L423" s="31">
        <v>232659.52</v>
      </c>
      <c r="M423" s="31">
        <v>121917.5400005652</v>
      </c>
      <c r="N423" s="31">
        <v>95575.110000150002</v>
      </c>
      <c r="O423" s="34">
        <f t="shared" si="56"/>
        <v>0.52401698413443476</v>
      </c>
      <c r="P423" s="34">
        <f t="shared" si="57"/>
        <v>0.7839324021769708</v>
      </c>
      <c r="Q423" s="34">
        <f t="shared" si="58"/>
        <v>0.47598301586556524</v>
      </c>
      <c r="R423" s="46">
        <f t="shared" si="59"/>
        <v>36.60479126777097</v>
      </c>
    </row>
    <row r="424" spans="2:18" ht="12.75" customHeight="1" x14ac:dyDescent="0.25">
      <c r="B424" s="17" t="s">
        <v>0</v>
      </c>
      <c r="C424" s="44" t="s">
        <v>112</v>
      </c>
      <c r="D424" s="22" t="s">
        <v>9</v>
      </c>
      <c r="E424" s="20">
        <v>2</v>
      </c>
      <c r="F424" s="17" t="s">
        <v>120</v>
      </c>
      <c r="G424" s="17" t="s">
        <v>193</v>
      </c>
      <c r="H424" s="17" t="s">
        <v>194</v>
      </c>
      <c r="I424" s="17" t="s">
        <v>195</v>
      </c>
      <c r="J424" s="27" t="s">
        <v>113</v>
      </c>
      <c r="K424" s="29">
        <v>1716</v>
      </c>
      <c r="L424" s="31">
        <v>339814.99999971502</v>
      </c>
      <c r="M424" s="31">
        <v>118621.45999991402</v>
      </c>
      <c r="N424" s="31">
        <v>87466.880000084013</v>
      </c>
      <c r="O424" s="34">
        <f t="shared" si="56"/>
        <v>0.34907658578936629</v>
      </c>
      <c r="P424" s="34">
        <f t="shared" si="57"/>
        <v>0.73736135097432975</v>
      </c>
      <c r="Q424" s="34">
        <f t="shared" si="58"/>
        <v>0.65092341421063371</v>
      </c>
      <c r="R424" s="46">
        <f t="shared" si="59"/>
        <v>50.971375291424252</v>
      </c>
    </row>
    <row r="425" spans="2:18" ht="12.75" customHeight="1" x14ac:dyDescent="0.25">
      <c r="B425" s="17" t="s">
        <v>0</v>
      </c>
      <c r="C425" s="44" t="s">
        <v>48</v>
      </c>
      <c r="D425" s="22" t="s">
        <v>9</v>
      </c>
      <c r="E425" s="20">
        <v>2</v>
      </c>
      <c r="F425" s="17" t="s">
        <v>120</v>
      </c>
      <c r="G425" s="17" t="s">
        <v>193</v>
      </c>
      <c r="H425" s="17" t="s">
        <v>194</v>
      </c>
      <c r="I425" s="17" t="s">
        <v>195</v>
      </c>
      <c r="J425" s="27" t="s">
        <v>49</v>
      </c>
      <c r="K425" s="29">
        <v>2191</v>
      </c>
      <c r="L425" s="31">
        <v>258407.84000005899</v>
      </c>
      <c r="M425" s="31">
        <v>99303.009999964008</v>
      </c>
      <c r="N425" s="31">
        <v>78935.459999999002</v>
      </c>
      <c r="O425" s="34">
        <f t="shared" si="56"/>
        <v>0.38428791479368946</v>
      </c>
      <c r="P425" s="34">
        <f t="shared" si="57"/>
        <v>0.79489493823024715</v>
      </c>
      <c r="Q425" s="34">
        <f t="shared" si="58"/>
        <v>0.61571208520631049</v>
      </c>
      <c r="R425" s="46">
        <f t="shared" si="59"/>
        <v>36.027138293016435</v>
      </c>
    </row>
    <row r="426" spans="2:18" ht="12.75" customHeight="1" x14ac:dyDescent="0.25">
      <c r="B426" s="17" t="s">
        <v>0</v>
      </c>
      <c r="C426" s="44" t="s">
        <v>16</v>
      </c>
      <c r="D426" s="22" t="s">
        <v>9</v>
      </c>
      <c r="E426" s="20">
        <v>2</v>
      </c>
      <c r="F426" s="17" t="s">
        <v>120</v>
      </c>
      <c r="G426" s="17" t="s">
        <v>193</v>
      </c>
      <c r="H426" s="17" t="s">
        <v>194</v>
      </c>
      <c r="I426" s="17" t="s">
        <v>195</v>
      </c>
      <c r="J426" s="27" t="s">
        <v>17</v>
      </c>
      <c r="K426" s="29">
        <v>2507</v>
      </c>
      <c r="L426" s="31">
        <v>361803.13000132004</v>
      </c>
      <c r="M426" s="31">
        <v>97224.610000132408</v>
      </c>
      <c r="N426" s="31">
        <v>75272.350000173596</v>
      </c>
      <c r="O426" s="34">
        <f t="shared" si="56"/>
        <v>0.26872241265513014</v>
      </c>
      <c r="P426" s="34">
        <f t="shared" si="57"/>
        <v>0.77421087109602271</v>
      </c>
      <c r="Q426" s="34">
        <f t="shared" si="58"/>
        <v>0.73127758734486981</v>
      </c>
      <c r="R426" s="46">
        <f t="shared" si="59"/>
        <v>30.024870363052891</v>
      </c>
    </row>
    <row r="427" spans="2:18" ht="12.75" customHeight="1" x14ac:dyDescent="0.25">
      <c r="B427" s="17" t="s">
        <v>0</v>
      </c>
      <c r="C427" s="44" t="s">
        <v>38</v>
      </c>
      <c r="D427" s="22" t="s">
        <v>9</v>
      </c>
      <c r="E427" s="20">
        <v>2</v>
      </c>
      <c r="F427" s="17" t="s">
        <v>120</v>
      </c>
      <c r="G427" s="17" t="s">
        <v>193</v>
      </c>
      <c r="H427" s="17" t="s">
        <v>194</v>
      </c>
      <c r="I427" s="17" t="s">
        <v>195</v>
      </c>
      <c r="J427" s="27" t="s">
        <v>39</v>
      </c>
      <c r="K427" s="29">
        <v>2206</v>
      </c>
      <c r="L427" s="31">
        <v>196674.56000005401</v>
      </c>
      <c r="M427" s="31">
        <v>85914.810000095909</v>
      </c>
      <c r="N427" s="31">
        <v>68095.040000049092</v>
      </c>
      <c r="O427" s="34">
        <f t="shared" si="56"/>
        <v>0.43683743337253333</v>
      </c>
      <c r="P427" s="34">
        <f t="shared" si="57"/>
        <v>0.79258791353869107</v>
      </c>
      <c r="Q427" s="34">
        <f t="shared" si="58"/>
        <v>0.56316256662746667</v>
      </c>
      <c r="R427" s="46">
        <f t="shared" si="59"/>
        <v>30.868105167746641</v>
      </c>
    </row>
    <row r="428" spans="2:18" ht="12.75" customHeight="1" x14ac:dyDescent="0.25">
      <c r="B428" s="17" t="s">
        <v>0</v>
      </c>
      <c r="C428" s="44" t="s">
        <v>137</v>
      </c>
      <c r="D428" s="22" t="s">
        <v>9</v>
      </c>
      <c r="E428" s="20">
        <v>2</v>
      </c>
      <c r="F428" s="17" t="s">
        <v>120</v>
      </c>
      <c r="G428" s="17" t="s">
        <v>193</v>
      </c>
      <c r="H428" s="17" t="s">
        <v>194</v>
      </c>
      <c r="I428" s="17" t="s">
        <v>195</v>
      </c>
      <c r="J428" s="27" t="s">
        <v>138</v>
      </c>
      <c r="K428" s="29">
        <v>1501</v>
      </c>
      <c r="L428" s="31">
        <v>168254.77999945299</v>
      </c>
      <c r="M428" s="31">
        <v>66547.889999700012</v>
      </c>
      <c r="N428" s="31">
        <v>50240.250000061009</v>
      </c>
      <c r="O428" s="34">
        <f t="shared" si="56"/>
        <v>0.39551857011085428</v>
      </c>
      <c r="P428" s="34">
        <f t="shared" si="57"/>
        <v>0.75494880454192437</v>
      </c>
      <c r="Q428" s="34">
        <f t="shared" si="58"/>
        <v>0.60448142988914566</v>
      </c>
      <c r="R428" s="46">
        <f t="shared" si="59"/>
        <v>33.471185876123258</v>
      </c>
    </row>
    <row r="429" spans="2:18" ht="12.75" customHeight="1" x14ac:dyDescent="0.25">
      <c r="B429" s="17" t="s">
        <v>0</v>
      </c>
      <c r="C429" s="44" t="s">
        <v>52</v>
      </c>
      <c r="D429" s="22" t="s">
        <v>9</v>
      </c>
      <c r="E429" s="20">
        <v>2</v>
      </c>
      <c r="F429" s="17" t="s">
        <v>120</v>
      </c>
      <c r="G429" s="17" t="s">
        <v>193</v>
      </c>
      <c r="H429" s="17" t="s">
        <v>194</v>
      </c>
      <c r="I429" s="17" t="s">
        <v>195</v>
      </c>
      <c r="J429" s="27" t="s">
        <v>53</v>
      </c>
      <c r="K429" s="29">
        <v>1122</v>
      </c>
      <c r="L429" s="31">
        <v>139202.50000001001</v>
      </c>
      <c r="M429" s="31">
        <v>52065.910000265001</v>
      </c>
      <c r="N429" s="31">
        <v>39438.660000147996</v>
      </c>
      <c r="O429" s="34">
        <f t="shared" si="56"/>
        <v>0.37402999227931433</v>
      </c>
      <c r="P429" s="34">
        <f t="shared" si="57"/>
        <v>0.75747566881952633</v>
      </c>
      <c r="Q429" s="34">
        <f t="shared" si="58"/>
        <v>0.62597000772068567</v>
      </c>
      <c r="R429" s="46">
        <f t="shared" si="59"/>
        <v>35.150320855746877</v>
      </c>
    </row>
    <row r="430" spans="2:18" ht="12.75" customHeight="1" x14ac:dyDescent="0.25">
      <c r="B430" s="17" t="s">
        <v>0</v>
      </c>
      <c r="C430" s="44" t="s">
        <v>7</v>
      </c>
      <c r="D430" s="22" t="s">
        <v>9</v>
      </c>
      <c r="E430" s="20">
        <v>2</v>
      </c>
      <c r="F430" s="17" t="s">
        <v>120</v>
      </c>
      <c r="G430" s="17" t="s">
        <v>193</v>
      </c>
      <c r="H430" s="17" t="s">
        <v>194</v>
      </c>
      <c r="I430" s="17" t="s">
        <v>195</v>
      </c>
      <c r="J430" s="27" t="s">
        <v>8</v>
      </c>
      <c r="K430" s="29">
        <v>1236</v>
      </c>
      <c r="L430" s="31">
        <v>193929.92999999819</v>
      </c>
      <c r="M430" s="31">
        <v>48131.3199998942</v>
      </c>
      <c r="N430" s="31">
        <v>37346.819999977801</v>
      </c>
      <c r="O430" s="34">
        <f t="shared" si="56"/>
        <v>0.24818922999608492</v>
      </c>
      <c r="P430" s="34">
        <f t="shared" si="57"/>
        <v>0.77593591865047318</v>
      </c>
      <c r="Q430" s="34">
        <f t="shared" si="58"/>
        <v>0.75181077000391505</v>
      </c>
      <c r="R430" s="46">
        <f t="shared" si="59"/>
        <v>30.215873786389807</v>
      </c>
    </row>
    <row r="431" spans="2:18" ht="12.75" customHeight="1" x14ac:dyDescent="0.25">
      <c r="B431" s="17" t="s">
        <v>0</v>
      </c>
      <c r="C431" s="44" t="s">
        <v>92</v>
      </c>
      <c r="D431" s="22" t="s">
        <v>9</v>
      </c>
      <c r="E431" s="20">
        <v>2</v>
      </c>
      <c r="F431" s="17" t="s">
        <v>120</v>
      </c>
      <c r="G431" s="17" t="s">
        <v>193</v>
      </c>
      <c r="H431" s="17" t="s">
        <v>194</v>
      </c>
      <c r="I431" s="17" t="s">
        <v>195</v>
      </c>
      <c r="J431" s="27" t="s">
        <v>93</v>
      </c>
      <c r="K431" s="29">
        <v>5178</v>
      </c>
      <c r="L431" s="31">
        <v>148127.66000000242</v>
      </c>
      <c r="M431" s="31">
        <v>44208.830000142698</v>
      </c>
      <c r="N431" s="31">
        <v>33941.670000043901</v>
      </c>
      <c r="O431" s="34">
        <f t="shared" si="56"/>
        <v>0.29845087676496057</v>
      </c>
      <c r="P431" s="34">
        <f t="shared" si="57"/>
        <v>0.76775770813057809</v>
      </c>
      <c r="Q431" s="34">
        <f t="shared" si="58"/>
        <v>0.70154912323503948</v>
      </c>
      <c r="R431" s="46">
        <f t="shared" si="59"/>
        <v>6.5549768250374472</v>
      </c>
    </row>
    <row r="432" spans="2:18" ht="12.75" customHeight="1" x14ac:dyDescent="0.25">
      <c r="B432" s="17" t="s">
        <v>0</v>
      </c>
      <c r="C432" s="44" t="s">
        <v>62</v>
      </c>
      <c r="D432" s="22" t="s">
        <v>9</v>
      </c>
      <c r="E432" s="20">
        <v>2</v>
      </c>
      <c r="F432" s="17" t="s">
        <v>120</v>
      </c>
      <c r="G432" s="17" t="s">
        <v>193</v>
      </c>
      <c r="H432" s="17" t="s">
        <v>194</v>
      </c>
      <c r="I432" s="17" t="s">
        <v>195</v>
      </c>
      <c r="J432" s="27" t="s">
        <v>63</v>
      </c>
      <c r="K432" s="29">
        <v>674</v>
      </c>
      <c r="L432" s="31">
        <v>73408.999999573993</v>
      </c>
      <c r="M432" s="31">
        <v>30519.840000086999</v>
      </c>
      <c r="N432" s="31">
        <v>23755.569999915999</v>
      </c>
      <c r="O432" s="34">
        <f t="shared" si="56"/>
        <v>0.41575065727995358</v>
      </c>
      <c r="P432" s="34">
        <f t="shared" si="57"/>
        <v>0.77836482759569781</v>
      </c>
      <c r="Q432" s="34">
        <f t="shared" si="58"/>
        <v>0.58424934272004636</v>
      </c>
      <c r="R432" s="46">
        <f t="shared" si="59"/>
        <v>35.245652818866468</v>
      </c>
    </row>
    <row r="433" spans="2:18" ht="12.75" customHeight="1" x14ac:dyDescent="0.25">
      <c r="B433" s="17" t="s">
        <v>0</v>
      </c>
      <c r="C433" s="44" t="s">
        <v>84</v>
      </c>
      <c r="D433" s="22" t="s">
        <v>9</v>
      </c>
      <c r="E433" s="20">
        <v>2</v>
      </c>
      <c r="F433" s="17" t="s">
        <v>120</v>
      </c>
      <c r="G433" s="17" t="s">
        <v>193</v>
      </c>
      <c r="H433" s="17" t="s">
        <v>194</v>
      </c>
      <c r="I433" s="17" t="s">
        <v>195</v>
      </c>
      <c r="J433" s="27" t="s">
        <v>85</v>
      </c>
      <c r="K433" s="29">
        <v>199</v>
      </c>
      <c r="L433" s="31">
        <v>40467.849999939994</v>
      </c>
      <c r="M433" s="31">
        <v>23750.769999899996</v>
      </c>
      <c r="N433" s="31">
        <v>23552.100000090002</v>
      </c>
      <c r="O433" s="34">
        <f t="shared" si="56"/>
        <v>0.58690466629522486</v>
      </c>
      <c r="P433" s="34">
        <f t="shared" si="57"/>
        <v>0.99163521857140502</v>
      </c>
      <c r="Q433" s="34">
        <f t="shared" si="58"/>
        <v>0.41309533370477514</v>
      </c>
      <c r="R433" s="46">
        <f t="shared" si="59"/>
        <v>118.35226130698493</v>
      </c>
    </row>
    <row r="434" spans="2:18" ht="12.75" customHeight="1" x14ac:dyDescent="0.25">
      <c r="B434" s="17" t="s">
        <v>0</v>
      </c>
      <c r="C434" s="44" t="s">
        <v>30</v>
      </c>
      <c r="D434" s="22" t="s">
        <v>2</v>
      </c>
      <c r="E434" s="20">
        <v>1</v>
      </c>
      <c r="F434" s="17" t="s">
        <v>120</v>
      </c>
      <c r="G434" s="17" t="s">
        <v>193</v>
      </c>
      <c r="H434" s="17" t="s">
        <v>194</v>
      </c>
      <c r="I434" s="17" t="s">
        <v>195</v>
      </c>
      <c r="J434" s="27" t="s">
        <v>31</v>
      </c>
      <c r="K434" s="29">
        <v>817</v>
      </c>
      <c r="L434" s="31">
        <v>41004</v>
      </c>
      <c r="M434" s="31">
        <v>27342.920000047998</v>
      </c>
      <c r="N434" s="31">
        <v>20249.609999857999</v>
      </c>
      <c r="O434" s="34">
        <f t="shared" si="56"/>
        <v>0.66683543069085938</v>
      </c>
      <c r="P434" s="34">
        <f t="shared" si="57"/>
        <v>0.7405796454739455</v>
      </c>
      <c r="Q434" s="34">
        <f t="shared" si="58"/>
        <v>0.33316456930914062</v>
      </c>
      <c r="R434" s="46">
        <f t="shared" si="59"/>
        <v>24.785324357231332</v>
      </c>
    </row>
    <row r="435" spans="2:18" ht="12.75" customHeight="1" x14ac:dyDescent="0.25">
      <c r="B435" s="17" t="s">
        <v>0</v>
      </c>
      <c r="C435" s="44" t="s">
        <v>20</v>
      </c>
      <c r="D435" s="22" t="s">
        <v>9</v>
      </c>
      <c r="E435" s="20">
        <v>2</v>
      </c>
      <c r="F435" s="17" t="s">
        <v>120</v>
      </c>
      <c r="G435" s="17" t="s">
        <v>193</v>
      </c>
      <c r="H435" s="17" t="s">
        <v>194</v>
      </c>
      <c r="I435" s="17" t="s">
        <v>195</v>
      </c>
      <c r="J435" s="27" t="s">
        <v>21</v>
      </c>
      <c r="K435" s="29">
        <v>681</v>
      </c>
      <c r="L435" s="31">
        <v>204300</v>
      </c>
      <c r="M435" s="31">
        <v>22683.690000059996</v>
      </c>
      <c r="N435" s="31">
        <v>18024.770000283002</v>
      </c>
      <c r="O435" s="34">
        <f t="shared" si="56"/>
        <v>0.11103127753333332</v>
      </c>
      <c r="P435" s="34">
        <f t="shared" si="57"/>
        <v>0.79461366295498348</v>
      </c>
      <c r="Q435" s="34">
        <f t="shared" si="58"/>
        <v>0.88896872246666669</v>
      </c>
      <c r="R435" s="46">
        <f t="shared" si="59"/>
        <v>26.468091043000005</v>
      </c>
    </row>
    <row r="436" spans="2:18" ht="12.75" customHeight="1" x14ac:dyDescent="0.25">
      <c r="B436" s="17" t="s">
        <v>0</v>
      </c>
      <c r="C436" s="44" t="s">
        <v>66</v>
      </c>
      <c r="D436" s="22" t="s">
        <v>2</v>
      </c>
      <c r="E436" s="20">
        <v>1</v>
      </c>
      <c r="F436" s="17" t="s">
        <v>120</v>
      </c>
      <c r="G436" s="17" t="s">
        <v>193</v>
      </c>
      <c r="H436" s="17" t="s">
        <v>194</v>
      </c>
      <c r="I436" s="17" t="s">
        <v>195</v>
      </c>
      <c r="J436" s="27" t="s">
        <v>67</v>
      </c>
      <c r="K436" s="29">
        <v>677</v>
      </c>
      <c r="L436" s="31">
        <v>53433.290000289999</v>
      </c>
      <c r="M436" s="31">
        <v>24097.639999898998</v>
      </c>
      <c r="N436" s="31">
        <v>17937.019999995402</v>
      </c>
      <c r="O436" s="34">
        <f t="shared" ref="O436:O467" si="60">IFERROR(M436/L436,0)</f>
        <v>0.45098551857406149</v>
      </c>
      <c r="P436" s="34">
        <f t="shared" ref="P436:P467" si="61">IFERROR(N436/M436,0)</f>
        <v>0.74434757926795247</v>
      </c>
      <c r="Q436" s="34">
        <f t="shared" ref="Q436:Q467" si="62">IFERROR(1-(M436/L436),0)</f>
        <v>0.54901448142593856</v>
      </c>
      <c r="R436" s="46">
        <f t="shared" ref="R436:R467" si="63">IFERROR(N436/K436,0)</f>
        <v>26.494859675030135</v>
      </c>
    </row>
    <row r="437" spans="2:18" ht="12.75" customHeight="1" x14ac:dyDescent="0.25">
      <c r="B437" s="17" t="s">
        <v>0</v>
      </c>
      <c r="C437" s="44" t="s">
        <v>94</v>
      </c>
      <c r="D437" s="22" t="s">
        <v>9</v>
      </c>
      <c r="E437" s="20">
        <v>2</v>
      </c>
      <c r="F437" s="17" t="s">
        <v>120</v>
      </c>
      <c r="G437" s="17" t="s">
        <v>193</v>
      </c>
      <c r="H437" s="17" t="s">
        <v>194</v>
      </c>
      <c r="I437" s="17" t="s">
        <v>195</v>
      </c>
      <c r="J437" s="27" t="s">
        <v>95</v>
      </c>
      <c r="K437" s="29">
        <v>510</v>
      </c>
      <c r="L437" s="31">
        <v>49616.360000028006</v>
      </c>
      <c r="M437" s="31">
        <v>22518.460000145002</v>
      </c>
      <c r="N437" s="31">
        <v>17221.579999931</v>
      </c>
      <c r="O437" s="34">
        <f t="shared" si="60"/>
        <v>0.45385151188302186</v>
      </c>
      <c r="P437" s="34">
        <f t="shared" si="61"/>
        <v>0.76477609924569023</v>
      </c>
      <c r="Q437" s="34">
        <f t="shared" si="62"/>
        <v>0.54614848811697814</v>
      </c>
      <c r="R437" s="46">
        <f t="shared" si="63"/>
        <v>33.767803921433334</v>
      </c>
    </row>
    <row r="438" spans="2:18" ht="12.75" customHeight="1" x14ac:dyDescent="0.25">
      <c r="B438" s="17" t="s">
        <v>0</v>
      </c>
      <c r="C438" s="44" t="s">
        <v>40</v>
      </c>
      <c r="D438" s="22" t="s">
        <v>9</v>
      </c>
      <c r="E438" s="20">
        <v>2</v>
      </c>
      <c r="F438" s="17" t="s">
        <v>120</v>
      </c>
      <c r="G438" s="17" t="s">
        <v>193</v>
      </c>
      <c r="H438" s="17" t="s">
        <v>194</v>
      </c>
      <c r="I438" s="17" t="s">
        <v>195</v>
      </c>
      <c r="J438" s="27" t="s">
        <v>41</v>
      </c>
      <c r="K438" s="29">
        <v>415</v>
      </c>
      <c r="L438" s="31">
        <v>21925</v>
      </c>
      <c r="M438" s="31">
        <v>18973.300000054001</v>
      </c>
      <c r="N438" s="31">
        <v>14811.799999958001</v>
      </c>
      <c r="O438" s="34">
        <f t="shared" si="60"/>
        <v>0.8653728620321095</v>
      </c>
      <c r="P438" s="34">
        <f t="shared" si="61"/>
        <v>0.78066546145983273</v>
      </c>
      <c r="Q438" s="34">
        <f t="shared" si="62"/>
        <v>0.1346271379678905</v>
      </c>
      <c r="R438" s="46">
        <f t="shared" si="63"/>
        <v>35.691084337248192</v>
      </c>
    </row>
    <row r="439" spans="2:18" ht="12.75" customHeight="1" x14ac:dyDescent="0.25">
      <c r="B439" s="17" t="s">
        <v>0</v>
      </c>
      <c r="C439" s="44" t="s">
        <v>168</v>
      </c>
      <c r="D439" s="22" t="s">
        <v>2</v>
      </c>
      <c r="E439" s="20">
        <v>1</v>
      </c>
      <c r="F439" s="17" t="s">
        <v>120</v>
      </c>
      <c r="G439" s="17" t="s">
        <v>193</v>
      </c>
      <c r="H439" s="17" t="s">
        <v>194</v>
      </c>
      <c r="I439" s="17" t="s">
        <v>195</v>
      </c>
      <c r="J439" s="27" t="s">
        <v>169</v>
      </c>
      <c r="K439" s="29">
        <v>576</v>
      </c>
      <c r="L439" s="31">
        <v>63360</v>
      </c>
      <c r="M439" s="31">
        <v>12634.330000131999</v>
      </c>
      <c r="N439" s="31">
        <v>12634.330000131999</v>
      </c>
      <c r="O439" s="34">
        <f t="shared" si="60"/>
        <v>0.19940546086066918</v>
      </c>
      <c r="P439" s="34">
        <f t="shared" si="61"/>
        <v>1</v>
      </c>
      <c r="Q439" s="34">
        <f t="shared" si="62"/>
        <v>0.80059453913933076</v>
      </c>
      <c r="R439" s="46">
        <f t="shared" si="63"/>
        <v>21.934600694673609</v>
      </c>
    </row>
    <row r="440" spans="2:18" ht="12.75" customHeight="1" x14ac:dyDescent="0.25">
      <c r="B440" s="17" t="s">
        <v>0</v>
      </c>
      <c r="C440" s="44" t="s">
        <v>22</v>
      </c>
      <c r="D440" s="22" t="s">
        <v>9</v>
      </c>
      <c r="E440" s="20">
        <v>2</v>
      </c>
      <c r="F440" s="17" t="s">
        <v>120</v>
      </c>
      <c r="G440" s="17" t="s">
        <v>193</v>
      </c>
      <c r="H440" s="17" t="s">
        <v>194</v>
      </c>
      <c r="I440" s="17" t="s">
        <v>195</v>
      </c>
      <c r="J440" s="27" t="s">
        <v>23</v>
      </c>
      <c r="K440" s="29">
        <v>393</v>
      </c>
      <c r="L440" s="31">
        <v>29499.000000001299</v>
      </c>
      <c r="M440" s="31">
        <v>11995.519999993601</v>
      </c>
      <c r="N440" s="31">
        <v>9390.6499999961998</v>
      </c>
      <c r="O440" s="34">
        <f t="shared" si="60"/>
        <v>0.40664158107030995</v>
      </c>
      <c r="P440" s="34">
        <f t="shared" si="61"/>
        <v>0.78284642933371862</v>
      </c>
      <c r="Q440" s="34">
        <f t="shared" si="62"/>
        <v>0.5933584189296901</v>
      </c>
      <c r="R440" s="46">
        <f t="shared" si="63"/>
        <v>23.894783715003054</v>
      </c>
    </row>
    <row r="441" spans="2:18" ht="12.75" customHeight="1" x14ac:dyDescent="0.25">
      <c r="B441" s="17" t="s">
        <v>0</v>
      </c>
      <c r="C441" s="44" t="s">
        <v>14</v>
      </c>
      <c r="D441" s="22" t="s">
        <v>2</v>
      </c>
      <c r="E441" s="20">
        <v>1</v>
      </c>
      <c r="F441" s="17" t="s">
        <v>120</v>
      </c>
      <c r="G441" s="17" t="s">
        <v>193</v>
      </c>
      <c r="H441" s="17" t="s">
        <v>194</v>
      </c>
      <c r="I441" s="17" t="s">
        <v>195</v>
      </c>
      <c r="J441" s="27" t="s">
        <v>15</v>
      </c>
      <c r="K441" s="29">
        <v>344</v>
      </c>
      <c r="L441" s="31">
        <v>55481</v>
      </c>
      <c r="M441" s="31">
        <v>11647.380000055</v>
      </c>
      <c r="N441" s="31">
        <v>8680.3500000130007</v>
      </c>
      <c r="O441" s="34">
        <f t="shared" si="60"/>
        <v>0.20993457219687822</v>
      </c>
      <c r="P441" s="34">
        <f t="shared" si="61"/>
        <v>0.74526202459025215</v>
      </c>
      <c r="Q441" s="34">
        <f t="shared" si="62"/>
        <v>0.79006542780312183</v>
      </c>
      <c r="R441" s="46">
        <f t="shared" si="63"/>
        <v>25.23357558143314</v>
      </c>
    </row>
    <row r="442" spans="2:18" ht="12.75" customHeight="1" x14ac:dyDescent="0.25">
      <c r="B442" s="17" t="s">
        <v>0</v>
      </c>
      <c r="C442" s="44" t="s">
        <v>153</v>
      </c>
      <c r="D442" s="22" t="s">
        <v>9</v>
      </c>
      <c r="E442" s="20">
        <v>2</v>
      </c>
      <c r="F442" s="17" t="s">
        <v>120</v>
      </c>
      <c r="G442" s="17" t="s">
        <v>193</v>
      </c>
      <c r="H442" s="17" t="s">
        <v>194</v>
      </c>
      <c r="I442" s="17" t="s">
        <v>195</v>
      </c>
      <c r="J442" s="27" t="s">
        <v>154</v>
      </c>
      <c r="K442" s="29">
        <v>213</v>
      </c>
      <c r="L442" s="31">
        <v>15112.639999987001</v>
      </c>
      <c r="M442" s="31">
        <v>9662.1399999509995</v>
      </c>
      <c r="N442" s="31">
        <v>7479.0700000760007</v>
      </c>
      <c r="O442" s="34">
        <f t="shared" si="60"/>
        <v>0.63934163719636738</v>
      </c>
      <c r="P442" s="34">
        <f t="shared" si="61"/>
        <v>0.77405936988223412</v>
      </c>
      <c r="Q442" s="34">
        <f t="shared" si="62"/>
        <v>0.36065836280363262</v>
      </c>
      <c r="R442" s="46">
        <f t="shared" si="63"/>
        <v>35.113004695192494</v>
      </c>
    </row>
    <row r="443" spans="2:18" ht="12.75" customHeight="1" x14ac:dyDescent="0.25">
      <c r="B443" s="17" t="s">
        <v>0</v>
      </c>
      <c r="C443" s="44" t="s">
        <v>26</v>
      </c>
      <c r="D443" s="22" t="s">
        <v>9</v>
      </c>
      <c r="E443" s="20">
        <v>2</v>
      </c>
      <c r="F443" s="17" t="s">
        <v>120</v>
      </c>
      <c r="G443" s="17" t="s">
        <v>193</v>
      </c>
      <c r="H443" s="17" t="s">
        <v>194</v>
      </c>
      <c r="I443" s="17" t="s">
        <v>195</v>
      </c>
      <c r="J443" s="27" t="s">
        <v>27</v>
      </c>
      <c r="K443" s="29">
        <v>365</v>
      </c>
      <c r="L443" s="31">
        <v>22268.000000005202</v>
      </c>
      <c r="M443" s="31">
        <v>8885.1100000544993</v>
      </c>
      <c r="N443" s="31">
        <v>6847.6600000243998</v>
      </c>
      <c r="O443" s="34">
        <f t="shared" si="60"/>
        <v>0.39900799353567556</v>
      </c>
      <c r="P443" s="34">
        <f t="shared" si="61"/>
        <v>0.77068938932465636</v>
      </c>
      <c r="Q443" s="34">
        <f t="shared" si="62"/>
        <v>0.60099200646432438</v>
      </c>
      <c r="R443" s="46">
        <f t="shared" si="63"/>
        <v>18.760712328833971</v>
      </c>
    </row>
    <row r="444" spans="2:18" ht="12.75" customHeight="1" x14ac:dyDescent="0.25">
      <c r="B444" s="17" t="s">
        <v>0</v>
      </c>
      <c r="C444" s="44" t="s">
        <v>24</v>
      </c>
      <c r="D444" s="22" t="s">
        <v>2</v>
      </c>
      <c r="E444" s="20">
        <v>1</v>
      </c>
      <c r="F444" s="17" t="s">
        <v>120</v>
      </c>
      <c r="G444" s="17" t="s">
        <v>193</v>
      </c>
      <c r="H444" s="17" t="s">
        <v>194</v>
      </c>
      <c r="I444" s="17" t="s">
        <v>195</v>
      </c>
      <c r="J444" s="27" t="s">
        <v>25</v>
      </c>
      <c r="K444" s="29">
        <v>142</v>
      </c>
      <c r="L444" s="31">
        <v>40719</v>
      </c>
      <c r="M444" s="31">
        <v>7513.6300000039992</v>
      </c>
      <c r="N444" s="31">
        <v>5948.1299999840003</v>
      </c>
      <c r="O444" s="34">
        <f t="shared" si="60"/>
        <v>0.18452393231670716</v>
      </c>
      <c r="P444" s="34">
        <f t="shared" si="61"/>
        <v>0.79164531657545478</v>
      </c>
      <c r="Q444" s="34">
        <f t="shared" si="62"/>
        <v>0.81547606768329284</v>
      </c>
      <c r="R444" s="46">
        <f t="shared" si="63"/>
        <v>41.888239436507043</v>
      </c>
    </row>
    <row r="445" spans="2:18" ht="12.75" customHeight="1" x14ac:dyDescent="0.25">
      <c r="B445" s="17" t="s">
        <v>0</v>
      </c>
      <c r="C445" s="44" t="s">
        <v>18</v>
      </c>
      <c r="D445" s="22" t="s">
        <v>9</v>
      </c>
      <c r="E445" s="20">
        <v>2</v>
      </c>
      <c r="F445" s="17" t="s">
        <v>120</v>
      </c>
      <c r="G445" s="17" t="s">
        <v>193</v>
      </c>
      <c r="H445" s="17" t="s">
        <v>194</v>
      </c>
      <c r="I445" s="17" t="s">
        <v>195</v>
      </c>
      <c r="J445" s="27" t="s">
        <v>19</v>
      </c>
      <c r="K445" s="29">
        <v>203</v>
      </c>
      <c r="L445" s="31">
        <v>13925.9999999998</v>
      </c>
      <c r="M445" s="31">
        <v>6777.1399999567002</v>
      </c>
      <c r="N445" s="31">
        <v>5256.2199999608993</v>
      </c>
      <c r="O445" s="34">
        <f t="shared" si="60"/>
        <v>0.48665374120040195</v>
      </c>
      <c r="P445" s="34">
        <f t="shared" si="61"/>
        <v>0.77558084973816122</v>
      </c>
      <c r="Q445" s="34">
        <f t="shared" si="62"/>
        <v>0.51334625879959805</v>
      </c>
      <c r="R445" s="46">
        <f t="shared" si="63"/>
        <v>25.892709359413296</v>
      </c>
    </row>
    <row r="446" spans="2:18" ht="12.75" customHeight="1" x14ac:dyDescent="0.25">
      <c r="B446" s="17" t="s">
        <v>0</v>
      </c>
      <c r="C446" s="44" t="s">
        <v>54</v>
      </c>
      <c r="D446" s="22" t="s">
        <v>2</v>
      </c>
      <c r="E446" s="20">
        <v>1</v>
      </c>
      <c r="F446" s="17" t="s">
        <v>120</v>
      </c>
      <c r="G446" s="17" t="s">
        <v>193</v>
      </c>
      <c r="H446" s="17" t="s">
        <v>194</v>
      </c>
      <c r="I446" s="17" t="s">
        <v>195</v>
      </c>
      <c r="J446" s="27" t="s">
        <v>55</v>
      </c>
      <c r="K446" s="29">
        <v>197</v>
      </c>
      <c r="L446" s="31">
        <v>9850</v>
      </c>
      <c r="M446" s="31">
        <v>6647.579999941001</v>
      </c>
      <c r="N446" s="31">
        <v>5065.6400000650001</v>
      </c>
      <c r="O446" s="34">
        <f t="shared" si="60"/>
        <v>0.67488121826812197</v>
      </c>
      <c r="P446" s="34">
        <f t="shared" si="61"/>
        <v>0.76202768527944886</v>
      </c>
      <c r="Q446" s="34">
        <f t="shared" si="62"/>
        <v>0.32511878173187803</v>
      </c>
      <c r="R446" s="46">
        <f t="shared" si="63"/>
        <v>25.713908629771574</v>
      </c>
    </row>
    <row r="447" spans="2:18" ht="12.75" customHeight="1" x14ac:dyDescent="0.25">
      <c r="B447" s="17" t="s">
        <v>0</v>
      </c>
      <c r="C447" s="44" t="s">
        <v>180</v>
      </c>
      <c r="D447" s="22" t="s">
        <v>9</v>
      </c>
      <c r="E447" s="20">
        <v>2</v>
      </c>
      <c r="F447" s="17" t="s">
        <v>120</v>
      </c>
      <c r="G447" s="17" t="s">
        <v>193</v>
      </c>
      <c r="H447" s="17" t="s">
        <v>194</v>
      </c>
      <c r="I447" s="17" t="s">
        <v>195</v>
      </c>
      <c r="J447" s="27" t="s">
        <v>181</v>
      </c>
      <c r="K447" s="29">
        <v>117</v>
      </c>
      <c r="L447" s="31">
        <v>11926.98</v>
      </c>
      <c r="M447" s="31">
        <v>4052.9600000369996</v>
      </c>
      <c r="N447" s="31">
        <v>3149.289999999</v>
      </c>
      <c r="O447" s="34">
        <f t="shared" si="60"/>
        <v>0.3398144375220718</v>
      </c>
      <c r="P447" s="34">
        <f t="shared" si="61"/>
        <v>0.77703456238656443</v>
      </c>
      <c r="Q447" s="34">
        <f t="shared" si="62"/>
        <v>0.66018556247792826</v>
      </c>
      <c r="R447" s="46">
        <f t="shared" si="63"/>
        <v>26.917008546999998</v>
      </c>
    </row>
    <row r="448" spans="2:18" ht="12.75" customHeight="1" x14ac:dyDescent="0.25">
      <c r="B448" s="17" t="s">
        <v>0</v>
      </c>
      <c r="C448" s="44" t="s">
        <v>36</v>
      </c>
      <c r="D448" s="22" t="s">
        <v>2</v>
      </c>
      <c r="E448" s="20">
        <v>1</v>
      </c>
      <c r="F448" s="17" t="s">
        <v>120</v>
      </c>
      <c r="G448" s="17" t="s">
        <v>193</v>
      </c>
      <c r="H448" s="17" t="s">
        <v>194</v>
      </c>
      <c r="I448" s="17" t="s">
        <v>195</v>
      </c>
      <c r="J448" s="27" t="s">
        <v>37</v>
      </c>
      <c r="K448" s="29">
        <v>60</v>
      </c>
      <c r="L448" s="31">
        <v>9960</v>
      </c>
      <c r="M448" s="31">
        <v>3667.4000000040005</v>
      </c>
      <c r="N448" s="31">
        <v>2921.869999992</v>
      </c>
      <c r="O448" s="34">
        <f t="shared" si="60"/>
        <v>0.36821285140602417</v>
      </c>
      <c r="P448" s="34">
        <f t="shared" si="61"/>
        <v>0.79671429350188494</v>
      </c>
      <c r="Q448" s="34">
        <f t="shared" si="62"/>
        <v>0.63178714859397589</v>
      </c>
      <c r="R448" s="46">
        <f t="shared" si="63"/>
        <v>48.697833333200002</v>
      </c>
    </row>
    <row r="449" spans="2:18" ht="12.75" customHeight="1" x14ac:dyDescent="0.25">
      <c r="B449" s="17" t="s">
        <v>0</v>
      </c>
      <c r="C449" s="44" t="s">
        <v>131</v>
      </c>
      <c r="D449" s="22" t="s">
        <v>9</v>
      </c>
      <c r="E449" s="20">
        <v>2</v>
      </c>
      <c r="F449" s="17" t="s">
        <v>120</v>
      </c>
      <c r="G449" s="17" t="s">
        <v>193</v>
      </c>
      <c r="H449" s="17" t="s">
        <v>194</v>
      </c>
      <c r="I449" s="17" t="s">
        <v>195</v>
      </c>
      <c r="J449" s="27" t="s">
        <v>132</v>
      </c>
      <c r="K449" s="29">
        <v>44</v>
      </c>
      <c r="L449" s="31">
        <v>15975</v>
      </c>
      <c r="M449" s="31">
        <v>3643.1199999820001</v>
      </c>
      <c r="N449" s="31">
        <v>2902.5800000130002</v>
      </c>
      <c r="O449" s="34">
        <f t="shared" si="60"/>
        <v>0.22805133020231613</v>
      </c>
      <c r="P449" s="34">
        <f t="shared" si="61"/>
        <v>0.79672917719628811</v>
      </c>
      <c r="Q449" s="34">
        <f t="shared" si="62"/>
        <v>0.77194866979768384</v>
      </c>
      <c r="R449" s="46">
        <f t="shared" si="63"/>
        <v>65.967727273022732</v>
      </c>
    </row>
    <row r="450" spans="2:18" ht="12.75" customHeight="1" x14ac:dyDescent="0.25">
      <c r="B450" s="17" t="s">
        <v>0</v>
      </c>
      <c r="C450" s="44" t="s">
        <v>196</v>
      </c>
      <c r="D450" s="22" t="s">
        <v>9</v>
      </c>
      <c r="E450" s="20">
        <v>2</v>
      </c>
      <c r="F450" s="17" t="s">
        <v>120</v>
      </c>
      <c r="G450" s="17" t="s">
        <v>193</v>
      </c>
      <c r="H450" s="17" t="s">
        <v>194</v>
      </c>
      <c r="I450" s="17" t="s">
        <v>195</v>
      </c>
      <c r="J450" s="27" t="s">
        <v>197</v>
      </c>
      <c r="K450" s="29">
        <v>96</v>
      </c>
      <c r="L450" s="31">
        <v>7200</v>
      </c>
      <c r="M450" s="31">
        <v>3988.0199999999995</v>
      </c>
      <c r="N450" s="31">
        <v>2683.4800000320001</v>
      </c>
      <c r="O450" s="34">
        <f t="shared" si="60"/>
        <v>0.55389166666666656</v>
      </c>
      <c r="P450" s="34">
        <f t="shared" si="61"/>
        <v>0.67288529145591058</v>
      </c>
      <c r="Q450" s="34">
        <f t="shared" si="62"/>
        <v>0.44610833333333344</v>
      </c>
      <c r="R450" s="46">
        <f t="shared" si="63"/>
        <v>27.952916667</v>
      </c>
    </row>
    <row r="451" spans="2:18" ht="12.75" customHeight="1" x14ac:dyDescent="0.25">
      <c r="B451" s="17" t="s">
        <v>0</v>
      </c>
      <c r="C451" s="44" t="s">
        <v>145</v>
      </c>
      <c r="D451" s="22" t="s">
        <v>2</v>
      </c>
      <c r="E451" s="20">
        <v>1</v>
      </c>
      <c r="F451" s="17" t="s">
        <v>120</v>
      </c>
      <c r="G451" s="17" t="s">
        <v>193</v>
      </c>
      <c r="H451" s="17" t="s">
        <v>194</v>
      </c>
      <c r="I451" s="17" t="s">
        <v>195</v>
      </c>
      <c r="J451" s="27" t="s">
        <v>146</v>
      </c>
      <c r="K451" s="29">
        <v>115</v>
      </c>
      <c r="L451" s="31">
        <v>10810</v>
      </c>
      <c r="M451" s="31">
        <v>3902.9899999700001</v>
      </c>
      <c r="N451" s="31">
        <v>2664.2800000100001</v>
      </c>
      <c r="O451" s="34">
        <f t="shared" si="60"/>
        <v>0.36105365402127659</v>
      </c>
      <c r="P451" s="34">
        <f t="shared" si="61"/>
        <v>0.68262537183812377</v>
      </c>
      <c r="Q451" s="34">
        <f t="shared" si="62"/>
        <v>0.63894634597872346</v>
      </c>
      <c r="R451" s="46">
        <f t="shared" si="63"/>
        <v>23.167652174000001</v>
      </c>
    </row>
    <row r="452" spans="2:18" ht="12.75" customHeight="1" x14ac:dyDescent="0.25">
      <c r="B452" s="17" t="s">
        <v>0</v>
      </c>
      <c r="C452" s="44" t="s">
        <v>96</v>
      </c>
      <c r="D452" s="22" t="s">
        <v>9</v>
      </c>
      <c r="E452" s="20">
        <v>2</v>
      </c>
      <c r="F452" s="17" t="s">
        <v>120</v>
      </c>
      <c r="G452" s="17" t="s">
        <v>193</v>
      </c>
      <c r="H452" s="17" t="s">
        <v>194</v>
      </c>
      <c r="I452" s="17" t="s">
        <v>195</v>
      </c>
      <c r="J452" s="27" t="s">
        <v>97</v>
      </c>
      <c r="K452" s="29">
        <v>892</v>
      </c>
      <c r="L452" s="31">
        <v>14106.999999968</v>
      </c>
      <c r="M452" s="31">
        <v>3094.3499999560995</v>
      </c>
      <c r="N452" s="31">
        <v>2263.2999999849999</v>
      </c>
      <c r="O452" s="34">
        <f t="shared" si="60"/>
        <v>0.21934855036245257</v>
      </c>
      <c r="P452" s="34">
        <f t="shared" si="61"/>
        <v>0.73142986411269251</v>
      </c>
      <c r="Q452" s="34">
        <f t="shared" si="62"/>
        <v>0.7806514496375474</v>
      </c>
      <c r="R452" s="46">
        <f t="shared" si="63"/>
        <v>2.537331838548206</v>
      </c>
    </row>
    <row r="453" spans="2:18" ht="12.75" customHeight="1" x14ac:dyDescent="0.25">
      <c r="B453" s="17" t="s">
        <v>0</v>
      </c>
      <c r="C453" s="44" t="s">
        <v>151</v>
      </c>
      <c r="D453" s="22" t="s">
        <v>2</v>
      </c>
      <c r="E453" s="20">
        <v>1</v>
      </c>
      <c r="F453" s="17" t="s">
        <v>120</v>
      </c>
      <c r="G453" s="17" t="s">
        <v>193</v>
      </c>
      <c r="H453" s="17" t="s">
        <v>194</v>
      </c>
      <c r="I453" s="17" t="s">
        <v>195</v>
      </c>
      <c r="J453" s="27" t="s">
        <v>152</v>
      </c>
      <c r="K453" s="29">
        <v>75</v>
      </c>
      <c r="L453" s="31">
        <v>14559.999999954001</v>
      </c>
      <c r="M453" s="31">
        <v>2631.769999995</v>
      </c>
      <c r="N453" s="31">
        <v>2070.1999999889999</v>
      </c>
      <c r="O453" s="34">
        <f t="shared" si="60"/>
        <v>0.18075343406616171</v>
      </c>
      <c r="P453" s="34">
        <f t="shared" si="61"/>
        <v>0.78661889146579411</v>
      </c>
      <c r="Q453" s="34">
        <f t="shared" si="62"/>
        <v>0.81924656593383827</v>
      </c>
      <c r="R453" s="46">
        <f t="shared" si="63"/>
        <v>27.602666666519998</v>
      </c>
    </row>
    <row r="454" spans="2:18" ht="12.75" customHeight="1" x14ac:dyDescent="0.25">
      <c r="B454" s="17" t="s">
        <v>0</v>
      </c>
      <c r="C454" s="44" t="s">
        <v>82</v>
      </c>
      <c r="D454" s="22" t="s">
        <v>2</v>
      </c>
      <c r="E454" s="20">
        <v>1</v>
      </c>
      <c r="F454" s="17" t="s">
        <v>120</v>
      </c>
      <c r="G454" s="17" t="s">
        <v>193</v>
      </c>
      <c r="H454" s="17" t="s">
        <v>194</v>
      </c>
      <c r="I454" s="17" t="s">
        <v>195</v>
      </c>
      <c r="J454" s="27" t="s">
        <v>83</v>
      </c>
      <c r="K454" s="29">
        <v>79</v>
      </c>
      <c r="L454" s="31">
        <v>7426</v>
      </c>
      <c r="M454" s="31">
        <v>2586.7599999980002</v>
      </c>
      <c r="N454" s="31">
        <v>1875.9800000250002</v>
      </c>
      <c r="O454" s="34">
        <f t="shared" si="60"/>
        <v>0.34833827093967146</v>
      </c>
      <c r="P454" s="34">
        <f t="shared" si="61"/>
        <v>0.72522383213999386</v>
      </c>
      <c r="Q454" s="34">
        <f t="shared" si="62"/>
        <v>0.6516617290603286</v>
      </c>
      <c r="R454" s="46">
        <f t="shared" si="63"/>
        <v>23.746582278797472</v>
      </c>
    </row>
    <row r="455" spans="2:18" ht="12.75" customHeight="1" x14ac:dyDescent="0.25">
      <c r="B455" s="17" t="s">
        <v>0</v>
      </c>
      <c r="C455" s="44" t="s">
        <v>46</v>
      </c>
      <c r="D455" s="22" t="s">
        <v>2</v>
      </c>
      <c r="E455" s="20">
        <v>1</v>
      </c>
      <c r="F455" s="17" t="s">
        <v>120</v>
      </c>
      <c r="G455" s="17" t="s">
        <v>193</v>
      </c>
      <c r="H455" s="17" t="s">
        <v>194</v>
      </c>
      <c r="I455" s="17" t="s">
        <v>195</v>
      </c>
      <c r="J455" s="27" t="s">
        <v>47</v>
      </c>
      <c r="K455" s="29">
        <v>148</v>
      </c>
      <c r="L455" s="31">
        <v>7338.8400000050005</v>
      </c>
      <c r="M455" s="31">
        <v>2220.6000000008999</v>
      </c>
      <c r="N455" s="31">
        <v>1740.5300000051</v>
      </c>
      <c r="O455" s="34">
        <f t="shared" si="60"/>
        <v>0.3025818794250027</v>
      </c>
      <c r="P455" s="34">
        <f t="shared" si="61"/>
        <v>0.78381068179969138</v>
      </c>
      <c r="Q455" s="34">
        <f t="shared" si="62"/>
        <v>0.6974181205749973</v>
      </c>
      <c r="R455" s="46">
        <f t="shared" si="63"/>
        <v>11.760337837872298</v>
      </c>
    </row>
    <row r="456" spans="2:18" ht="12.75" customHeight="1" x14ac:dyDescent="0.25">
      <c r="B456" s="17" t="s">
        <v>0</v>
      </c>
      <c r="C456" s="44" t="s">
        <v>159</v>
      </c>
      <c r="D456" s="22" t="s">
        <v>9</v>
      </c>
      <c r="E456" s="20">
        <v>2</v>
      </c>
      <c r="F456" s="17" t="s">
        <v>120</v>
      </c>
      <c r="G456" s="17" t="s">
        <v>193</v>
      </c>
      <c r="H456" s="17" t="s">
        <v>194</v>
      </c>
      <c r="I456" s="17" t="s">
        <v>195</v>
      </c>
      <c r="J456" s="27" t="s">
        <v>160</v>
      </c>
      <c r="K456" s="29">
        <v>64</v>
      </c>
      <c r="L456" s="31">
        <v>9536</v>
      </c>
      <c r="M456" s="31">
        <v>2183.0899999899998</v>
      </c>
      <c r="N456" s="31">
        <v>1681.4300000120002</v>
      </c>
      <c r="O456" s="34">
        <f t="shared" si="60"/>
        <v>0.22893141778418621</v>
      </c>
      <c r="P456" s="34">
        <f t="shared" si="61"/>
        <v>0.77020645049892689</v>
      </c>
      <c r="Q456" s="34">
        <f t="shared" si="62"/>
        <v>0.77106858221581376</v>
      </c>
      <c r="R456" s="46">
        <f t="shared" si="63"/>
        <v>26.272343750187503</v>
      </c>
    </row>
    <row r="457" spans="2:18" ht="12.75" customHeight="1" x14ac:dyDescent="0.25">
      <c r="B457" s="17" t="s">
        <v>0</v>
      </c>
      <c r="C457" s="44" t="s">
        <v>50</v>
      </c>
      <c r="D457" s="22" t="s">
        <v>2</v>
      </c>
      <c r="E457" s="20">
        <v>1</v>
      </c>
      <c r="F457" s="17" t="s">
        <v>120</v>
      </c>
      <c r="G457" s="17" t="s">
        <v>193</v>
      </c>
      <c r="H457" s="17" t="s">
        <v>194</v>
      </c>
      <c r="I457" s="17" t="s">
        <v>195</v>
      </c>
      <c r="J457" s="27" t="s">
        <v>51</v>
      </c>
      <c r="K457" s="29">
        <v>57</v>
      </c>
      <c r="L457" s="31">
        <v>6760</v>
      </c>
      <c r="M457" s="31">
        <v>1863.1999999997997</v>
      </c>
      <c r="N457" s="31">
        <v>1484.5100000004002</v>
      </c>
      <c r="O457" s="34">
        <f t="shared" si="60"/>
        <v>0.27562130177511829</v>
      </c>
      <c r="P457" s="34">
        <f t="shared" si="61"/>
        <v>0.79675289823988826</v>
      </c>
      <c r="Q457" s="34">
        <f t="shared" si="62"/>
        <v>0.72437869822488166</v>
      </c>
      <c r="R457" s="46">
        <f t="shared" si="63"/>
        <v>26.044035087726318</v>
      </c>
    </row>
    <row r="458" spans="2:18" ht="12.75" customHeight="1" x14ac:dyDescent="0.25">
      <c r="B458" s="17" t="s">
        <v>0</v>
      </c>
      <c r="C458" s="44" t="s">
        <v>170</v>
      </c>
      <c r="D458" s="22" t="s">
        <v>2</v>
      </c>
      <c r="E458" s="20">
        <v>1</v>
      </c>
      <c r="F458" s="17" t="s">
        <v>120</v>
      </c>
      <c r="G458" s="17" t="s">
        <v>193</v>
      </c>
      <c r="H458" s="17" t="s">
        <v>194</v>
      </c>
      <c r="I458" s="17" t="s">
        <v>195</v>
      </c>
      <c r="J458" s="27" t="s">
        <v>171</v>
      </c>
      <c r="K458" s="29">
        <v>230</v>
      </c>
      <c r="L458" s="31">
        <v>24474.000000029999</v>
      </c>
      <c r="M458" s="31">
        <v>2013.1399999968999</v>
      </c>
      <c r="N458" s="31">
        <v>1464.8699999977998</v>
      </c>
      <c r="O458" s="34">
        <f t="shared" si="60"/>
        <v>8.2256271961854713E-2</v>
      </c>
      <c r="P458" s="34">
        <f t="shared" si="61"/>
        <v>0.72765431117560408</v>
      </c>
      <c r="Q458" s="34">
        <f t="shared" si="62"/>
        <v>0.9177437280381453</v>
      </c>
      <c r="R458" s="46">
        <f t="shared" si="63"/>
        <v>6.3689999999904341</v>
      </c>
    </row>
    <row r="459" spans="2:18" ht="12.75" customHeight="1" x14ac:dyDescent="0.25">
      <c r="B459" s="17" t="s">
        <v>0</v>
      </c>
      <c r="C459" s="44" t="s">
        <v>82</v>
      </c>
      <c r="D459" s="22" t="s">
        <v>9</v>
      </c>
      <c r="E459" s="20">
        <v>2</v>
      </c>
      <c r="F459" s="17" t="s">
        <v>120</v>
      </c>
      <c r="G459" s="17" t="s">
        <v>193</v>
      </c>
      <c r="H459" s="17" t="s">
        <v>194</v>
      </c>
      <c r="I459" s="17" t="s">
        <v>195</v>
      </c>
      <c r="J459" s="27" t="s">
        <v>83</v>
      </c>
      <c r="K459" s="29">
        <v>67</v>
      </c>
      <c r="L459" s="31">
        <v>6298</v>
      </c>
      <c r="M459" s="31">
        <v>2239.1600000019998</v>
      </c>
      <c r="N459" s="31">
        <v>1435.9800000180001</v>
      </c>
      <c r="O459" s="34">
        <f t="shared" si="60"/>
        <v>0.35553509050523974</v>
      </c>
      <c r="P459" s="34">
        <f t="shared" si="61"/>
        <v>0.64130298862819879</v>
      </c>
      <c r="Q459" s="34">
        <f t="shared" si="62"/>
        <v>0.64446490949476032</v>
      </c>
      <c r="R459" s="46">
        <f t="shared" si="63"/>
        <v>21.432537313701495</v>
      </c>
    </row>
    <row r="460" spans="2:18" ht="12.75" customHeight="1" x14ac:dyDescent="0.25">
      <c r="B460" s="17" t="s">
        <v>0</v>
      </c>
      <c r="C460" s="44" t="s">
        <v>135</v>
      </c>
      <c r="D460" s="22" t="s">
        <v>9</v>
      </c>
      <c r="E460" s="20">
        <v>2</v>
      </c>
      <c r="F460" s="17" t="s">
        <v>120</v>
      </c>
      <c r="G460" s="17" t="s">
        <v>193</v>
      </c>
      <c r="H460" s="17" t="s">
        <v>194</v>
      </c>
      <c r="I460" s="17" t="s">
        <v>195</v>
      </c>
      <c r="J460" s="27" t="s">
        <v>136</v>
      </c>
      <c r="K460" s="29">
        <v>79</v>
      </c>
      <c r="L460" s="31">
        <v>2374.3399999949997</v>
      </c>
      <c r="M460" s="31">
        <v>2095.59</v>
      </c>
      <c r="N460" s="31">
        <v>1427.53</v>
      </c>
      <c r="O460" s="34">
        <f t="shared" si="60"/>
        <v>0.88259895381639253</v>
      </c>
      <c r="P460" s="34">
        <f t="shared" si="61"/>
        <v>0.68120672459784593</v>
      </c>
      <c r="Q460" s="34">
        <f t="shared" si="62"/>
        <v>0.11740104618360747</v>
      </c>
      <c r="R460" s="46">
        <f t="shared" si="63"/>
        <v>18.07</v>
      </c>
    </row>
    <row r="461" spans="2:18" ht="12.75" customHeight="1" x14ac:dyDescent="0.25">
      <c r="B461" s="17" t="s">
        <v>0</v>
      </c>
      <c r="C461" s="44" t="s">
        <v>36</v>
      </c>
      <c r="D461" s="22" t="s">
        <v>9</v>
      </c>
      <c r="E461" s="20">
        <v>2</v>
      </c>
      <c r="F461" s="17" t="s">
        <v>120</v>
      </c>
      <c r="G461" s="17" t="s">
        <v>193</v>
      </c>
      <c r="H461" s="17" t="s">
        <v>194</v>
      </c>
      <c r="I461" s="17" t="s">
        <v>195</v>
      </c>
      <c r="J461" s="27" t="s">
        <v>37</v>
      </c>
      <c r="K461" s="29">
        <v>36</v>
      </c>
      <c r="L461" s="31">
        <v>3538.0000000079999</v>
      </c>
      <c r="M461" s="31">
        <v>1733.4600000119999</v>
      </c>
      <c r="N461" s="31">
        <v>1380.9800000160001</v>
      </c>
      <c r="O461" s="34">
        <f t="shared" si="60"/>
        <v>0.48995477671228954</v>
      </c>
      <c r="P461" s="34">
        <f t="shared" si="61"/>
        <v>0.7966610132373636</v>
      </c>
      <c r="Q461" s="34">
        <f t="shared" si="62"/>
        <v>0.5100452232877104</v>
      </c>
      <c r="R461" s="46">
        <f t="shared" si="63"/>
        <v>38.360555556000001</v>
      </c>
    </row>
    <row r="462" spans="2:18" ht="12.75" customHeight="1" x14ac:dyDescent="0.25">
      <c r="B462" s="17" t="s">
        <v>0</v>
      </c>
      <c r="C462" s="44" t="s">
        <v>114</v>
      </c>
      <c r="D462" s="22" t="s">
        <v>2</v>
      </c>
      <c r="E462" s="20">
        <v>1</v>
      </c>
      <c r="F462" s="17" t="s">
        <v>120</v>
      </c>
      <c r="G462" s="17" t="s">
        <v>193</v>
      </c>
      <c r="H462" s="17" t="s">
        <v>194</v>
      </c>
      <c r="I462" s="17" t="s">
        <v>195</v>
      </c>
      <c r="J462" s="27" t="s">
        <v>118</v>
      </c>
      <c r="K462" s="29">
        <v>48</v>
      </c>
      <c r="L462" s="31">
        <v>4800</v>
      </c>
      <c r="M462" s="31">
        <v>1711.7400000000002</v>
      </c>
      <c r="N462" s="31">
        <v>1363.8600000000001</v>
      </c>
      <c r="O462" s="34">
        <f t="shared" si="60"/>
        <v>0.35661250000000005</v>
      </c>
      <c r="P462" s="34">
        <f t="shared" si="61"/>
        <v>0.79676820077815558</v>
      </c>
      <c r="Q462" s="34">
        <f t="shared" si="62"/>
        <v>0.6433875</v>
      </c>
      <c r="R462" s="46">
        <f t="shared" si="63"/>
        <v>28.413750000000004</v>
      </c>
    </row>
    <row r="463" spans="2:18" ht="12.75" customHeight="1" x14ac:dyDescent="0.25">
      <c r="B463" s="17" t="s">
        <v>0</v>
      </c>
      <c r="C463" s="44" t="s">
        <v>56</v>
      </c>
      <c r="D463" s="22" t="s">
        <v>9</v>
      </c>
      <c r="E463" s="20">
        <v>2</v>
      </c>
      <c r="F463" s="17" t="s">
        <v>120</v>
      </c>
      <c r="G463" s="17" t="s">
        <v>193</v>
      </c>
      <c r="H463" s="17" t="s">
        <v>194</v>
      </c>
      <c r="I463" s="17" t="s">
        <v>195</v>
      </c>
      <c r="J463" s="27" t="s">
        <v>57</v>
      </c>
      <c r="K463" s="29">
        <v>30</v>
      </c>
      <c r="L463" s="31">
        <v>4066.88</v>
      </c>
      <c r="M463" s="31">
        <v>1424.1999999979998</v>
      </c>
      <c r="N463" s="31">
        <v>1135.08</v>
      </c>
      <c r="O463" s="34">
        <f t="shared" si="60"/>
        <v>0.35019474388179633</v>
      </c>
      <c r="P463" s="34">
        <f t="shared" si="61"/>
        <v>0.7969948041016669</v>
      </c>
      <c r="Q463" s="34">
        <f t="shared" si="62"/>
        <v>0.64980525611820372</v>
      </c>
      <c r="R463" s="46">
        <f t="shared" si="63"/>
        <v>37.835999999999999</v>
      </c>
    </row>
    <row r="464" spans="2:18" ht="12.75" customHeight="1" x14ac:dyDescent="0.25">
      <c r="B464" s="17" t="s">
        <v>0</v>
      </c>
      <c r="C464" s="44" t="s">
        <v>68</v>
      </c>
      <c r="D464" s="22" t="s">
        <v>9</v>
      </c>
      <c r="E464" s="20">
        <v>2</v>
      </c>
      <c r="F464" s="17" t="s">
        <v>120</v>
      </c>
      <c r="G464" s="17" t="s">
        <v>193</v>
      </c>
      <c r="H464" s="17" t="s">
        <v>194</v>
      </c>
      <c r="I464" s="17" t="s">
        <v>195</v>
      </c>
      <c r="J464" s="27" t="s">
        <v>69</v>
      </c>
      <c r="K464" s="29">
        <v>20</v>
      </c>
      <c r="L464" s="31">
        <v>8836.7999999999993</v>
      </c>
      <c r="M464" s="31">
        <v>1034.3499999999999</v>
      </c>
      <c r="N464" s="31">
        <v>811.59</v>
      </c>
      <c r="O464" s="34">
        <f t="shared" si="60"/>
        <v>0.1170502896976281</v>
      </c>
      <c r="P464" s="34">
        <f t="shared" si="61"/>
        <v>0.78463769517088033</v>
      </c>
      <c r="Q464" s="34">
        <f t="shared" si="62"/>
        <v>0.8829497103023719</v>
      </c>
      <c r="R464" s="46">
        <f t="shared" si="63"/>
        <v>40.579500000000003</v>
      </c>
    </row>
    <row r="465" spans="2:18" ht="12.75" customHeight="1" x14ac:dyDescent="0.25">
      <c r="B465" s="17" t="s">
        <v>0</v>
      </c>
      <c r="C465" s="44" t="s">
        <v>68</v>
      </c>
      <c r="D465" s="22" t="s">
        <v>2</v>
      </c>
      <c r="E465" s="20">
        <v>1</v>
      </c>
      <c r="F465" s="17" t="s">
        <v>120</v>
      </c>
      <c r="G465" s="17" t="s">
        <v>193</v>
      </c>
      <c r="H465" s="17" t="s">
        <v>194</v>
      </c>
      <c r="I465" s="17" t="s">
        <v>195</v>
      </c>
      <c r="J465" s="27" t="s">
        <v>69</v>
      </c>
      <c r="K465" s="29">
        <v>31</v>
      </c>
      <c r="L465" s="31">
        <v>2675</v>
      </c>
      <c r="M465" s="31">
        <v>1026.420000005</v>
      </c>
      <c r="N465" s="31">
        <v>804.259999999</v>
      </c>
      <c r="O465" s="34">
        <f t="shared" si="60"/>
        <v>0.38370841121682242</v>
      </c>
      <c r="P465" s="34">
        <f t="shared" si="61"/>
        <v>0.78355838739997485</v>
      </c>
      <c r="Q465" s="34">
        <f t="shared" si="62"/>
        <v>0.61629158878317758</v>
      </c>
      <c r="R465" s="46">
        <f t="shared" si="63"/>
        <v>25.943870967709678</v>
      </c>
    </row>
    <row r="466" spans="2:18" ht="12.75" customHeight="1" x14ac:dyDescent="0.25">
      <c r="B466" s="17" t="s">
        <v>0</v>
      </c>
      <c r="C466" s="44" t="s">
        <v>90</v>
      </c>
      <c r="D466" s="22" t="s">
        <v>9</v>
      </c>
      <c r="E466" s="20">
        <v>2</v>
      </c>
      <c r="F466" s="17" t="s">
        <v>120</v>
      </c>
      <c r="G466" s="17" t="s">
        <v>193</v>
      </c>
      <c r="H466" s="17" t="s">
        <v>194</v>
      </c>
      <c r="I466" s="17" t="s">
        <v>195</v>
      </c>
      <c r="J466" s="27" t="s">
        <v>91</v>
      </c>
      <c r="K466" s="29">
        <v>78</v>
      </c>
      <c r="L466" s="31">
        <v>6500</v>
      </c>
      <c r="M466" s="31">
        <v>1352.8800000005001</v>
      </c>
      <c r="N466" s="31">
        <v>729.50000000199998</v>
      </c>
      <c r="O466" s="34">
        <f t="shared" si="60"/>
        <v>0.20813538461546155</v>
      </c>
      <c r="P466" s="34">
        <f t="shared" si="61"/>
        <v>0.53922003429848198</v>
      </c>
      <c r="Q466" s="34">
        <f t="shared" si="62"/>
        <v>0.79186461538453845</v>
      </c>
      <c r="R466" s="46">
        <f t="shared" si="63"/>
        <v>9.3525641025897439</v>
      </c>
    </row>
    <row r="467" spans="2:18" ht="12.75" customHeight="1" x14ac:dyDescent="0.25">
      <c r="B467" s="17" t="s">
        <v>0</v>
      </c>
      <c r="C467" s="44" t="s">
        <v>157</v>
      </c>
      <c r="D467" s="22" t="s">
        <v>9</v>
      </c>
      <c r="E467" s="20">
        <v>2</v>
      </c>
      <c r="F467" s="17" t="s">
        <v>120</v>
      </c>
      <c r="G467" s="17" t="s">
        <v>193</v>
      </c>
      <c r="H467" s="17" t="s">
        <v>194</v>
      </c>
      <c r="I467" s="17" t="s">
        <v>195</v>
      </c>
      <c r="J467" s="27" t="s">
        <v>158</v>
      </c>
      <c r="K467" s="29">
        <v>51</v>
      </c>
      <c r="L467" s="31">
        <v>3377.22</v>
      </c>
      <c r="M467" s="31">
        <v>933.390000009</v>
      </c>
      <c r="N467" s="31">
        <v>708.10999998</v>
      </c>
      <c r="O467" s="34">
        <f t="shared" si="60"/>
        <v>0.27637820456144402</v>
      </c>
      <c r="P467" s="34">
        <f t="shared" si="61"/>
        <v>0.7586432252040114</v>
      </c>
      <c r="Q467" s="34">
        <f t="shared" si="62"/>
        <v>0.72362179543855598</v>
      </c>
      <c r="R467" s="46">
        <f t="shared" si="63"/>
        <v>13.884509803529411</v>
      </c>
    </row>
    <row r="468" spans="2:18" ht="12.75" customHeight="1" x14ac:dyDescent="0.25">
      <c r="B468" s="17" t="s">
        <v>0</v>
      </c>
      <c r="C468" s="44" t="s">
        <v>18</v>
      </c>
      <c r="D468" s="22" t="s">
        <v>2</v>
      </c>
      <c r="E468" s="20">
        <v>1</v>
      </c>
      <c r="F468" s="17" t="s">
        <v>120</v>
      </c>
      <c r="G468" s="17" t="s">
        <v>193</v>
      </c>
      <c r="H468" s="17" t="s">
        <v>194</v>
      </c>
      <c r="I468" s="17" t="s">
        <v>195</v>
      </c>
      <c r="J468" s="27" t="s">
        <v>19</v>
      </c>
      <c r="K468" s="29">
        <v>28</v>
      </c>
      <c r="L468" s="31">
        <v>3696</v>
      </c>
      <c r="M468" s="31">
        <v>926.219999992</v>
      </c>
      <c r="N468" s="31">
        <v>702.92999999600011</v>
      </c>
      <c r="O468" s="34">
        <f t="shared" ref="O468:O475" si="64">IFERROR(M468/L468,0)</f>
        <v>0.25060064934848486</v>
      </c>
      <c r="P468" s="34">
        <f t="shared" ref="P468:P475" si="65">IFERROR(N468/M468,0)</f>
        <v>0.75892336594121423</v>
      </c>
      <c r="Q468" s="34">
        <f t="shared" ref="Q468:Q475" si="66">IFERROR(1-(M468/L468),0)</f>
        <v>0.74939935065151508</v>
      </c>
      <c r="R468" s="46">
        <f t="shared" ref="R468:R475" si="67">IFERROR(N468/K468,0)</f>
        <v>25.104642857000005</v>
      </c>
    </row>
    <row r="469" spans="2:18" ht="12.75" customHeight="1" x14ac:dyDescent="0.25">
      <c r="B469" s="17" t="s">
        <v>0</v>
      </c>
      <c r="C469" s="44" t="s">
        <v>12</v>
      </c>
      <c r="D469" s="22" t="s">
        <v>2</v>
      </c>
      <c r="E469" s="20">
        <v>1</v>
      </c>
      <c r="F469" s="17" t="s">
        <v>120</v>
      </c>
      <c r="G469" s="17" t="s">
        <v>193</v>
      </c>
      <c r="H469" s="17" t="s">
        <v>194</v>
      </c>
      <c r="I469" s="17" t="s">
        <v>195</v>
      </c>
      <c r="J469" s="27" t="s">
        <v>13</v>
      </c>
      <c r="K469" s="29">
        <v>26</v>
      </c>
      <c r="L469" s="31">
        <v>2444</v>
      </c>
      <c r="M469" s="31">
        <v>867.79000001199995</v>
      </c>
      <c r="N469" s="31">
        <v>691.34999999000001</v>
      </c>
      <c r="O469" s="34">
        <f t="shared" si="64"/>
        <v>0.35506955810638297</v>
      </c>
      <c r="P469" s="34">
        <f t="shared" si="65"/>
        <v>0.79667891999267093</v>
      </c>
      <c r="Q469" s="34">
        <f t="shared" si="66"/>
        <v>0.64493044189361703</v>
      </c>
      <c r="R469" s="46">
        <f t="shared" si="67"/>
        <v>26.590384615000001</v>
      </c>
    </row>
    <row r="470" spans="2:18" ht="12.75" customHeight="1" x14ac:dyDescent="0.25">
      <c r="B470" s="17" t="s">
        <v>0</v>
      </c>
      <c r="C470" s="44" t="s">
        <v>151</v>
      </c>
      <c r="D470" s="22" t="s">
        <v>9</v>
      </c>
      <c r="E470" s="20">
        <v>2</v>
      </c>
      <c r="F470" s="17" t="s">
        <v>120</v>
      </c>
      <c r="G470" s="17" t="s">
        <v>193</v>
      </c>
      <c r="H470" s="17" t="s">
        <v>194</v>
      </c>
      <c r="I470" s="17" t="s">
        <v>195</v>
      </c>
      <c r="J470" s="27" t="s">
        <v>152</v>
      </c>
      <c r="K470" s="29">
        <v>182</v>
      </c>
      <c r="L470" s="31">
        <v>2730</v>
      </c>
      <c r="M470" s="31">
        <v>471.38</v>
      </c>
      <c r="N470" s="31">
        <v>367.64</v>
      </c>
      <c r="O470" s="34">
        <f t="shared" si="64"/>
        <v>0.17266666666666666</v>
      </c>
      <c r="P470" s="34">
        <f t="shared" si="65"/>
        <v>0.77992277992277992</v>
      </c>
      <c r="Q470" s="34">
        <f t="shared" si="66"/>
        <v>0.82733333333333337</v>
      </c>
      <c r="R470" s="46">
        <f t="shared" si="67"/>
        <v>2.02</v>
      </c>
    </row>
    <row r="471" spans="2:18" ht="12.75" customHeight="1" x14ac:dyDescent="0.25">
      <c r="B471" s="17" t="s">
        <v>0</v>
      </c>
      <c r="C471" s="44" t="s">
        <v>127</v>
      </c>
      <c r="D471" s="22" t="s">
        <v>2</v>
      </c>
      <c r="E471" s="20">
        <v>1</v>
      </c>
      <c r="F471" s="17" t="s">
        <v>120</v>
      </c>
      <c r="G471" s="17" t="s">
        <v>193</v>
      </c>
      <c r="H471" s="17" t="s">
        <v>194</v>
      </c>
      <c r="I471" s="17" t="s">
        <v>195</v>
      </c>
      <c r="J471" s="27" t="s">
        <v>128</v>
      </c>
      <c r="K471" s="29">
        <v>15</v>
      </c>
      <c r="L471" s="31">
        <v>1410</v>
      </c>
      <c r="M471" s="31">
        <v>510.30000000000007</v>
      </c>
      <c r="N471" s="31">
        <v>352.15000000499998</v>
      </c>
      <c r="O471" s="34">
        <f t="shared" si="64"/>
        <v>0.36191489361702134</v>
      </c>
      <c r="P471" s="34">
        <f t="shared" si="65"/>
        <v>0.69008426416813629</v>
      </c>
      <c r="Q471" s="34">
        <f t="shared" si="66"/>
        <v>0.63808510638297866</v>
      </c>
      <c r="R471" s="46">
        <f t="shared" si="67"/>
        <v>23.476666667</v>
      </c>
    </row>
    <row r="472" spans="2:18" ht="12.75" customHeight="1" x14ac:dyDescent="0.25">
      <c r="B472" s="17" t="s">
        <v>0</v>
      </c>
      <c r="C472" s="44" t="s">
        <v>74</v>
      </c>
      <c r="D472" s="22" t="s">
        <v>9</v>
      </c>
      <c r="E472" s="20">
        <v>2</v>
      </c>
      <c r="F472" s="17" t="s">
        <v>120</v>
      </c>
      <c r="G472" s="17" t="s">
        <v>193</v>
      </c>
      <c r="H472" s="17" t="s">
        <v>194</v>
      </c>
      <c r="I472" s="17" t="s">
        <v>195</v>
      </c>
      <c r="J472" s="27" t="s">
        <v>75</v>
      </c>
      <c r="K472" s="29">
        <v>15</v>
      </c>
      <c r="L472" s="31">
        <v>1125</v>
      </c>
      <c r="M472" s="31">
        <v>430.2</v>
      </c>
      <c r="N472" s="31">
        <v>323.89999999500003</v>
      </c>
      <c r="O472" s="34">
        <f t="shared" si="64"/>
        <v>0.38239999999999996</v>
      </c>
      <c r="P472" s="34">
        <f t="shared" si="65"/>
        <v>0.75290562527894012</v>
      </c>
      <c r="Q472" s="34">
        <f t="shared" si="66"/>
        <v>0.61760000000000004</v>
      </c>
      <c r="R472" s="46">
        <f t="shared" si="67"/>
        <v>21.593333333</v>
      </c>
    </row>
    <row r="473" spans="2:18" ht="12.75" customHeight="1" x14ac:dyDescent="0.25">
      <c r="B473" s="17" t="s">
        <v>0</v>
      </c>
      <c r="C473" s="44" t="s">
        <v>90</v>
      </c>
      <c r="D473" s="22" t="s">
        <v>2</v>
      </c>
      <c r="E473" s="20">
        <v>1</v>
      </c>
      <c r="F473" s="17" t="s">
        <v>120</v>
      </c>
      <c r="G473" s="17" t="s">
        <v>193</v>
      </c>
      <c r="H473" s="17" t="s">
        <v>194</v>
      </c>
      <c r="I473" s="17" t="s">
        <v>195</v>
      </c>
      <c r="J473" s="27" t="s">
        <v>91</v>
      </c>
      <c r="K473" s="29">
        <v>11</v>
      </c>
      <c r="L473" s="31">
        <v>1023</v>
      </c>
      <c r="M473" s="31">
        <v>196.95000000500002</v>
      </c>
      <c r="N473" s="31">
        <v>113.83999999899999</v>
      </c>
      <c r="O473" s="34">
        <f t="shared" si="64"/>
        <v>0.19252199413978496</v>
      </c>
      <c r="P473" s="34">
        <f t="shared" si="65"/>
        <v>0.57801472452962632</v>
      </c>
      <c r="Q473" s="34">
        <f t="shared" si="66"/>
        <v>0.80747800586021501</v>
      </c>
      <c r="R473" s="46">
        <f t="shared" si="67"/>
        <v>10.349090908999999</v>
      </c>
    </row>
    <row r="474" spans="2:18" ht="12.75" customHeight="1" x14ac:dyDescent="0.25">
      <c r="B474" s="17" t="s">
        <v>0</v>
      </c>
      <c r="C474" s="44" t="s">
        <v>172</v>
      </c>
      <c r="D474" s="22" t="s">
        <v>9</v>
      </c>
      <c r="E474" s="20">
        <v>2</v>
      </c>
      <c r="F474" s="17" t="s">
        <v>120</v>
      </c>
      <c r="G474" s="17" t="s">
        <v>193</v>
      </c>
      <c r="H474" s="17" t="s">
        <v>194</v>
      </c>
      <c r="I474" s="17" t="s">
        <v>195</v>
      </c>
      <c r="J474" s="27" t="s">
        <v>173</v>
      </c>
      <c r="K474" s="29">
        <v>29</v>
      </c>
      <c r="L474" s="31">
        <v>203</v>
      </c>
      <c r="M474" s="31">
        <v>77.559999999399992</v>
      </c>
      <c r="N474" s="31">
        <v>61.669999998900003</v>
      </c>
      <c r="O474" s="34">
        <f t="shared" si="64"/>
        <v>0.38206896551428565</v>
      </c>
      <c r="P474" s="34">
        <f t="shared" si="65"/>
        <v>0.79512635378258234</v>
      </c>
      <c r="Q474" s="34">
        <f t="shared" si="66"/>
        <v>0.61793103448571429</v>
      </c>
      <c r="R474" s="46">
        <f t="shared" si="67"/>
        <v>2.1265517241</v>
      </c>
    </row>
    <row r="475" spans="2:18" ht="12.75" customHeight="1" thickBot="1" x14ac:dyDescent="0.3">
      <c r="B475" s="15" t="s">
        <v>0</v>
      </c>
      <c r="C475" s="50" t="s">
        <v>64</v>
      </c>
      <c r="D475" s="19" t="s">
        <v>9</v>
      </c>
      <c r="E475" s="16">
        <v>2</v>
      </c>
      <c r="F475" s="15" t="s">
        <v>120</v>
      </c>
      <c r="G475" s="15" t="s">
        <v>193</v>
      </c>
      <c r="H475" s="15" t="s">
        <v>194</v>
      </c>
      <c r="I475" s="15" t="s">
        <v>195</v>
      </c>
      <c r="J475" s="24" t="s">
        <v>65</v>
      </c>
      <c r="K475" s="26">
        <v>25</v>
      </c>
      <c r="L475" s="28">
        <v>156</v>
      </c>
      <c r="M475" s="28">
        <v>69.28</v>
      </c>
      <c r="N475" s="28">
        <v>55.1</v>
      </c>
      <c r="O475" s="32">
        <f t="shared" si="64"/>
        <v>0.4441025641025641</v>
      </c>
      <c r="P475" s="32">
        <f t="shared" si="65"/>
        <v>0.79532332563510388</v>
      </c>
      <c r="Q475" s="32">
        <f t="shared" si="66"/>
        <v>0.5558974358974359</v>
      </c>
      <c r="R475" s="49">
        <f t="shared" si="67"/>
        <v>2.2040000000000002</v>
      </c>
    </row>
    <row r="476" spans="2:18" ht="17.25" customHeight="1" x14ac:dyDescent="0.25">
      <c r="B476" s="48"/>
      <c r="C476" s="58"/>
      <c r="D476" s="51" t="s">
        <v>366</v>
      </c>
      <c r="E476" s="52"/>
      <c r="F476" s="52"/>
      <c r="G476" s="53"/>
      <c r="H476" s="53"/>
      <c r="I476" s="53"/>
      <c r="J476" s="54"/>
      <c r="K476" s="55">
        <f>SUM(K404:K475)</f>
        <v>897783</v>
      </c>
      <c r="L476" s="56">
        <f>SUM(L404:L475)</f>
        <v>85330608.009980753</v>
      </c>
      <c r="M476" s="56">
        <f>SUM(M404:M475)</f>
        <v>37198297.490014888</v>
      </c>
      <c r="N476" s="56">
        <f>SUM(N404:N475)</f>
        <v>28930137.809992384</v>
      </c>
      <c r="O476" s="57">
        <f>IFERROR(M476/L476,0)</f>
        <v>0.43593147122148673</v>
      </c>
      <c r="P476" s="57">
        <f>IFERROR(N476/M476,0)</f>
        <v>0.7777274703972159</v>
      </c>
      <c r="Q476" s="57">
        <f>IFERROR(1-(M476/L476),0)</f>
        <v>0.56406852877851321</v>
      </c>
      <c r="R476" s="59">
        <f>IFERROR(N476/K476,0)</f>
        <v>32.223975960774915</v>
      </c>
    </row>
    <row r="477" spans="2:18" ht="15.75" thickBot="1" x14ac:dyDescent="0.3">
      <c r="B477" s="60"/>
      <c r="C477" s="64"/>
      <c r="D477" s="62" t="s">
        <v>195</v>
      </c>
      <c r="E477" s="61"/>
      <c r="F477" s="61"/>
      <c r="G477" s="61"/>
      <c r="H477" s="61"/>
      <c r="I477" s="61"/>
      <c r="J477" s="61"/>
      <c r="K477" s="63"/>
      <c r="L477" s="63"/>
      <c r="M477" s="63"/>
      <c r="N477" s="63"/>
      <c r="O477" s="63"/>
      <c r="P477" s="63"/>
      <c r="Q477" s="63"/>
      <c r="R477" s="65"/>
    </row>
    <row r="478" spans="2:18" ht="15.75" thickBot="1" x14ac:dyDescent="0.3"/>
    <row r="479" spans="2:18" ht="15.75" x14ac:dyDescent="0.25">
      <c r="B479" s="1"/>
      <c r="C479" s="7" t="s">
        <v>348</v>
      </c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9"/>
    </row>
    <row r="480" spans="2:18" ht="18" x14ac:dyDescent="0.25">
      <c r="B480" s="2"/>
      <c r="C480" s="8" t="s">
        <v>200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10"/>
    </row>
    <row r="481" spans="2:18" ht="15.75" thickBot="1" x14ac:dyDescent="0.3">
      <c r="B481" s="3"/>
      <c r="C481" s="11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12"/>
    </row>
    <row r="482" spans="2:18" ht="17.25" customHeight="1" thickBot="1" x14ac:dyDescent="0.3">
      <c r="B482" s="14" t="s">
        <v>349</v>
      </c>
      <c r="C482" s="18" t="s">
        <v>350</v>
      </c>
      <c r="D482" s="21" t="s">
        <v>351</v>
      </c>
      <c r="E482" s="23" t="s">
        <v>352</v>
      </c>
      <c r="F482" s="21" t="s">
        <v>353</v>
      </c>
      <c r="G482" s="23" t="s">
        <v>354</v>
      </c>
      <c r="H482" s="23" t="s">
        <v>355</v>
      </c>
      <c r="I482" s="23" t="s">
        <v>356</v>
      </c>
      <c r="J482" s="25" t="s">
        <v>357</v>
      </c>
      <c r="K482" s="25" t="s">
        <v>358</v>
      </c>
      <c r="L482" s="30" t="s">
        <v>359</v>
      </c>
      <c r="M482" s="30" t="s">
        <v>360</v>
      </c>
      <c r="N482" s="30" t="s">
        <v>361</v>
      </c>
      <c r="O482" s="33" t="s">
        <v>362</v>
      </c>
      <c r="P482" s="33" t="s">
        <v>363</v>
      </c>
      <c r="Q482" s="33" t="s">
        <v>364</v>
      </c>
      <c r="R482" s="35" t="s">
        <v>365</v>
      </c>
    </row>
    <row r="483" spans="2:18" ht="12.75" customHeight="1" x14ac:dyDescent="0.25">
      <c r="B483" s="17" t="s">
        <v>0</v>
      </c>
      <c r="C483" s="43" t="s">
        <v>28</v>
      </c>
      <c r="D483" s="37" t="s">
        <v>2</v>
      </c>
      <c r="E483" s="36">
        <v>1</v>
      </c>
      <c r="F483" s="38" t="s">
        <v>120</v>
      </c>
      <c r="G483" s="38" t="s">
        <v>198</v>
      </c>
      <c r="H483" s="38" t="s">
        <v>199</v>
      </c>
      <c r="I483" s="38" t="s">
        <v>200</v>
      </c>
      <c r="J483" s="39" t="s">
        <v>29</v>
      </c>
      <c r="K483" s="40">
        <v>679725</v>
      </c>
      <c r="L483" s="41">
        <v>899510996.95975006</v>
      </c>
      <c r="M483" s="41">
        <v>103867644.64999285</v>
      </c>
      <c r="N483" s="41">
        <v>79228806.09995833</v>
      </c>
      <c r="O483" s="42">
        <f t="shared" ref="O483:O530" si="68">IFERROR(M483/L483,0)</f>
        <v>0.1154712338159892</v>
      </c>
      <c r="P483" s="42">
        <f t="shared" ref="P483:P530" si="69">IFERROR(N483/M483,0)</f>
        <v>0.76278620129433905</v>
      </c>
      <c r="Q483" s="42">
        <f t="shared" ref="Q483:Q530" si="70">IFERROR(1-(M483/L483),0)</f>
        <v>0.88452876618401077</v>
      </c>
      <c r="R483" s="45">
        <f t="shared" ref="R483:R530" si="71">IFERROR(N483/K483,0)</f>
        <v>116.56008841804896</v>
      </c>
    </row>
    <row r="484" spans="2:18" ht="12.75" customHeight="1" x14ac:dyDescent="0.25">
      <c r="B484" s="17" t="s">
        <v>0</v>
      </c>
      <c r="C484" s="44" t="s">
        <v>46</v>
      </c>
      <c r="D484" s="22" t="s">
        <v>2</v>
      </c>
      <c r="E484" s="20">
        <v>1</v>
      </c>
      <c r="F484" s="17" t="s">
        <v>120</v>
      </c>
      <c r="G484" s="17" t="s">
        <v>198</v>
      </c>
      <c r="H484" s="17" t="s">
        <v>199</v>
      </c>
      <c r="I484" s="17" t="s">
        <v>200</v>
      </c>
      <c r="J484" s="27" t="s">
        <v>47</v>
      </c>
      <c r="K484" s="29">
        <v>77533</v>
      </c>
      <c r="L484" s="31">
        <v>104819651.00996082</v>
      </c>
      <c r="M484" s="31">
        <v>9357893.7499835715</v>
      </c>
      <c r="N484" s="31">
        <v>7051334.3500038693</v>
      </c>
      <c r="O484" s="34">
        <f t="shared" si="68"/>
        <v>8.9276139157287479E-2</v>
      </c>
      <c r="P484" s="34">
        <f t="shared" si="69"/>
        <v>0.75351724847444956</v>
      </c>
      <c r="Q484" s="34">
        <f t="shared" si="70"/>
        <v>0.91072386084271251</v>
      </c>
      <c r="R484" s="46">
        <f t="shared" si="71"/>
        <v>90.946233861760405</v>
      </c>
    </row>
    <row r="485" spans="2:18" ht="12.75" customHeight="1" x14ac:dyDescent="0.25">
      <c r="B485" s="17" t="s">
        <v>0</v>
      </c>
      <c r="C485" s="44" t="s">
        <v>54</v>
      </c>
      <c r="D485" s="22" t="s">
        <v>2</v>
      </c>
      <c r="E485" s="20">
        <v>1</v>
      </c>
      <c r="F485" s="17" t="s">
        <v>120</v>
      </c>
      <c r="G485" s="17" t="s">
        <v>198</v>
      </c>
      <c r="H485" s="17" t="s">
        <v>199</v>
      </c>
      <c r="I485" s="17" t="s">
        <v>200</v>
      </c>
      <c r="J485" s="27" t="s">
        <v>55</v>
      </c>
      <c r="K485" s="29">
        <v>47773</v>
      </c>
      <c r="L485" s="31">
        <v>66781618.959943861</v>
      </c>
      <c r="M485" s="31">
        <v>6738775.209985205</v>
      </c>
      <c r="N485" s="31">
        <v>5111451.7199967932</v>
      </c>
      <c r="O485" s="34">
        <f t="shared" si="68"/>
        <v>0.100907634689527</v>
      </c>
      <c r="P485" s="34">
        <f t="shared" si="69"/>
        <v>0.75851346286531129</v>
      </c>
      <c r="Q485" s="34">
        <f t="shared" si="70"/>
        <v>0.89909236531047299</v>
      </c>
      <c r="R485" s="46">
        <f t="shared" si="71"/>
        <v>106.99457266650185</v>
      </c>
    </row>
    <row r="486" spans="2:18" ht="12.75" customHeight="1" x14ac:dyDescent="0.25">
      <c r="B486" s="17" t="s">
        <v>0</v>
      </c>
      <c r="C486" s="44" t="s">
        <v>50</v>
      </c>
      <c r="D486" s="22" t="s">
        <v>2</v>
      </c>
      <c r="E486" s="20">
        <v>1</v>
      </c>
      <c r="F486" s="17" t="s">
        <v>120</v>
      </c>
      <c r="G486" s="17" t="s">
        <v>198</v>
      </c>
      <c r="H486" s="17" t="s">
        <v>199</v>
      </c>
      <c r="I486" s="17" t="s">
        <v>200</v>
      </c>
      <c r="J486" s="27" t="s">
        <v>51</v>
      </c>
      <c r="K486" s="29">
        <v>51924</v>
      </c>
      <c r="L486" s="31">
        <v>65353664.030047134</v>
      </c>
      <c r="M486" s="31">
        <v>6212372.8100000136</v>
      </c>
      <c r="N486" s="31">
        <v>4665281.589998018</v>
      </c>
      <c r="O486" s="34">
        <f t="shared" si="68"/>
        <v>9.5057758462383998E-2</v>
      </c>
      <c r="P486" s="34">
        <f t="shared" si="69"/>
        <v>0.75096613366286491</v>
      </c>
      <c r="Q486" s="34">
        <f t="shared" si="70"/>
        <v>0.90494224153761604</v>
      </c>
      <c r="R486" s="46">
        <f t="shared" si="71"/>
        <v>89.848270356636974</v>
      </c>
    </row>
    <row r="487" spans="2:18" ht="12.75" customHeight="1" x14ac:dyDescent="0.25">
      <c r="B487" s="17" t="s">
        <v>0</v>
      </c>
      <c r="C487" s="44" t="s">
        <v>30</v>
      </c>
      <c r="D487" s="22" t="s">
        <v>2</v>
      </c>
      <c r="E487" s="20">
        <v>1</v>
      </c>
      <c r="F487" s="17" t="s">
        <v>120</v>
      </c>
      <c r="G487" s="17" t="s">
        <v>198</v>
      </c>
      <c r="H487" s="17" t="s">
        <v>199</v>
      </c>
      <c r="I487" s="17" t="s">
        <v>200</v>
      </c>
      <c r="J487" s="27" t="s">
        <v>31</v>
      </c>
      <c r="K487" s="29">
        <v>14965</v>
      </c>
      <c r="L487" s="31">
        <v>26216403.839959558</v>
      </c>
      <c r="M487" s="31">
        <v>2216696.9500021548</v>
      </c>
      <c r="N487" s="31">
        <v>1692450.4299951887</v>
      </c>
      <c r="O487" s="34">
        <f t="shared" si="68"/>
        <v>8.4553814609134983E-2</v>
      </c>
      <c r="P487" s="34">
        <f t="shared" si="69"/>
        <v>0.76350104149037767</v>
      </c>
      <c r="Q487" s="34">
        <f t="shared" si="70"/>
        <v>0.91544618539086497</v>
      </c>
      <c r="R487" s="46">
        <f t="shared" si="71"/>
        <v>113.09391446676837</v>
      </c>
    </row>
    <row r="488" spans="2:18" ht="12.75" customHeight="1" x14ac:dyDescent="0.25">
      <c r="B488" s="17" t="s">
        <v>0</v>
      </c>
      <c r="C488" s="44" t="s">
        <v>66</v>
      </c>
      <c r="D488" s="22" t="s">
        <v>9</v>
      </c>
      <c r="E488" s="20">
        <v>2</v>
      </c>
      <c r="F488" s="17" t="s">
        <v>120</v>
      </c>
      <c r="G488" s="17" t="s">
        <v>198</v>
      </c>
      <c r="H488" s="17" t="s">
        <v>199</v>
      </c>
      <c r="I488" s="17" t="s">
        <v>200</v>
      </c>
      <c r="J488" s="27" t="s">
        <v>67</v>
      </c>
      <c r="K488" s="29">
        <v>3090</v>
      </c>
      <c r="L488" s="31">
        <v>1276774.8900003002</v>
      </c>
      <c r="M488" s="31">
        <v>449097.72000113188</v>
      </c>
      <c r="N488" s="31">
        <v>352992.15999957494</v>
      </c>
      <c r="O488" s="34">
        <f t="shared" si="68"/>
        <v>0.35174385360995492</v>
      </c>
      <c r="P488" s="34">
        <f t="shared" si="69"/>
        <v>0.78600301065586631</v>
      </c>
      <c r="Q488" s="34">
        <f t="shared" si="70"/>
        <v>0.64825614639004514</v>
      </c>
      <c r="R488" s="46">
        <f t="shared" si="71"/>
        <v>114.23694498368121</v>
      </c>
    </row>
    <row r="489" spans="2:18" ht="12.75" customHeight="1" x14ac:dyDescent="0.25">
      <c r="B489" s="17" t="s">
        <v>0</v>
      </c>
      <c r="C489" s="44" t="s">
        <v>36</v>
      </c>
      <c r="D489" s="22" t="s">
        <v>2</v>
      </c>
      <c r="E489" s="20">
        <v>1</v>
      </c>
      <c r="F489" s="17" t="s">
        <v>120</v>
      </c>
      <c r="G489" s="17" t="s">
        <v>198</v>
      </c>
      <c r="H489" s="17" t="s">
        <v>199</v>
      </c>
      <c r="I489" s="17" t="s">
        <v>200</v>
      </c>
      <c r="J489" s="27" t="s">
        <v>37</v>
      </c>
      <c r="K489" s="29">
        <v>2170</v>
      </c>
      <c r="L489" s="31">
        <v>3016515.9199983706</v>
      </c>
      <c r="M489" s="31">
        <v>312142.76000284002</v>
      </c>
      <c r="N489" s="31">
        <v>233512.42999978695</v>
      </c>
      <c r="O489" s="34">
        <f t="shared" si="68"/>
        <v>0.10347790904515054</v>
      </c>
      <c r="P489" s="34">
        <f t="shared" si="69"/>
        <v>0.74809497422801785</v>
      </c>
      <c r="Q489" s="34">
        <f t="shared" si="70"/>
        <v>0.89652209095484947</v>
      </c>
      <c r="R489" s="46">
        <f t="shared" si="71"/>
        <v>107.60941474644559</v>
      </c>
    </row>
    <row r="490" spans="2:18" ht="12.75" customHeight="1" x14ac:dyDescent="0.25">
      <c r="B490" s="17" t="s">
        <v>0</v>
      </c>
      <c r="C490" s="44" t="s">
        <v>70</v>
      </c>
      <c r="D490" s="22" t="s">
        <v>2</v>
      </c>
      <c r="E490" s="20">
        <v>1</v>
      </c>
      <c r="F490" s="17" t="s">
        <v>120</v>
      </c>
      <c r="G490" s="17" t="s">
        <v>198</v>
      </c>
      <c r="H490" s="17" t="s">
        <v>199</v>
      </c>
      <c r="I490" s="17" t="s">
        <v>200</v>
      </c>
      <c r="J490" s="27" t="s">
        <v>71</v>
      </c>
      <c r="K490" s="29">
        <v>1918</v>
      </c>
      <c r="L490" s="31">
        <v>2290297.5099992901</v>
      </c>
      <c r="M490" s="31">
        <v>260240.89999866599</v>
      </c>
      <c r="N490" s="31">
        <v>199767.48000006902</v>
      </c>
      <c r="O490" s="34">
        <f t="shared" si="68"/>
        <v>0.1136275522557533</v>
      </c>
      <c r="P490" s="34">
        <f t="shared" si="69"/>
        <v>0.76762522724557525</v>
      </c>
      <c r="Q490" s="34">
        <f t="shared" si="70"/>
        <v>0.88637244774424673</v>
      </c>
      <c r="R490" s="46">
        <f t="shared" si="71"/>
        <v>104.15405630869083</v>
      </c>
    </row>
    <row r="491" spans="2:18" ht="12.75" customHeight="1" x14ac:dyDescent="0.25">
      <c r="B491" s="17" t="s">
        <v>0</v>
      </c>
      <c r="C491" s="44" t="s">
        <v>46</v>
      </c>
      <c r="D491" s="22" t="s">
        <v>9</v>
      </c>
      <c r="E491" s="20">
        <v>2</v>
      </c>
      <c r="F491" s="17" t="s">
        <v>120</v>
      </c>
      <c r="G491" s="17" t="s">
        <v>198</v>
      </c>
      <c r="H491" s="17" t="s">
        <v>199</v>
      </c>
      <c r="I491" s="17" t="s">
        <v>200</v>
      </c>
      <c r="J491" s="27" t="s">
        <v>47</v>
      </c>
      <c r="K491" s="29">
        <v>1720</v>
      </c>
      <c r="L491" s="31">
        <v>625536.12999986985</v>
      </c>
      <c r="M491" s="31">
        <v>198163.41999991698</v>
      </c>
      <c r="N491" s="31">
        <v>153014.55000034999</v>
      </c>
      <c r="O491" s="34">
        <f t="shared" si="68"/>
        <v>0.31678972723759091</v>
      </c>
      <c r="P491" s="34">
        <f t="shared" si="69"/>
        <v>0.77216344974473139</v>
      </c>
      <c r="Q491" s="34">
        <f t="shared" si="70"/>
        <v>0.68321027276240909</v>
      </c>
      <c r="R491" s="46">
        <f t="shared" si="71"/>
        <v>88.961947674622081</v>
      </c>
    </row>
    <row r="492" spans="2:18" ht="12.75" customHeight="1" x14ac:dyDescent="0.25">
      <c r="B492" s="17" t="s">
        <v>0</v>
      </c>
      <c r="C492" s="44" t="s">
        <v>38</v>
      </c>
      <c r="D492" s="22" t="s">
        <v>2</v>
      </c>
      <c r="E492" s="20">
        <v>1</v>
      </c>
      <c r="F492" s="17" t="s">
        <v>120</v>
      </c>
      <c r="G492" s="17" t="s">
        <v>198</v>
      </c>
      <c r="H492" s="17" t="s">
        <v>199</v>
      </c>
      <c r="I492" s="17" t="s">
        <v>200</v>
      </c>
      <c r="J492" s="27" t="s">
        <v>39</v>
      </c>
      <c r="K492" s="29">
        <v>1011</v>
      </c>
      <c r="L492" s="31">
        <v>1165646.65001022</v>
      </c>
      <c r="M492" s="31">
        <v>161136.40000008998</v>
      </c>
      <c r="N492" s="31">
        <v>122664.48000204799</v>
      </c>
      <c r="O492" s="34">
        <f t="shared" si="68"/>
        <v>0.13823777557176284</v>
      </c>
      <c r="P492" s="34">
        <f t="shared" si="69"/>
        <v>0.76124624853217204</v>
      </c>
      <c r="Q492" s="34">
        <f t="shared" si="70"/>
        <v>0.86176222442823713</v>
      </c>
      <c r="R492" s="46">
        <f t="shared" si="71"/>
        <v>121.32985163407318</v>
      </c>
    </row>
    <row r="493" spans="2:18" ht="12.75" customHeight="1" x14ac:dyDescent="0.25">
      <c r="B493" s="17" t="s">
        <v>0</v>
      </c>
      <c r="C493" s="44" t="s">
        <v>127</v>
      </c>
      <c r="D493" s="22" t="s">
        <v>2</v>
      </c>
      <c r="E493" s="20">
        <v>1</v>
      </c>
      <c r="F493" s="17" t="s">
        <v>120</v>
      </c>
      <c r="G493" s="17" t="s">
        <v>198</v>
      </c>
      <c r="H493" s="17" t="s">
        <v>199</v>
      </c>
      <c r="I493" s="17" t="s">
        <v>200</v>
      </c>
      <c r="J493" s="27" t="s">
        <v>128</v>
      </c>
      <c r="K493" s="29">
        <v>1345</v>
      </c>
      <c r="L493" s="31">
        <v>540509.16000038991</v>
      </c>
      <c r="M493" s="31">
        <v>156374.879999923</v>
      </c>
      <c r="N493" s="31">
        <v>117794.11000002801</v>
      </c>
      <c r="O493" s="34">
        <f t="shared" si="68"/>
        <v>0.28931032362117637</v>
      </c>
      <c r="P493" s="34">
        <f t="shared" si="69"/>
        <v>0.75328025831313838</v>
      </c>
      <c r="Q493" s="34">
        <f t="shared" si="70"/>
        <v>0.71068967637882363</v>
      </c>
      <c r="R493" s="46">
        <f t="shared" si="71"/>
        <v>87.579263940541267</v>
      </c>
    </row>
    <row r="494" spans="2:18" ht="12.75" customHeight="1" x14ac:dyDescent="0.25">
      <c r="B494" s="17" t="s">
        <v>0</v>
      </c>
      <c r="C494" s="44" t="s">
        <v>127</v>
      </c>
      <c r="D494" s="22" t="s">
        <v>9</v>
      </c>
      <c r="E494" s="20">
        <v>2</v>
      </c>
      <c r="F494" s="17" t="s">
        <v>120</v>
      </c>
      <c r="G494" s="17" t="s">
        <v>198</v>
      </c>
      <c r="H494" s="17" t="s">
        <v>199</v>
      </c>
      <c r="I494" s="17" t="s">
        <v>200</v>
      </c>
      <c r="J494" s="27" t="s">
        <v>128</v>
      </c>
      <c r="K494" s="29">
        <v>1088</v>
      </c>
      <c r="L494" s="31">
        <v>355114.80999998009</v>
      </c>
      <c r="M494" s="31">
        <v>141414.989998676</v>
      </c>
      <c r="N494" s="31">
        <v>109573.31999997301</v>
      </c>
      <c r="O494" s="34">
        <f t="shared" si="68"/>
        <v>0.39822329572423049</v>
      </c>
      <c r="P494" s="34">
        <f t="shared" si="69"/>
        <v>0.77483525615635862</v>
      </c>
      <c r="Q494" s="34">
        <f t="shared" si="70"/>
        <v>0.60177670427576957</v>
      </c>
      <c r="R494" s="46">
        <f t="shared" si="71"/>
        <v>100.71077205879872</v>
      </c>
    </row>
    <row r="495" spans="2:18" ht="12.75" customHeight="1" x14ac:dyDescent="0.25">
      <c r="B495" s="17" t="s">
        <v>0</v>
      </c>
      <c r="C495" s="44" t="s">
        <v>151</v>
      </c>
      <c r="D495" s="22" t="s">
        <v>9</v>
      </c>
      <c r="E495" s="20">
        <v>2</v>
      </c>
      <c r="F495" s="17" t="s">
        <v>120</v>
      </c>
      <c r="G495" s="17" t="s">
        <v>198</v>
      </c>
      <c r="H495" s="17" t="s">
        <v>199</v>
      </c>
      <c r="I495" s="17" t="s">
        <v>200</v>
      </c>
      <c r="J495" s="27" t="s">
        <v>152</v>
      </c>
      <c r="K495" s="29">
        <v>550</v>
      </c>
      <c r="L495" s="31">
        <v>268520.18999975006</v>
      </c>
      <c r="M495" s="31">
        <v>94960.789999339991</v>
      </c>
      <c r="N495" s="31">
        <v>75467.359998835003</v>
      </c>
      <c r="O495" s="34">
        <f t="shared" si="68"/>
        <v>0.35364487861947508</v>
      </c>
      <c r="P495" s="34">
        <f t="shared" si="69"/>
        <v>0.79472127390009628</v>
      </c>
      <c r="Q495" s="34">
        <f t="shared" si="70"/>
        <v>0.64635512138052498</v>
      </c>
      <c r="R495" s="46">
        <f t="shared" si="71"/>
        <v>137.21338181606365</v>
      </c>
    </row>
    <row r="496" spans="2:18" ht="12.75" customHeight="1" x14ac:dyDescent="0.25">
      <c r="B496" s="17" t="s">
        <v>0</v>
      </c>
      <c r="C496" s="44" t="s">
        <v>30</v>
      </c>
      <c r="D496" s="22" t="s">
        <v>9</v>
      </c>
      <c r="E496" s="20">
        <v>2</v>
      </c>
      <c r="F496" s="17" t="s">
        <v>120</v>
      </c>
      <c r="G496" s="17" t="s">
        <v>198</v>
      </c>
      <c r="H496" s="17" t="s">
        <v>199</v>
      </c>
      <c r="I496" s="17" t="s">
        <v>200</v>
      </c>
      <c r="J496" s="27" t="s">
        <v>31</v>
      </c>
      <c r="K496" s="29">
        <v>549</v>
      </c>
      <c r="L496" s="31">
        <v>218751.62000000002</v>
      </c>
      <c r="M496" s="31">
        <v>96930.390000297004</v>
      </c>
      <c r="N496" s="31">
        <v>75323.739999020007</v>
      </c>
      <c r="O496" s="34">
        <f t="shared" si="68"/>
        <v>0.44310707276269312</v>
      </c>
      <c r="P496" s="34">
        <f t="shared" si="69"/>
        <v>0.77709106502913283</v>
      </c>
      <c r="Q496" s="34">
        <f t="shared" si="70"/>
        <v>0.55689292723730688</v>
      </c>
      <c r="R496" s="46">
        <f t="shared" si="71"/>
        <v>137.20171220222224</v>
      </c>
    </row>
    <row r="497" spans="2:18" ht="12.75" customHeight="1" x14ac:dyDescent="0.25">
      <c r="B497" s="17" t="s">
        <v>0</v>
      </c>
      <c r="C497" s="44" t="s">
        <v>62</v>
      </c>
      <c r="D497" s="22" t="s">
        <v>2</v>
      </c>
      <c r="E497" s="20">
        <v>1</v>
      </c>
      <c r="F497" s="17" t="s">
        <v>120</v>
      </c>
      <c r="G497" s="17" t="s">
        <v>198</v>
      </c>
      <c r="H497" s="17" t="s">
        <v>199</v>
      </c>
      <c r="I497" s="17" t="s">
        <v>200</v>
      </c>
      <c r="J497" s="27" t="s">
        <v>63</v>
      </c>
      <c r="K497" s="29">
        <v>535</v>
      </c>
      <c r="L497" s="31">
        <v>707834.76000480005</v>
      </c>
      <c r="M497" s="31">
        <v>73345.470000430985</v>
      </c>
      <c r="N497" s="31">
        <v>55665.44999954501</v>
      </c>
      <c r="O497" s="34">
        <f t="shared" si="68"/>
        <v>0.10361948034303035</v>
      </c>
      <c r="P497" s="34">
        <f t="shared" si="69"/>
        <v>0.75894871215929105</v>
      </c>
      <c r="Q497" s="34">
        <f t="shared" si="70"/>
        <v>0.89638051965696963</v>
      </c>
      <c r="R497" s="46">
        <f t="shared" si="71"/>
        <v>104.0475700926075</v>
      </c>
    </row>
    <row r="498" spans="2:18" ht="12.75" customHeight="1" x14ac:dyDescent="0.25">
      <c r="B498" s="17" t="s">
        <v>0</v>
      </c>
      <c r="C498" s="44" t="s">
        <v>14</v>
      </c>
      <c r="D498" s="22" t="s">
        <v>2</v>
      </c>
      <c r="E498" s="20">
        <v>1</v>
      </c>
      <c r="F498" s="17" t="s">
        <v>120</v>
      </c>
      <c r="G498" s="17" t="s">
        <v>198</v>
      </c>
      <c r="H498" s="17" t="s">
        <v>199</v>
      </c>
      <c r="I498" s="17" t="s">
        <v>200</v>
      </c>
      <c r="J498" s="27" t="s">
        <v>15</v>
      </c>
      <c r="K498" s="29">
        <v>467</v>
      </c>
      <c r="L498" s="31">
        <v>112456.84999999999</v>
      </c>
      <c r="M498" s="31">
        <v>60296.309999730016</v>
      </c>
      <c r="N498" s="31">
        <v>47481.579999869005</v>
      </c>
      <c r="O498" s="34">
        <f t="shared" si="68"/>
        <v>0.53617285207375109</v>
      </c>
      <c r="P498" s="34">
        <f t="shared" si="69"/>
        <v>0.7874707424066516</v>
      </c>
      <c r="Q498" s="34">
        <f t="shared" si="70"/>
        <v>0.46382714792624891</v>
      </c>
      <c r="R498" s="46">
        <f t="shared" si="71"/>
        <v>101.67361884340258</v>
      </c>
    </row>
    <row r="499" spans="2:18" ht="12.75" customHeight="1" x14ac:dyDescent="0.25">
      <c r="B499" s="17" t="s">
        <v>0</v>
      </c>
      <c r="C499" s="44" t="s">
        <v>66</v>
      </c>
      <c r="D499" s="22" t="s">
        <v>2</v>
      </c>
      <c r="E499" s="20">
        <v>1</v>
      </c>
      <c r="F499" s="17" t="s">
        <v>120</v>
      </c>
      <c r="G499" s="17" t="s">
        <v>198</v>
      </c>
      <c r="H499" s="17" t="s">
        <v>199</v>
      </c>
      <c r="I499" s="17" t="s">
        <v>200</v>
      </c>
      <c r="J499" s="27" t="s">
        <v>67</v>
      </c>
      <c r="K499" s="29">
        <v>486</v>
      </c>
      <c r="L499" s="31">
        <v>152746.51999998</v>
      </c>
      <c r="M499" s="31">
        <v>55023.920000085011</v>
      </c>
      <c r="N499" s="31">
        <v>41911.390000096995</v>
      </c>
      <c r="O499" s="34">
        <f t="shared" si="68"/>
        <v>0.36023026907645567</v>
      </c>
      <c r="P499" s="34">
        <f t="shared" si="69"/>
        <v>0.76169400508055851</v>
      </c>
      <c r="Q499" s="34">
        <f t="shared" si="70"/>
        <v>0.63976973092354439</v>
      </c>
      <c r="R499" s="46">
        <f t="shared" si="71"/>
        <v>86.237427983738669</v>
      </c>
    </row>
    <row r="500" spans="2:18" ht="12.75" customHeight="1" x14ac:dyDescent="0.25">
      <c r="B500" s="17" t="s">
        <v>0</v>
      </c>
      <c r="C500" s="44" t="s">
        <v>14</v>
      </c>
      <c r="D500" s="22" t="s">
        <v>9</v>
      </c>
      <c r="E500" s="20">
        <v>2</v>
      </c>
      <c r="F500" s="17" t="s">
        <v>120</v>
      </c>
      <c r="G500" s="17" t="s">
        <v>198</v>
      </c>
      <c r="H500" s="17" t="s">
        <v>199</v>
      </c>
      <c r="I500" s="17" t="s">
        <v>200</v>
      </c>
      <c r="J500" s="27" t="s">
        <v>15</v>
      </c>
      <c r="K500" s="29">
        <v>324</v>
      </c>
      <c r="L500" s="31">
        <v>101749.23999999999</v>
      </c>
      <c r="M500" s="31">
        <v>52784.489999860001</v>
      </c>
      <c r="N500" s="31">
        <v>41879.340000069998</v>
      </c>
      <c r="O500" s="34">
        <f t="shared" si="68"/>
        <v>0.51877036133006993</v>
      </c>
      <c r="P500" s="34">
        <f t="shared" si="69"/>
        <v>0.79340238013441211</v>
      </c>
      <c r="Q500" s="34">
        <f t="shared" si="70"/>
        <v>0.48122963866993007</v>
      </c>
      <c r="R500" s="46">
        <f t="shared" si="71"/>
        <v>129.25722222243826</v>
      </c>
    </row>
    <row r="501" spans="2:18" ht="12.75" customHeight="1" x14ac:dyDescent="0.25">
      <c r="B501" s="17" t="s">
        <v>0</v>
      </c>
      <c r="C501" s="44" t="s">
        <v>191</v>
      </c>
      <c r="D501" s="22" t="s">
        <v>2</v>
      </c>
      <c r="E501" s="20">
        <v>1</v>
      </c>
      <c r="F501" s="17" t="s">
        <v>120</v>
      </c>
      <c r="G501" s="17" t="s">
        <v>198</v>
      </c>
      <c r="H501" s="17" t="s">
        <v>199</v>
      </c>
      <c r="I501" s="17" t="s">
        <v>200</v>
      </c>
      <c r="J501" s="27" t="s">
        <v>192</v>
      </c>
      <c r="K501" s="29">
        <v>328</v>
      </c>
      <c r="L501" s="31">
        <v>649639</v>
      </c>
      <c r="M501" s="31">
        <v>49614.32999844999</v>
      </c>
      <c r="N501" s="31">
        <v>37255.470000326997</v>
      </c>
      <c r="O501" s="34">
        <f t="shared" si="68"/>
        <v>7.6372154378739565E-2</v>
      </c>
      <c r="P501" s="34">
        <f t="shared" si="69"/>
        <v>0.75090140291103202</v>
      </c>
      <c r="Q501" s="34">
        <f t="shared" si="70"/>
        <v>0.92362784562126043</v>
      </c>
      <c r="R501" s="46">
        <f t="shared" si="71"/>
        <v>113.58375000099694</v>
      </c>
    </row>
    <row r="502" spans="2:18" ht="12.75" customHeight="1" x14ac:dyDescent="0.25">
      <c r="B502" s="17" t="s">
        <v>0</v>
      </c>
      <c r="C502" s="44" t="s">
        <v>7</v>
      </c>
      <c r="D502" s="22" t="s">
        <v>2</v>
      </c>
      <c r="E502" s="20">
        <v>1</v>
      </c>
      <c r="F502" s="17" t="s">
        <v>120</v>
      </c>
      <c r="G502" s="17" t="s">
        <v>198</v>
      </c>
      <c r="H502" s="17" t="s">
        <v>199</v>
      </c>
      <c r="I502" s="17" t="s">
        <v>200</v>
      </c>
      <c r="J502" s="27" t="s">
        <v>8</v>
      </c>
      <c r="K502" s="29">
        <v>292</v>
      </c>
      <c r="L502" s="31">
        <v>331693.92999972997</v>
      </c>
      <c r="M502" s="31">
        <v>47056.389999730003</v>
      </c>
      <c r="N502" s="31">
        <v>36303.319999594001</v>
      </c>
      <c r="O502" s="34">
        <f t="shared" si="68"/>
        <v>0.14186690121151241</v>
      </c>
      <c r="P502" s="34">
        <f t="shared" si="69"/>
        <v>0.77148544543689601</v>
      </c>
      <c r="Q502" s="34">
        <f t="shared" si="70"/>
        <v>0.85813309878848765</v>
      </c>
      <c r="R502" s="46">
        <f t="shared" si="71"/>
        <v>124.32643835477398</v>
      </c>
    </row>
    <row r="503" spans="2:18" ht="12.75" customHeight="1" x14ac:dyDescent="0.25">
      <c r="B503" s="17" t="s">
        <v>0</v>
      </c>
      <c r="C503" s="44" t="s">
        <v>42</v>
      </c>
      <c r="D503" s="22" t="s">
        <v>2</v>
      </c>
      <c r="E503" s="20">
        <v>1</v>
      </c>
      <c r="F503" s="17" t="s">
        <v>120</v>
      </c>
      <c r="G503" s="17" t="s">
        <v>198</v>
      </c>
      <c r="H503" s="17" t="s">
        <v>199</v>
      </c>
      <c r="I503" s="17" t="s">
        <v>200</v>
      </c>
      <c r="J503" s="27" t="s">
        <v>43</v>
      </c>
      <c r="K503" s="29">
        <v>302</v>
      </c>
      <c r="L503" s="31">
        <v>373068.00000115001</v>
      </c>
      <c r="M503" s="31">
        <v>42209.360000055</v>
      </c>
      <c r="N503" s="31">
        <v>32850.589999623</v>
      </c>
      <c r="O503" s="34">
        <f t="shared" si="68"/>
        <v>0.11314119677893812</v>
      </c>
      <c r="P503" s="34">
        <f t="shared" si="69"/>
        <v>0.77827737733005653</v>
      </c>
      <c r="Q503" s="34">
        <f t="shared" si="70"/>
        <v>0.88685880322106192</v>
      </c>
      <c r="R503" s="46">
        <f t="shared" si="71"/>
        <v>108.77678807822186</v>
      </c>
    </row>
    <row r="504" spans="2:18" ht="12.75" customHeight="1" x14ac:dyDescent="0.25">
      <c r="B504" s="17" t="s">
        <v>0</v>
      </c>
      <c r="C504" s="44" t="s">
        <v>44</v>
      </c>
      <c r="D504" s="22" t="s">
        <v>2</v>
      </c>
      <c r="E504" s="20">
        <v>1</v>
      </c>
      <c r="F504" s="17" t="s">
        <v>120</v>
      </c>
      <c r="G504" s="17" t="s">
        <v>198</v>
      </c>
      <c r="H504" s="17" t="s">
        <v>199</v>
      </c>
      <c r="I504" s="17" t="s">
        <v>200</v>
      </c>
      <c r="J504" s="27" t="s">
        <v>45</v>
      </c>
      <c r="K504" s="29">
        <v>234</v>
      </c>
      <c r="L504" s="31">
        <v>478300.00000007998</v>
      </c>
      <c r="M504" s="31">
        <v>35082.459999129998</v>
      </c>
      <c r="N504" s="31">
        <v>26066.550000221003</v>
      </c>
      <c r="O504" s="34">
        <f t="shared" si="68"/>
        <v>7.3348233324532996E-2</v>
      </c>
      <c r="P504" s="34">
        <f t="shared" si="69"/>
        <v>0.74300804450051172</v>
      </c>
      <c r="Q504" s="34">
        <f t="shared" si="70"/>
        <v>0.926651766675467</v>
      </c>
      <c r="R504" s="46">
        <f t="shared" si="71"/>
        <v>111.39551282145727</v>
      </c>
    </row>
    <row r="505" spans="2:18" ht="12.75" customHeight="1" x14ac:dyDescent="0.25">
      <c r="B505" s="17" t="s">
        <v>0</v>
      </c>
      <c r="C505" s="44" t="s">
        <v>22</v>
      </c>
      <c r="D505" s="22" t="s">
        <v>2</v>
      </c>
      <c r="E505" s="20">
        <v>1</v>
      </c>
      <c r="F505" s="17" t="s">
        <v>120</v>
      </c>
      <c r="G505" s="17" t="s">
        <v>198</v>
      </c>
      <c r="H505" s="17" t="s">
        <v>199</v>
      </c>
      <c r="I505" s="17" t="s">
        <v>200</v>
      </c>
      <c r="J505" s="27" t="s">
        <v>23</v>
      </c>
      <c r="K505" s="29">
        <v>210</v>
      </c>
      <c r="L505" s="31">
        <v>282897.99999719998</v>
      </c>
      <c r="M505" s="31">
        <v>30708.299999319999</v>
      </c>
      <c r="N505" s="31">
        <v>24366.589999902</v>
      </c>
      <c r="O505" s="34">
        <f t="shared" si="68"/>
        <v>0.10854901766581573</v>
      </c>
      <c r="P505" s="34">
        <f t="shared" si="69"/>
        <v>0.79348547462547814</v>
      </c>
      <c r="Q505" s="34">
        <f t="shared" si="70"/>
        <v>0.89145098233418429</v>
      </c>
      <c r="R505" s="46">
        <f t="shared" si="71"/>
        <v>116.03138095191429</v>
      </c>
    </row>
    <row r="506" spans="2:18" ht="12.75" customHeight="1" x14ac:dyDescent="0.25">
      <c r="B506" s="17" t="s">
        <v>0</v>
      </c>
      <c r="C506" s="44" t="s">
        <v>139</v>
      </c>
      <c r="D506" s="22" t="s">
        <v>9</v>
      </c>
      <c r="E506" s="20">
        <v>2</v>
      </c>
      <c r="F506" s="17" t="s">
        <v>120</v>
      </c>
      <c r="G506" s="17" t="s">
        <v>198</v>
      </c>
      <c r="H506" s="17" t="s">
        <v>199</v>
      </c>
      <c r="I506" s="17" t="s">
        <v>200</v>
      </c>
      <c r="J506" s="27" t="s">
        <v>140</v>
      </c>
      <c r="K506" s="29">
        <v>116</v>
      </c>
      <c r="L506" s="31">
        <v>46540.53</v>
      </c>
      <c r="M506" s="31">
        <v>16248.590000080001</v>
      </c>
      <c r="N506" s="31">
        <v>12656.909999879999</v>
      </c>
      <c r="O506" s="34">
        <f t="shared" si="68"/>
        <v>0.34912773877048675</v>
      </c>
      <c r="P506" s="34">
        <f t="shared" si="69"/>
        <v>0.77895435849004013</v>
      </c>
      <c r="Q506" s="34">
        <f t="shared" si="70"/>
        <v>0.65087226122951325</v>
      </c>
      <c r="R506" s="46">
        <f t="shared" si="71"/>
        <v>109.11129310241378</v>
      </c>
    </row>
    <row r="507" spans="2:18" ht="12.75" customHeight="1" x14ac:dyDescent="0.25">
      <c r="B507" s="17" t="s">
        <v>0</v>
      </c>
      <c r="C507" s="44" t="s">
        <v>34</v>
      </c>
      <c r="D507" s="22" t="s">
        <v>2</v>
      </c>
      <c r="E507" s="20">
        <v>1</v>
      </c>
      <c r="F507" s="17" t="s">
        <v>120</v>
      </c>
      <c r="G507" s="17" t="s">
        <v>198</v>
      </c>
      <c r="H507" s="17" t="s">
        <v>199</v>
      </c>
      <c r="I507" s="17" t="s">
        <v>200</v>
      </c>
      <c r="J507" s="27" t="s">
        <v>35</v>
      </c>
      <c r="K507" s="29">
        <v>191</v>
      </c>
      <c r="L507" s="31">
        <v>44411</v>
      </c>
      <c r="M507" s="31">
        <v>17245.270000159999</v>
      </c>
      <c r="N507" s="31">
        <v>11587.109999954</v>
      </c>
      <c r="O507" s="34">
        <f t="shared" si="68"/>
        <v>0.38831077886469567</v>
      </c>
      <c r="P507" s="34">
        <f t="shared" si="69"/>
        <v>0.6719007588658511</v>
      </c>
      <c r="Q507" s="34">
        <f t="shared" si="70"/>
        <v>0.61168922113530433</v>
      </c>
      <c r="R507" s="46">
        <f t="shared" si="71"/>
        <v>60.665497381958119</v>
      </c>
    </row>
    <row r="508" spans="2:18" ht="12.75" customHeight="1" x14ac:dyDescent="0.25">
      <c r="B508" s="17" t="s">
        <v>0</v>
      </c>
      <c r="C508" s="44" t="s">
        <v>38</v>
      </c>
      <c r="D508" s="22" t="s">
        <v>9</v>
      </c>
      <c r="E508" s="20">
        <v>2</v>
      </c>
      <c r="F508" s="17" t="s">
        <v>120</v>
      </c>
      <c r="G508" s="17" t="s">
        <v>198</v>
      </c>
      <c r="H508" s="17" t="s">
        <v>199</v>
      </c>
      <c r="I508" s="17" t="s">
        <v>200</v>
      </c>
      <c r="J508" s="27" t="s">
        <v>39</v>
      </c>
      <c r="K508" s="29">
        <v>93</v>
      </c>
      <c r="L508" s="31">
        <v>39179.849999900005</v>
      </c>
      <c r="M508" s="31">
        <v>14462.70999987</v>
      </c>
      <c r="N508" s="31">
        <v>10911.680000057999</v>
      </c>
      <c r="O508" s="34">
        <f t="shared" si="68"/>
        <v>0.36913643109677324</v>
      </c>
      <c r="P508" s="34">
        <f t="shared" si="69"/>
        <v>0.75446994374886034</v>
      </c>
      <c r="Q508" s="34">
        <f t="shared" si="70"/>
        <v>0.6308635689032267</v>
      </c>
      <c r="R508" s="46">
        <f t="shared" si="71"/>
        <v>117.32989247374192</v>
      </c>
    </row>
    <row r="509" spans="2:18" ht="12.75" customHeight="1" x14ac:dyDescent="0.25">
      <c r="B509" s="17" t="s">
        <v>0</v>
      </c>
      <c r="C509" s="44" t="s">
        <v>24</v>
      </c>
      <c r="D509" s="22" t="s">
        <v>9</v>
      </c>
      <c r="E509" s="20">
        <v>2</v>
      </c>
      <c r="F509" s="17" t="s">
        <v>120</v>
      </c>
      <c r="G509" s="17" t="s">
        <v>198</v>
      </c>
      <c r="H509" s="17" t="s">
        <v>199</v>
      </c>
      <c r="I509" s="17" t="s">
        <v>200</v>
      </c>
      <c r="J509" s="27" t="s">
        <v>25</v>
      </c>
      <c r="K509" s="29">
        <v>92</v>
      </c>
      <c r="L509" s="31">
        <v>36915.93</v>
      </c>
      <c r="M509" s="31">
        <v>13917.07000021</v>
      </c>
      <c r="N509" s="31">
        <v>10847.829999878999</v>
      </c>
      <c r="O509" s="34">
        <f t="shared" si="68"/>
        <v>0.37699361766614031</v>
      </c>
      <c r="P509" s="34">
        <f t="shared" si="69"/>
        <v>0.77946219999722011</v>
      </c>
      <c r="Q509" s="34">
        <f t="shared" si="70"/>
        <v>0.62300638233385963</v>
      </c>
      <c r="R509" s="46">
        <f t="shared" si="71"/>
        <v>117.91119565085869</v>
      </c>
    </row>
    <row r="510" spans="2:18" ht="12.75" customHeight="1" x14ac:dyDescent="0.25">
      <c r="B510" s="17" t="s">
        <v>0</v>
      </c>
      <c r="C510" s="44" t="s">
        <v>90</v>
      </c>
      <c r="D510" s="22" t="s">
        <v>2</v>
      </c>
      <c r="E510" s="20">
        <v>1</v>
      </c>
      <c r="F510" s="17" t="s">
        <v>120</v>
      </c>
      <c r="G510" s="17" t="s">
        <v>198</v>
      </c>
      <c r="H510" s="17" t="s">
        <v>199</v>
      </c>
      <c r="I510" s="17" t="s">
        <v>200</v>
      </c>
      <c r="J510" s="27" t="s">
        <v>91</v>
      </c>
      <c r="K510" s="29">
        <v>117</v>
      </c>
      <c r="L510" s="31">
        <v>65289.160000030002</v>
      </c>
      <c r="M510" s="31">
        <v>13286.300000097001</v>
      </c>
      <c r="N510" s="31">
        <v>9440.3500000550011</v>
      </c>
      <c r="O510" s="34">
        <f t="shared" si="68"/>
        <v>0.20349932515735988</v>
      </c>
      <c r="P510" s="34">
        <f t="shared" si="69"/>
        <v>0.71053265393571419</v>
      </c>
      <c r="Q510" s="34">
        <f t="shared" si="70"/>
        <v>0.79650067484264009</v>
      </c>
      <c r="R510" s="46">
        <f t="shared" si="71"/>
        <v>80.686752137222228</v>
      </c>
    </row>
    <row r="511" spans="2:18" ht="12.75" customHeight="1" x14ac:dyDescent="0.25">
      <c r="B511" s="17" t="s">
        <v>0</v>
      </c>
      <c r="C511" s="44" t="s">
        <v>40</v>
      </c>
      <c r="D511" s="22" t="s">
        <v>2</v>
      </c>
      <c r="E511" s="20">
        <v>1</v>
      </c>
      <c r="F511" s="17" t="s">
        <v>120</v>
      </c>
      <c r="G511" s="17" t="s">
        <v>198</v>
      </c>
      <c r="H511" s="17" t="s">
        <v>199</v>
      </c>
      <c r="I511" s="17" t="s">
        <v>200</v>
      </c>
      <c r="J511" s="27" t="s">
        <v>41</v>
      </c>
      <c r="K511" s="29">
        <v>76</v>
      </c>
      <c r="L511" s="31">
        <v>67412</v>
      </c>
      <c r="M511" s="31">
        <v>11317.060000150001</v>
      </c>
      <c r="N511" s="31">
        <v>8813.7600002250001</v>
      </c>
      <c r="O511" s="34">
        <f t="shared" si="68"/>
        <v>0.16787901264092447</v>
      </c>
      <c r="P511" s="34">
        <f t="shared" si="69"/>
        <v>0.77880297534060783</v>
      </c>
      <c r="Q511" s="34">
        <f t="shared" si="70"/>
        <v>0.83212098735907558</v>
      </c>
      <c r="R511" s="46">
        <f t="shared" si="71"/>
        <v>115.97052631875</v>
      </c>
    </row>
    <row r="512" spans="2:18" ht="12.75" customHeight="1" x14ac:dyDescent="0.25">
      <c r="B512" s="17" t="s">
        <v>0</v>
      </c>
      <c r="C512" s="44" t="s">
        <v>96</v>
      </c>
      <c r="D512" s="22" t="s">
        <v>2</v>
      </c>
      <c r="E512" s="20">
        <v>1</v>
      </c>
      <c r="F512" s="17" t="s">
        <v>120</v>
      </c>
      <c r="G512" s="17" t="s">
        <v>198</v>
      </c>
      <c r="H512" s="17" t="s">
        <v>199</v>
      </c>
      <c r="I512" s="17" t="s">
        <v>200</v>
      </c>
      <c r="J512" s="27" t="s">
        <v>97</v>
      </c>
      <c r="K512" s="29">
        <v>73</v>
      </c>
      <c r="L512" s="31">
        <v>104331</v>
      </c>
      <c r="M512" s="31">
        <v>10697.83000014</v>
      </c>
      <c r="N512" s="31">
        <v>8523.4400001729991</v>
      </c>
      <c r="O512" s="34">
        <f t="shared" si="68"/>
        <v>0.10253740499122983</v>
      </c>
      <c r="P512" s="34">
        <f t="shared" si="69"/>
        <v>0.79674476039172937</v>
      </c>
      <c r="Q512" s="34">
        <f t="shared" si="70"/>
        <v>0.89746259500877013</v>
      </c>
      <c r="R512" s="46">
        <f t="shared" si="71"/>
        <v>116.75945205716437</v>
      </c>
    </row>
    <row r="513" spans="2:18" ht="12.75" customHeight="1" x14ac:dyDescent="0.25">
      <c r="B513" s="17" t="s">
        <v>0</v>
      </c>
      <c r="C513" s="44" t="s">
        <v>110</v>
      </c>
      <c r="D513" s="22" t="s">
        <v>2</v>
      </c>
      <c r="E513" s="20">
        <v>1</v>
      </c>
      <c r="F513" s="17" t="s">
        <v>120</v>
      </c>
      <c r="G513" s="17" t="s">
        <v>198</v>
      </c>
      <c r="H513" s="17" t="s">
        <v>199</v>
      </c>
      <c r="I513" s="17" t="s">
        <v>200</v>
      </c>
      <c r="J513" s="27" t="s">
        <v>111</v>
      </c>
      <c r="K513" s="29">
        <v>67</v>
      </c>
      <c r="L513" s="31">
        <v>137865</v>
      </c>
      <c r="M513" s="31">
        <v>9331.7400001000005</v>
      </c>
      <c r="N513" s="31">
        <v>7093.7000000150001</v>
      </c>
      <c r="O513" s="34">
        <f t="shared" si="68"/>
        <v>6.7687520401117043E-2</v>
      </c>
      <c r="P513" s="34">
        <f t="shared" si="69"/>
        <v>0.76016905742540863</v>
      </c>
      <c r="Q513" s="34">
        <f t="shared" si="70"/>
        <v>0.93231247959888297</v>
      </c>
      <c r="R513" s="46">
        <f t="shared" si="71"/>
        <v>105.87611940320896</v>
      </c>
    </row>
    <row r="514" spans="2:18" ht="12.75" customHeight="1" x14ac:dyDescent="0.25">
      <c r="B514" s="17" t="s">
        <v>0</v>
      </c>
      <c r="C514" s="44" t="s">
        <v>44</v>
      </c>
      <c r="D514" s="22" t="s">
        <v>9</v>
      </c>
      <c r="E514" s="20">
        <v>2</v>
      </c>
      <c r="F514" s="17" t="s">
        <v>120</v>
      </c>
      <c r="G514" s="17" t="s">
        <v>198</v>
      </c>
      <c r="H514" s="17" t="s">
        <v>199</v>
      </c>
      <c r="I514" s="17" t="s">
        <v>200</v>
      </c>
      <c r="J514" s="27" t="s">
        <v>45</v>
      </c>
      <c r="K514" s="29">
        <v>51</v>
      </c>
      <c r="L514" s="31">
        <v>26211.450000000004</v>
      </c>
      <c r="M514" s="31">
        <v>8955.640000020001</v>
      </c>
      <c r="N514" s="31">
        <v>7044.0499999799995</v>
      </c>
      <c r="O514" s="34">
        <f t="shared" si="68"/>
        <v>0.34166900343246936</v>
      </c>
      <c r="P514" s="34">
        <f t="shared" si="69"/>
        <v>0.78654903501751605</v>
      </c>
      <c r="Q514" s="34">
        <f t="shared" si="70"/>
        <v>0.65833099656753058</v>
      </c>
      <c r="R514" s="46">
        <f t="shared" si="71"/>
        <v>138.11862745058824</v>
      </c>
    </row>
    <row r="515" spans="2:18" ht="12.75" customHeight="1" x14ac:dyDescent="0.25">
      <c r="B515" s="17" t="s">
        <v>0</v>
      </c>
      <c r="C515" s="44" t="s">
        <v>153</v>
      </c>
      <c r="D515" s="22" t="s">
        <v>2</v>
      </c>
      <c r="E515" s="20">
        <v>1</v>
      </c>
      <c r="F515" s="17" t="s">
        <v>120</v>
      </c>
      <c r="G515" s="17" t="s">
        <v>198</v>
      </c>
      <c r="H515" s="17" t="s">
        <v>199</v>
      </c>
      <c r="I515" s="17" t="s">
        <v>200</v>
      </c>
      <c r="J515" s="27" t="s">
        <v>154</v>
      </c>
      <c r="K515" s="29">
        <v>48</v>
      </c>
      <c r="L515" s="31">
        <v>71328</v>
      </c>
      <c r="M515" s="31">
        <v>8677.700000159999</v>
      </c>
      <c r="N515" s="31">
        <v>6885.2199998400001</v>
      </c>
      <c r="O515" s="34">
        <f t="shared" si="68"/>
        <v>0.12165909600942125</v>
      </c>
      <c r="P515" s="34">
        <f t="shared" si="69"/>
        <v>0.79343835344769365</v>
      </c>
      <c r="Q515" s="34">
        <f t="shared" si="70"/>
        <v>0.87834090399057874</v>
      </c>
      <c r="R515" s="46">
        <f t="shared" si="71"/>
        <v>143.44208333</v>
      </c>
    </row>
    <row r="516" spans="2:18" ht="12.75" customHeight="1" x14ac:dyDescent="0.25">
      <c r="B516" s="17" t="s">
        <v>0</v>
      </c>
      <c r="C516" s="44" t="s">
        <v>137</v>
      </c>
      <c r="D516" s="22" t="s">
        <v>2</v>
      </c>
      <c r="E516" s="20">
        <v>1</v>
      </c>
      <c r="F516" s="17" t="s">
        <v>120</v>
      </c>
      <c r="G516" s="17" t="s">
        <v>198</v>
      </c>
      <c r="H516" s="17" t="s">
        <v>199</v>
      </c>
      <c r="I516" s="17" t="s">
        <v>200</v>
      </c>
      <c r="J516" s="27" t="s">
        <v>138</v>
      </c>
      <c r="K516" s="29">
        <v>41</v>
      </c>
      <c r="L516" s="31">
        <v>47794</v>
      </c>
      <c r="M516" s="31">
        <v>6148.8299999700002</v>
      </c>
      <c r="N516" s="31">
        <v>4788.6599999700002</v>
      </c>
      <c r="O516" s="34">
        <f t="shared" si="68"/>
        <v>0.12865275976001173</v>
      </c>
      <c r="P516" s="34">
        <f t="shared" si="69"/>
        <v>0.77879206287917602</v>
      </c>
      <c r="Q516" s="34">
        <f t="shared" si="70"/>
        <v>0.87134724023998822</v>
      </c>
      <c r="R516" s="46">
        <f t="shared" si="71"/>
        <v>116.79658536512196</v>
      </c>
    </row>
    <row r="517" spans="2:18" ht="12.75" customHeight="1" x14ac:dyDescent="0.25">
      <c r="B517" s="17" t="s">
        <v>0</v>
      </c>
      <c r="C517" s="44" t="s">
        <v>68</v>
      </c>
      <c r="D517" s="22" t="s">
        <v>2</v>
      </c>
      <c r="E517" s="20">
        <v>1</v>
      </c>
      <c r="F517" s="17" t="s">
        <v>120</v>
      </c>
      <c r="G517" s="17" t="s">
        <v>198</v>
      </c>
      <c r="H517" s="17" t="s">
        <v>199</v>
      </c>
      <c r="I517" s="17" t="s">
        <v>200</v>
      </c>
      <c r="J517" s="27" t="s">
        <v>69</v>
      </c>
      <c r="K517" s="29">
        <v>52</v>
      </c>
      <c r="L517" s="31">
        <v>16190</v>
      </c>
      <c r="M517" s="31">
        <v>5278.8199999400003</v>
      </c>
      <c r="N517" s="31">
        <v>4207.2900000540003</v>
      </c>
      <c r="O517" s="34">
        <f t="shared" si="68"/>
        <v>0.32605435453613346</v>
      </c>
      <c r="P517" s="34">
        <f t="shared" si="69"/>
        <v>0.79701334769926246</v>
      </c>
      <c r="Q517" s="34">
        <f t="shared" si="70"/>
        <v>0.67394564546386659</v>
      </c>
      <c r="R517" s="46">
        <f t="shared" si="71"/>
        <v>80.909423077961549</v>
      </c>
    </row>
    <row r="518" spans="2:18" ht="12.75" customHeight="1" x14ac:dyDescent="0.25">
      <c r="B518" s="17" t="s">
        <v>0</v>
      </c>
      <c r="C518" s="44" t="s">
        <v>16</v>
      </c>
      <c r="D518" s="22" t="s">
        <v>2</v>
      </c>
      <c r="E518" s="20">
        <v>1</v>
      </c>
      <c r="F518" s="17" t="s">
        <v>120</v>
      </c>
      <c r="G518" s="17" t="s">
        <v>198</v>
      </c>
      <c r="H518" s="17" t="s">
        <v>199</v>
      </c>
      <c r="I518" s="17" t="s">
        <v>200</v>
      </c>
      <c r="J518" s="27" t="s">
        <v>17</v>
      </c>
      <c r="K518" s="29">
        <v>37</v>
      </c>
      <c r="L518" s="31">
        <v>68098.999999099993</v>
      </c>
      <c r="M518" s="31">
        <v>5162.7999999999993</v>
      </c>
      <c r="N518" s="31">
        <v>3890.5700000010002</v>
      </c>
      <c r="O518" s="34">
        <f t="shared" si="68"/>
        <v>7.5813154379186648E-2</v>
      </c>
      <c r="P518" s="34">
        <f t="shared" si="69"/>
        <v>0.75357751607674139</v>
      </c>
      <c r="Q518" s="34">
        <f t="shared" si="70"/>
        <v>0.92418684562081332</v>
      </c>
      <c r="R518" s="46">
        <f t="shared" si="71"/>
        <v>105.15054054056758</v>
      </c>
    </row>
    <row r="519" spans="2:18" ht="12.75" customHeight="1" x14ac:dyDescent="0.25">
      <c r="B519" s="17" t="s">
        <v>0</v>
      </c>
      <c r="C519" s="44" t="s">
        <v>105</v>
      </c>
      <c r="D519" s="22" t="s">
        <v>2</v>
      </c>
      <c r="E519" s="20">
        <v>1</v>
      </c>
      <c r="F519" s="17" t="s">
        <v>120</v>
      </c>
      <c r="G519" s="17" t="s">
        <v>198</v>
      </c>
      <c r="H519" s="17" t="s">
        <v>199</v>
      </c>
      <c r="I519" s="17" t="s">
        <v>200</v>
      </c>
      <c r="J519" s="27" t="s">
        <v>106</v>
      </c>
      <c r="K519" s="29">
        <v>31</v>
      </c>
      <c r="L519" s="31">
        <v>39485</v>
      </c>
      <c r="M519" s="31">
        <v>4735.5599999400001</v>
      </c>
      <c r="N519" s="31">
        <v>3716.6599999959999</v>
      </c>
      <c r="O519" s="34">
        <f t="shared" si="68"/>
        <v>0.11993313916525263</v>
      </c>
      <c r="P519" s="34">
        <f t="shared" si="69"/>
        <v>0.78484065243457801</v>
      </c>
      <c r="Q519" s="34">
        <f t="shared" si="70"/>
        <v>0.88006686083474739</v>
      </c>
      <c r="R519" s="46">
        <f t="shared" si="71"/>
        <v>119.89225806438709</v>
      </c>
    </row>
    <row r="520" spans="2:18" ht="12.75" customHeight="1" x14ac:dyDescent="0.25">
      <c r="B520" s="17" t="s">
        <v>0</v>
      </c>
      <c r="C520" s="44" t="s">
        <v>24</v>
      </c>
      <c r="D520" s="22" t="s">
        <v>2</v>
      </c>
      <c r="E520" s="20">
        <v>1</v>
      </c>
      <c r="F520" s="17" t="s">
        <v>120</v>
      </c>
      <c r="G520" s="17" t="s">
        <v>198</v>
      </c>
      <c r="H520" s="17" t="s">
        <v>199</v>
      </c>
      <c r="I520" s="17" t="s">
        <v>200</v>
      </c>
      <c r="J520" s="27" t="s">
        <v>25</v>
      </c>
      <c r="K520" s="29">
        <v>27</v>
      </c>
      <c r="L520" s="31">
        <v>23668.039999999997</v>
      </c>
      <c r="M520" s="31">
        <v>4459.76</v>
      </c>
      <c r="N520" s="31">
        <v>3590.0299999999997</v>
      </c>
      <c r="O520" s="34">
        <f t="shared" si="68"/>
        <v>0.18842962915391392</v>
      </c>
      <c r="P520" s="34">
        <f t="shared" si="69"/>
        <v>0.80498277934238605</v>
      </c>
      <c r="Q520" s="34">
        <f t="shared" si="70"/>
        <v>0.81157037084608608</v>
      </c>
      <c r="R520" s="46">
        <f t="shared" si="71"/>
        <v>132.96407407407406</v>
      </c>
    </row>
    <row r="521" spans="2:18" ht="12.75" customHeight="1" x14ac:dyDescent="0.25">
      <c r="B521" s="17" t="s">
        <v>0</v>
      </c>
      <c r="C521" s="44" t="s">
        <v>166</v>
      </c>
      <c r="D521" s="22" t="s">
        <v>2</v>
      </c>
      <c r="E521" s="20">
        <v>1</v>
      </c>
      <c r="F521" s="17" t="s">
        <v>120</v>
      </c>
      <c r="G521" s="17" t="s">
        <v>198</v>
      </c>
      <c r="H521" s="17" t="s">
        <v>199</v>
      </c>
      <c r="I521" s="17" t="s">
        <v>200</v>
      </c>
      <c r="J521" s="27" t="s">
        <v>167</v>
      </c>
      <c r="K521" s="29">
        <v>64</v>
      </c>
      <c r="L521" s="31">
        <v>16000</v>
      </c>
      <c r="M521" s="31">
        <v>4985</v>
      </c>
      <c r="N521" s="31">
        <v>3585.58</v>
      </c>
      <c r="O521" s="34">
        <f t="shared" si="68"/>
        <v>0.31156250000000002</v>
      </c>
      <c r="P521" s="34">
        <f t="shared" si="69"/>
        <v>0.71927382146439311</v>
      </c>
      <c r="Q521" s="34">
        <f t="shared" si="70"/>
        <v>0.68843750000000004</v>
      </c>
      <c r="R521" s="46">
        <f t="shared" si="71"/>
        <v>56.024687499999999</v>
      </c>
    </row>
    <row r="522" spans="2:18" ht="12.75" customHeight="1" x14ac:dyDescent="0.25">
      <c r="B522" s="17" t="s">
        <v>0</v>
      </c>
      <c r="C522" s="44" t="s">
        <v>48</v>
      </c>
      <c r="D522" s="22" t="s">
        <v>2</v>
      </c>
      <c r="E522" s="20">
        <v>1</v>
      </c>
      <c r="F522" s="17" t="s">
        <v>120</v>
      </c>
      <c r="G522" s="17" t="s">
        <v>198</v>
      </c>
      <c r="H522" s="17" t="s">
        <v>199</v>
      </c>
      <c r="I522" s="17" t="s">
        <v>200</v>
      </c>
      <c r="J522" s="27" t="s">
        <v>49</v>
      </c>
      <c r="K522" s="29">
        <v>38</v>
      </c>
      <c r="L522" s="31">
        <v>11780.13000003</v>
      </c>
      <c r="M522" s="31">
        <v>4393.72</v>
      </c>
      <c r="N522" s="31">
        <v>3516.05</v>
      </c>
      <c r="O522" s="34">
        <f t="shared" si="68"/>
        <v>0.37297720823019875</v>
      </c>
      <c r="P522" s="34">
        <f t="shared" si="69"/>
        <v>0.80024443979133852</v>
      </c>
      <c r="Q522" s="34">
        <f t="shared" si="70"/>
        <v>0.62702279176980125</v>
      </c>
      <c r="R522" s="46">
        <f t="shared" si="71"/>
        <v>92.527631578947378</v>
      </c>
    </row>
    <row r="523" spans="2:18" ht="12.75" customHeight="1" x14ac:dyDescent="0.25">
      <c r="B523" s="17" t="s">
        <v>0</v>
      </c>
      <c r="C523" s="44" t="s">
        <v>62</v>
      </c>
      <c r="D523" s="22" t="s">
        <v>9</v>
      </c>
      <c r="E523" s="20">
        <v>2</v>
      </c>
      <c r="F523" s="17" t="s">
        <v>120</v>
      </c>
      <c r="G523" s="17" t="s">
        <v>198</v>
      </c>
      <c r="H523" s="17" t="s">
        <v>199</v>
      </c>
      <c r="I523" s="17" t="s">
        <v>200</v>
      </c>
      <c r="J523" s="27" t="s">
        <v>63</v>
      </c>
      <c r="K523" s="29">
        <v>28</v>
      </c>
      <c r="L523" s="31">
        <v>12404.36</v>
      </c>
      <c r="M523" s="31">
        <v>4364.6499999999996</v>
      </c>
      <c r="N523" s="31">
        <v>3477.45</v>
      </c>
      <c r="O523" s="34">
        <f t="shared" si="68"/>
        <v>0.35186418323879665</v>
      </c>
      <c r="P523" s="34">
        <f t="shared" si="69"/>
        <v>0.79673055113239322</v>
      </c>
      <c r="Q523" s="34">
        <f t="shared" si="70"/>
        <v>0.64813581676120335</v>
      </c>
      <c r="R523" s="46">
        <f t="shared" si="71"/>
        <v>124.19464285714285</v>
      </c>
    </row>
    <row r="524" spans="2:18" ht="12.75" customHeight="1" x14ac:dyDescent="0.25">
      <c r="B524" s="17" t="s">
        <v>0</v>
      </c>
      <c r="C524" s="44" t="s">
        <v>157</v>
      </c>
      <c r="D524" s="22" t="s">
        <v>2</v>
      </c>
      <c r="E524" s="20">
        <v>1</v>
      </c>
      <c r="F524" s="17" t="s">
        <v>120</v>
      </c>
      <c r="G524" s="17" t="s">
        <v>198</v>
      </c>
      <c r="H524" s="17" t="s">
        <v>199</v>
      </c>
      <c r="I524" s="17" t="s">
        <v>200</v>
      </c>
      <c r="J524" s="27" t="s">
        <v>158</v>
      </c>
      <c r="K524" s="29">
        <v>36</v>
      </c>
      <c r="L524" s="31">
        <v>38864</v>
      </c>
      <c r="M524" s="31">
        <v>4998.08</v>
      </c>
      <c r="N524" s="31">
        <v>3378.23</v>
      </c>
      <c r="O524" s="34">
        <f t="shared" si="68"/>
        <v>0.12860436393577604</v>
      </c>
      <c r="P524" s="34">
        <f t="shared" si="69"/>
        <v>0.6759055477303284</v>
      </c>
      <c r="Q524" s="34">
        <f t="shared" si="70"/>
        <v>0.87139563606422399</v>
      </c>
      <c r="R524" s="46">
        <f t="shared" si="71"/>
        <v>93.839722222222221</v>
      </c>
    </row>
    <row r="525" spans="2:18" ht="12.75" customHeight="1" x14ac:dyDescent="0.25">
      <c r="B525" s="17" t="s">
        <v>0</v>
      </c>
      <c r="C525" s="44" t="s">
        <v>12</v>
      </c>
      <c r="D525" s="22" t="s">
        <v>2</v>
      </c>
      <c r="E525" s="20">
        <v>1</v>
      </c>
      <c r="F525" s="17" t="s">
        <v>120</v>
      </c>
      <c r="G525" s="17" t="s">
        <v>198</v>
      </c>
      <c r="H525" s="17" t="s">
        <v>199</v>
      </c>
      <c r="I525" s="17" t="s">
        <v>200</v>
      </c>
      <c r="J525" s="27" t="s">
        <v>13</v>
      </c>
      <c r="K525" s="29">
        <v>22</v>
      </c>
      <c r="L525" s="31">
        <v>6731.2000000300004</v>
      </c>
      <c r="M525" s="31">
        <v>2659.260000023</v>
      </c>
      <c r="N525" s="31">
        <v>2023.409999985</v>
      </c>
      <c r="O525" s="34">
        <f t="shared" si="68"/>
        <v>0.39506477299904147</v>
      </c>
      <c r="P525" s="34">
        <f t="shared" si="69"/>
        <v>0.76089212787297955</v>
      </c>
      <c r="Q525" s="34">
        <f t="shared" si="70"/>
        <v>0.60493522700095848</v>
      </c>
      <c r="R525" s="46">
        <f t="shared" si="71"/>
        <v>91.973181817500006</v>
      </c>
    </row>
    <row r="526" spans="2:18" ht="12.75" customHeight="1" x14ac:dyDescent="0.25">
      <c r="B526" s="17" t="s">
        <v>0</v>
      </c>
      <c r="C526" s="44" t="s">
        <v>56</v>
      </c>
      <c r="D526" s="22" t="s">
        <v>2</v>
      </c>
      <c r="E526" s="20">
        <v>1</v>
      </c>
      <c r="F526" s="17" t="s">
        <v>120</v>
      </c>
      <c r="G526" s="17" t="s">
        <v>198</v>
      </c>
      <c r="H526" s="17" t="s">
        <v>199</v>
      </c>
      <c r="I526" s="17" t="s">
        <v>200</v>
      </c>
      <c r="J526" s="27" t="s">
        <v>57</v>
      </c>
      <c r="K526" s="29">
        <v>22</v>
      </c>
      <c r="L526" s="31">
        <v>6500.0000000100008</v>
      </c>
      <c r="M526" s="31">
        <v>2563.1399999699997</v>
      </c>
      <c r="N526" s="31">
        <v>1887.1100000060001</v>
      </c>
      <c r="O526" s="34">
        <f t="shared" si="68"/>
        <v>0.39432923076400861</v>
      </c>
      <c r="P526" s="34">
        <f t="shared" si="69"/>
        <v>0.73624928799366707</v>
      </c>
      <c r="Q526" s="34">
        <f t="shared" si="70"/>
        <v>0.60567076923599139</v>
      </c>
      <c r="R526" s="46">
        <f t="shared" si="71"/>
        <v>85.777727272999996</v>
      </c>
    </row>
    <row r="527" spans="2:18" ht="12.75" customHeight="1" x14ac:dyDescent="0.25">
      <c r="B527" s="17" t="s">
        <v>0</v>
      </c>
      <c r="C527" s="44" t="s">
        <v>82</v>
      </c>
      <c r="D527" s="22" t="s">
        <v>2</v>
      </c>
      <c r="E527" s="20">
        <v>1</v>
      </c>
      <c r="F527" s="17" t="s">
        <v>120</v>
      </c>
      <c r="G527" s="17" t="s">
        <v>198</v>
      </c>
      <c r="H527" s="17" t="s">
        <v>199</v>
      </c>
      <c r="I527" s="17" t="s">
        <v>200</v>
      </c>
      <c r="J527" s="27" t="s">
        <v>83</v>
      </c>
      <c r="K527" s="29">
        <v>13</v>
      </c>
      <c r="L527" s="31">
        <v>58689.999999799998</v>
      </c>
      <c r="M527" s="31">
        <v>1534.27999998</v>
      </c>
      <c r="N527" s="31">
        <v>1124.6400000030001</v>
      </c>
      <c r="O527" s="34">
        <f t="shared" si="68"/>
        <v>2.6142102572588661E-2</v>
      </c>
      <c r="P527" s="34">
        <f t="shared" si="69"/>
        <v>0.7330083166160416</v>
      </c>
      <c r="Q527" s="34">
        <f t="shared" si="70"/>
        <v>0.97385789742741136</v>
      </c>
      <c r="R527" s="46">
        <f t="shared" si="71"/>
        <v>86.510769231000012</v>
      </c>
    </row>
    <row r="528" spans="2:18" ht="12.75" customHeight="1" x14ac:dyDescent="0.25">
      <c r="B528" s="17" t="s">
        <v>0</v>
      </c>
      <c r="C528" s="44" t="s">
        <v>135</v>
      </c>
      <c r="D528" s="22" t="s">
        <v>2</v>
      </c>
      <c r="E528" s="20">
        <v>1</v>
      </c>
      <c r="F528" s="17" t="s">
        <v>120</v>
      </c>
      <c r="G528" s="17" t="s">
        <v>198</v>
      </c>
      <c r="H528" s="17" t="s">
        <v>199</v>
      </c>
      <c r="I528" s="17" t="s">
        <v>200</v>
      </c>
      <c r="J528" s="27" t="s">
        <v>136</v>
      </c>
      <c r="K528" s="29">
        <v>13</v>
      </c>
      <c r="L528" s="31">
        <v>3128.9999999700003</v>
      </c>
      <c r="M528" s="31">
        <v>1296.269999999</v>
      </c>
      <c r="N528" s="31">
        <v>955.73000000399998</v>
      </c>
      <c r="O528" s="34">
        <f t="shared" si="68"/>
        <v>0.41427612656165808</v>
      </c>
      <c r="P528" s="34">
        <f t="shared" si="69"/>
        <v>0.73729238507775174</v>
      </c>
      <c r="Q528" s="34">
        <f t="shared" si="70"/>
        <v>0.58572387343834187</v>
      </c>
      <c r="R528" s="46">
        <f t="shared" si="71"/>
        <v>73.517692307999994</v>
      </c>
    </row>
    <row r="529" spans="2:18" ht="12.75" customHeight="1" x14ac:dyDescent="0.25">
      <c r="B529" s="17" t="s">
        <v>0</v>
      </c>
      <c r="C529" s="44" t="s">
        <v>74</v>
      </c>
      <c r="D529" s="22" t="s">
        <v>2</v>
      </c>
      <c r="E529" s="20">
        <v>1</v>
      </c>
      <c r="F529" s="17" t="s">
        <v>120</v>
      </c>
      <c r="G529" s="17" t="s">
        <v>198</v>
      </c>
      <c r="H529" s="17" t="s">
        <v>199</v>
      </c>
      <c r="I529" s="17" t="s">
        <v>200</v>
      </c>
      <c r="J529" s="27" t="s">
        <v>75</v>
      </c>
      <c r="K529" s="29">
        <v>12</v>
      </c>
      <c r="L529" s="31">
        <v>475800</v>
      </c>
      <c r="M529" s="31">
        <v>1426.6100000399999</v>
      </c>
      <c r="N529" s="31">
        <v>944.85999999599994</v>
      </c>
      <c r="O529" s="34">
        <f t="shared" si="68"/>
        <v>2.9983396385876416E-3</v>
      </c>
      <c r="P529" s="34">
        <f t="shared" si="69"/>
        <v>0.66231135346696546</v>
      </c>
      <c r="Q529" s="34">
        <f t="shared" si="70"/>
        <v>0.99700166036141236</v>
      </c>
      <c r="R529" s="46">
        <f t="shared" si="71"/>
        <v>78.738333333</v>
      </c>
    </row>
    <row r="530" spans="2:18" ht="12.75" customHeight="1" thickBot="1" x14ac:dyDescent="0.3">
      <c r="B530" s="15" t="s">
        <v>0</v>
      </c>
      <c r="C530" s="50" t="s">
        <v>64</v>
      </c>
      <c r="D530" s="19" t="s">
        <v>2</v>
      </c>
      <c r="E530" s="16">
        <v>1</v>
      </c>
      <c r="F530" s="15" t="s">
        <v>120</v>
      </c>
      <c r="G530" s="15" t="s">
        <v>198</v>
      </c>
      <c r="H530" s="15" t="s">
        <v>199</v>
      </c>
      <c r="I530" s="15" t="s">
        <v>200</v>
      </c>
      <c r="J530" s="24" t="s">
        <v>65</v>
      </c>
      <c r="K530" s="26">
        <v>12</v>
      </c>
      <c r="L530" s="28">
        <v>2406</v>
      </c>
      <c r="M530" s="28">
        <v>811.05000000000007</v>
      </c>
      <c r="N530" s="28">
        <v>646.16000000400004</v>
      </c>
      <c r="O530" s="32">
        <f t="shared" si="68"/>
        <v>0.33709476309226938</v>
      </c>
      <c r="P530" s="32">
        <f t="shared" si="69"/>
        <v>0.79669564145737004</v>
      </c>
      <c r="Q530" s="32">
        <f t="shared" si="70"/>
        <v>0.66290523690773062</v>
      </c>
      <c r="R530" s="49">
        <f t="shared" si="71"/>
        <v>53.846666667000001</v>
      </c>
    </row>
    <row r="531" spans="2:18" ht="17.25" customHeight="1" x14ac:dyDescent="0.25">
      <c r="B531" s="48"/>
      <c r="C531" s="58"/>
      <c r="D531" s="51" t="s">
        <v>366</v>
      </c>
      <c r="E531" s="52"/>
      <c r="F531" s="52"/>
      <c r="G531" s="53"/>
      <c r="H531" s="53"/>
      <c r="I531" s="53"/>
      <c r="J531" s="54"/>
      <c r="K531" s="55">
        <f>SUM(K483:K530)</f>
        <v>889911</v>
      </c>
      <c r="L531" s="56">
        <f>SUM(L483:L530)</f>
        <v>1177097412.6296711</v>
      </c>
      <c r="M531" s="56">
        <f>SUM(M483:M530)</f>
        <v>130888924.38996238</v>
      </c>
      <c r="N531" s="56">
        <f>SUM(N483:N530)</f>
        <v>99668750.579951197</v>
      </c>
      <c r="O531" s="57">
        <f>IFERROR(M531/L531,0)</f>
        <v>0.11119634023963453</v>
      </c>
      <c r="P531" s="57">
        <f>IFERROR(N531/M531,0)</f>
        <v>0.76147581657103602</v>
      </c>
      <c r="Q531" s="57">
        <f>IFERROR(1-(M531/L531),0)</f>
        <v>0.88880365976036546</v>
      </c>
      <c r="R531" s="59">
        <f>IFERROR(N531/K531,0)</f>
        <v>111.99856005819818</v>
      </c>
    </row>
    <row r="532" spans="2:18" ht="15.75" thickBot="1" x14ac:dyDescent="0.3">
      <c r="B532" s="60"/>
      <c r="C532" s="64"/>
      <c r="D532" s="62" t="s">
        <v>200</v>
      </c>
      <c r="E532" s="61"/>
      <c r="F532" s="61"/>
      <c r="G532" s="61"/>
      <c r="H532" s="61"/>
      <c r="I532" s="61"/>
      <c r="J532" s="61"/>
      <c r="K532" s="63"/>
      <c r="L532" s="63"/>
      <c r="M532" s="63"/>
      <c r="N532" s="63"/>
      <c r="O532" s="63"/>
      <c r="P532" s="63"/>
      <c r="Q532" s="63"/>
      <c r="R532" s="65"/>
    </row>
    <row r="533" spans="2:18" ht="15.75" thickBot="1" x14ac:dyDescent="0.3"/>
    <row r="534" spans="2:18" ht="15.75" x14ac:dyDescent="0.25">
      <c r="B534" s="1"/>
      <c r="C534" s="7" t="s">
        <v>348</v>
      </c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9"/>
    </row>
    <row r="535" spans="2:18" ht="18" x14ac:dyDescent="0.25">
      <c r="B535" s="2"/>
      <c r="C535" s="8" t="s">
        <v>203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10"/>
    </row>
    <row r="536" spans="2:18" ht="15.75" thickBot="1" x14ac:dyDescent="0.3">
      <c r="B536" s="3"/>
      <c r="C536" s="11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12"/>
    </row>
    <row r="537" spans="2:18" ht="17.25" customHeight="1" thickBot="1" x14ac:dyDescent="0.3">
      <c r="B537" s="14" t="s">
        <v>349</v>
      </c>
      <c r="C537" s="18" t="s">
        <v>350</v>
      </c>
      <c r="D537" s="21" t="s">
        <v>351</v>
      </c>
      <c r="E537" s="23" t="s">
        <v>352</v>
      </c>
      <c r="F537" s="21" t="s">
        <v>353</v>
      </c>
      <c r="G537" s="23" t="s">
        <v>354</v>
      </c>
      <c r="H537" s="23" t="s">
        <v>355</v>
      </c>
      <c r="I537" s="23" t="s">
        <v>356</v>
      </c>
      <c r="J537" s="25" t="s">
        <v>357</v>
      </c>
      <c r="K537" s="25" t="s">
        <v>358</v>
      </c>
      <c r="L537" s="30" t="s">
        <v>359</v>
      </c>
      <c r="M537" s="30" t="s">
        <v>360</v>
      </c>
      <c r="N537" s="30" t="s">
        <v>361</v>
      </c>
      <c r="O537" s="33" t="s">
        <v>362</v>
      </c>
      <c r="P537" s="33" t="s">
        <v>363</v>
      </c>
      <c r="Q537" s="33" t="s">
        <v>364</v>
      </c>
      <c r="R537" s="35" t="s">
        <v>365</v>
      </c>
    </row>
    <row r="538" spans="2:18" ht="12.75" customHeight="1" x14ac:dyDescent="0.25">
      <c r="B538" s="17" t="s">
        <v>0</v>
      </c>
      <c r="C538" s="43" t="s">
        <v>46</v>
      </c>
      <c r="D538" s="37" t="s">
        <v>9</v>
      </c>
      <c r="E538" s="36">
        <v>2</v>
      </c>
      <c r="F538" s="38" t="s">
        <v>120</v>
      </c>
      <c r="G538" s="38" t="s">
        <v>201</v>
      </c>
      <c r="H538" s="38" t="s">
        <v>202</v>
      </c>
      <c r="I538" s="38" t="s">
        <v>203</v>
      </c>
      <c r="J538" s="39" t="s">
        <v>47</v>
      </c>
      <c r="K538" s="40">
        <v>428940</v>
      </c>
      <c r="L538" s="41">
        <v>96618277.55995363</v>
      </c>
      <c r="M538" s="41">
        <v>44221232.96998474</v>
      </c>
      <c r="N538" s="41">
        <v>33046879.839991745</v>
      </c>
      <c r="O538" s="42">
        <f t="shared" ref="O538:O569" si="72">IFERROR(M538/L538,0)</f>
        <v>0.45769013986556067</v>
      </c>
      <c r="P538" s="42">
        <f t="shared" ref="P538:P569" si="73">IFERROR(N538/M538,0)</f>
        <v>0.74730796996145243</v>
      </c>
      <c r="Q538" s="42">
        <f t="shared" ref="Q538:Q569" si="74">IFERROR(1-(M538/L538),0)</f>
        <v>0.54230986013443938</v>
      </c>
      <c r="R538" s="45">
        <f t="shared" ref="R538:R569" si="75">IFERROR(N538/K538,0)</f>
        <v>77.043129202200177</v>
      </c>
    </row>
    <row r="539" spans="2:18" ht="12.75" customHeight="1" x14ac:dyDescent="0.25">
      <c r="B539" s="17" t="s">
        <v>0</v>
      </c>
      <c r="C539" s="44" t="s">
        <v>30</v>
      </c>
      <c r="D539" s="22" t="s">
        <v>9</v>
      </c>
      <c r="E539" s="20">
        <v>2</v>
      </c>
      <c r="F539" s="17" t="s">
        <v>120</v>
      </c>
      <c r="G539" s="17" t="s">
        <v>201</v>
      </c>
      <c r="H539" s="17" t="s">
        <v>202</v>
      </c>
      <c r="I539" s="17" t="s">
        <v>203</v>
      </c>
      <c r="J539" s="27" t="s">
        <v>31</v>
      </c>
      <c r="K539" s="29">
        <v>123405</v>
      </c>
      <c r="L539" s="31">
        <v>21973301.299988847</v>
      </c>
      <c r="M539" s="31">
        <v>11274317.620001331</v>
      </c>
      <c r="N539" s="31">
        <v>8514910.4900000021</v>
      </c>
      <c r="O539" s="34">
        <f t="shared" si="72"/>
        <v>0.51309165910390775</v>
      </c>
      <c r="P539" s="34">
        <f t="shared" si="73"/>
        <v>0.75524841298545897</v>
      </c>
      <c r="Q539" s="34">
        <f t="shared" si="74"/>
        <v>0.48690834089609225</v>
      </c>
      <c r="R539" s="46">
        <f t="shared" si="75"/>
        <v>68.999720351687543</v>
      </c>
    </row>
    <row r="540" spans="2:18" ht="12.75" customHeight="1" x14ac:dyDescent="0.25">
      <c r="B540" s="17" t="s">
        <v>0</v>
      </c>
      <c r="C540" s="44" t="s">
        <v>54</v>
      </c>
      <c r="D540" s="22" t="s">
        <v>9</v>
      </c>
      <c r="E540" s="20">
        <v>2</v>
      </c>
      <c r="F540" s="17" t="s">
        <v>120</v>
      </c>
      <c r="G540" s="17" t="s">
        <v>201</v>
      </c>
      <c r="H540" s="17" t="s">
        <v>202</v>
      </c>
      <c r="I540" s="17" t="s">
        <v>203</v>
      </c>
      <c r="J540" s="27" t="s">
        <v>55</v>
      </c>
      <c r="K540" s="29">
        <v>87419</v>
      </c>
      <c r="L540" s="31">
        <v>14774561.739985976</v>
      </c>
      <c r="M540" s="31">
        <v>7663267.0599777885</v>
      </c>
      <c r="N540" s="31">
        <v>5707517.4499981152</v>
      </c>
      <c r="O540" s="34">
        <f t="shared" si="72"/>
        <v>0.51867982244359023</v>
      </c>
      <c r="P540" s="34">
        <f t="shared" si="73"/>
        <v>0.74478905737296042</v>
      </c>
      <c r="Q540" s="34">
        <f t="shared" si="74"/>
        <v>0.48132017755640977</v>
      </c>
      <c r="R540" s="46">
        <f t="shared" si="75"/>
        <v>65.289210011531992</v>
      </c>
    </row>
    <row r="541" spans="2:18" ht="12.75" customHeight="1" x14ac:dyDescent="0.25">
      <c r="B541" s="17" t="s">
        <v>0</v>
      </c>
      <c r="C541" s="44" t="s">
        <v>50</v>
      </c>
      <c r="D541" s="22" t="s">
        <v>9</v>
      </c>
      <c r="E541" s="20">
        <v>2</v>
      </c>
      <c r="F541" s="17" t="s">
        <v>120</v>
      </c>
      <c r="G541" s="17" t="s">
        <v>201</v>
      </c>
      <c r="H541" s="17" t="s">
        <v>202</v>
      </c>
      <c r="I541" s="17" t="s">
        <v>203</v>
      </c>
      <c r="J541" s="27" t="s">
        <v>51</v>
      </c>
      <c r="K541" s="29">
        <v>30509</v>
      </c>
      <c r="L541" s="31">
        <v>6987181.1600046698</v>
      </c>
      <c r="M541" s="31">
        <v>2946080.4000142128</v>
      </c>
      <c r="N541" s="31">
        <v>2167189.0100039039</v>
      </c>
      <c r="O541" s="34">
        <f t="shared" si="72"/>
        <v>0.42164076364269393</v>
      </c>
      <c r="P541" s="34">
        <f t="shared" si="73"/>
        <v>0.73561774145520564</v>
      </c>
      <c r="Q541" s="34">
        <f t="shared" si="74"/>
        <v>0.57835923635730602</v>
      </c>
      <c r="R541" s="46">
        <f t="shared" si="75"/>
        <v>71.03441640184549</v>
      </c>
    </row>
    <row r="542" spans="2:18" ht="12.75" customHeight="1" x14ac:dyDescent="0.25">
      <c r="B542" s="17" t="s">
        <v>0</v>
      </c>
      <c r="C542" s="44" t="s">
        <v>103</v>
      </c>
      <c r="D542" s="22" t="s">
        <v>9</v>
      </c>
      <c r="E542" s="20">
        <v>2</v>
      </c>
      <c r="F542" s="17" t="s">
        <v>120</v>
      </c>
      <c r="G542" s="17" t="s">
        <v>201</v>
      </c>
      <c r="H542" s="17" t="s">
        <v>202</v>
      </c>
      <c r="I542" s="17" t="s">
        <v>203</v>
      </c>
      <c r="J542" s="27" t="s">
        <v>104</v>
      </c>
      <c r="K542" s="29">
        <v>37901</v>
      </c>
      <c r="L542" s="31">
        <v>5333341.5899950359</v>
      </c>
      <c r="M542" s="31">
        <v>2754840.8899975629</v>
      </c>
      <c r="N542" s="31">
        <v>2032660.1699962423</v>
      </c>
      <c r="O542" s="34">
        <f t="shared" si="72"/>
        <v>0.51653186721912692</v>
      </c>
      <c r="P542" s="34">
        <f t="shared" si="73"/>
        <v>0.73785029740793506</v>
      </c>
      <c r="Q542" s="34">
        <f t="shared" si="74"/>
        <v>0.48346813278087308</v>
      </c>
      <c r="R542" s="46">
        <f t="shared" si="75"/>
        <v>53.630779398861307</v>
      </c>
    </row>
    <row r="543" spans="2:18" ht="12.75" customHeight="1" x14ac:dyDescent="0.25">
      <c r="B543" s="17" t="s">
        <v>0</v>
      </c>
      <c r="C543" s="44" t="s">
        <v>70</v>
      </c>
      <c r="D543" s="22" t="s">
        <v>9</v>
      </c>
      <c r="E543" s="20">
        <v>2</v>
      </c>
      <c r="F543" s="17" t="s">
        <v>120</v>
      </c>
      <c r="G543" s="17" t="s">
        <v>201</v>
      </c>
      <c r="H543" s="17" t="s">
        <v>202</v>
      </c>
      <c r="I543" s="17" t="s">
        <v>203</v>
      </c>
      <c r="J543" s="27" t="s">
        <v>71</v>
      </c>
      <c r="K543" s="29">
        <v>14209</v>
      </c>
      <c r="L543" s="31">
        <v>2678521.550004567</v>
      </c>
      <c r="M543" s="31">
        <v>1581745.6499853763</v>
      </c>
      <c r="N543" s="31">
        <v>1192139.2099905729</v>
      </c>
      <c r="O543" s="34">
        <f t="shared" si="72"/>
        <v>0.59052937243782089</v>
      </c>
      <c r="P543" s="34">
        <f t="shared" si="73"/>
        <v>0.75368578380575568</v>
      </c>
      <c r="Q543" s="34">
        <f t="shared" si="74"/>
        <v>0.40947062756217911</v>
      </c>
      <c r="R543" s="46">
        <f t="shared" si="75"/>
        <v>83.900289252626706</v>
      </c>
    </row>
    <row r="544" spans="2:18" ht="12.75" customHeight="1" x14ac:dyDescent="0.25">
      <c r="B544" s="17" t="s">
        <v>0</v>
      </c>
      <c r="C544" s="44" t="s">
        <v>28</v>
      </c>
      <c r="D544" s="22" t="s">
        <v>9</v>
      </c>
      <c r="E544" s="20">
        <v>2</v>
      </c>
      <c r="F544" s="17" t="s">
        <v>120</v>
      </c>
      <c r="G544" s="17" t="s">
        <v>201</v>
      </c>
      <c r="H544" s="17" t="s">
        <v>202</v>
      </c>
      <c r="I544" s="17" t="s">
        <v>203</v>
      </c>
      <c r="J544" s="27" t="s">
        <v>29</v>
      </c>
      <c r="K544" s="29">
        <v>10292</v>
      </c>
      <c r="L544" s="31">
        <v>1864934.739988544</v>
      </c>
      <c r="M544" s="31">
        <v>951920.97000009997</v>
      </c>
      <c r="N544" s="31">
        <v>740209.27999924496</v>
      </c>
      <c r="O544" s="34">
        <f t="shared" si="72"/>
        <v>0.51043124973153076</v>
      </c>
      <c r="P544" s="34">
        <f t="shared" si="73"/>
        <v>0.77759530814744759</v>
      </c>
      <c r="Q544" s="34">
        <f t="shared" si="74"/>
        <v>0.48956875026846924</v>
      </c>
      <c r="R544" s="46">
        <f t="shared" si="75"/>
        <v>71.920839486906814</v>
      </c>
    </row>
    <row r="545" spans="2:18" ht="12.75" customHeight="1" x14ac:dyDescent="0.25">
      <c r="B545" s="17" t="s">
        <v>0</v>
      </c>
      <c r="C545" s="44" t="s">
        <v>137</v>
      </c>
      <c r="D545" s="22" t="s">
        <v>9</v>
      </c>
      <c r="E545" s="20">
        <v>2</v>
      </c>
      <c r="F545" s="17" t="s">
        <v>120</v>
      </c>
      <c r="G545" s="17" t="s">
        <v>201</v>
      </c>
      <c r="H545" s="17" t="s">
        <v>202</v>
      </c>
      <c r="I545" s="17" t="s">
        <v>203</v>
      </c>
      <c r="J545" s="27" t="s">
        <v>138</v>
      </c>
      <c r="K545" s="29">
        <v>6758</v>
      </c>
      <c r="L545" s="31">
        <v>1640788.7299996784</v>
      </c>
      <c r="M545" s="31">
        <v>739483.16999922483</v>
      </c>
      <c r="N545" s="31">
        <v>548292.94999904814</v>
      </c>
      <c r="O545" s="34">
        <f t="shared" si="72"/>
        <v>0.45068762143397323</v>
      </c>
      <c r="P545" s="34">
        <f t="shared" si="73"/>
        <v>0.74145426460432207</v>
      </c>
      <c r="Q545" s="34">
        <f t="shared" si="74"/>
        <v>0.54931237856602677</v>
      </c>
      <c r="R545" s="46">
        <f t="shared" si="75"/>
        <v>81.132428233064246</v>
      </c>
    </row>
    <row r="546" spans="2:18" ht="12.75" customHeight="1" x14ac:dyDescent="0.25">
      <c r="B546" s="17" t="s">
        <v>0</v>
      </c>
      <c r="C546" s="44" t="s">
        <v>135</v>
      </c>
      <c r="D546" s="22" t="s">
        <v>9</v>
      </c>
      <c r="E546" s="20">
        <v>2</v>
      </c>
      <c r="F546" s="17" t="s">
        <v>120</v>
      </c>
      <c r="G546" s="17" t="s">
        <v>201</v>
      </c>
      <c r="H546" s="17" t="s">
        <v>202</v>
      </c>
      <c r="I546" s="17" t="s">
        <v>203</v>
      </c>
      <c r="J546" s="27" t="s">
        <v>136</v>
      </c>
      <c r="K546" s="29">
        <v>5240</v>
      </c>
      <c r="L546" s="31">
        <v>1165030.8200005826</v>
      </c>
      <c r="M546" s="31">
        <v>611792.279998168</v>
      </c>
      <c r="N546" s="31">
        <v>455263.98000251508</v>
      </c>
      <c r="O546" s="34">
        <f t="shared" si="72"/>
        <v>0.52512969570870416</v>
      </c>
      <c r="P546" s="34">
        <f t="shared" si="73"/>
        <v>0.74414796473711364</v>
      </c>
      <c r="Q546" s="34">
        <f t="shared" si="74"/>
        <v>0.47487030429129584</v>
      </c>
      <c r="R546" s="46">
        <f t="shared" si="75"/>
        <v>86.882438931777685</v>
      </c>
    </row>
    <row r="547" spans="2:18" ht="12.75" customHeight="1" x14ac:dyDescent="0.25">
      <c r="B547" s="17" t="s">
        <v>0</v>
      </c>
      <c r="C547" s="44" t="s">
        <v>24</v>
      </c>
      <c r="D547" s="22" t="s">
        <v>9</v>
      </c>
      <c r="E547" s="20">
        <v>2</v>
      </c>
      <c r="F547" s="17" t="s">
        <v>120</v>
      </c>
      <c r="G547" s="17" t="s">
        <v>201</v>
      </c>
      <c r="H547" s="17" t="s">
        <v>202</v>
      </c>
      <c r="I547" s="17" t="s">
        <v>203</v>
      </c>
      <c r="J547" s="27" t="s">
        <v>25</v>
      </c>
      <c r="K547" s="29">
        <v>5219</v>
      </c>
      <c r="L547" s="31">
        <v>923796.39999463002</v>
      </c>
      <c r="M547" s="31">
        <v>479933.86999608803</v>
      </c>
      <c r="N547" s="31">
        <v>355495.24999900098</v>
      </c>
      <c r="O547" s="34">
        <f t="shared" si="72"/>
        <v>0.51952342529033224</v>
      </c>
      <c r="P547" s="34">
        <f t="shared" si="73"/>
        <v>0.74071715339010902</v>
      </c>
      <c r="Q547" s="34">
        <f t="shared" si="74"/>
        <v>0.48047657470966776</v>
      </c>
      <c r="R547" s="46">
        <f t="shared" si="75"/>
        <v>68.115587277064762</v>
      </c>
    </row>
    <row r="548" spans="2:18" ht="12.75" customHeight="1" x14ac:dyDescent="0.25">
      <c r="B548" s="17" t="s">
        <v>0</v>
      </c>
      <c r="C548" s="44" t="s">
        <v>62</v>
      </c>
      <c r="D548" s="22" t="s">
        <v>9</v>
      </c>
      <c r="E548" s="20">
        <v>2</v>
      </c>
      <c r="F548" s="17" t="s">
        <v>120</v>
      </c>
      <c r="G548" s="17" t="s">
        <v>201</v>
      </c>
      <c r="H548" s="17" t="s">
        <v>202</v>
      </c>
      <c r="I548" s="17" t="s">
        <v>203</v>
      </c>
      <c r="J548" s="27" t="s">
        <v>63</v>
      </c>
      <c r="K548" s="29">
        <v>3035</v>
      </c>
      <c r="L548" s="31">
        <v>447740.64999848203</v>
      </c>
      <c r="M548" s="31">
        <v>334490.26999450201</v>
      </c>
      <c r="N548" s="31">
        <v>247402.57000071302</v>
      </c>
      <c r="O548" s="34">
        <f t="shared" si="72"/>
        <v>0.74706254613164125</v>
      </c>
      <c r="P548" s="34">
        <f t="shared" si="73"/>
        <v>0.73964055816864138</v>
      </c>
      <c r="Q548" s="34">
        <f t="shared" si="74"/>
        <v>0.25293745386835875</v>
      </c>
      <c r="R548" s="46">
        <f t="shared" si="75"/>
        <v>81.516497529065248</v>
      </c>
    </row>
    <row r="549" spans="2:18" ht="12.75" customHeight="1" x14ac:dyDescent="0.25">
      <c r="B549" s="17" t="s">
        <v>0</v>
      </c>
      <c r="C549" s="44" t="s">
        <v>58</v>
      </c>
      <c r="D549" s="22" t="s">
        <v>9</v>
      </c>
      <c r="E549" s="20">
        <v>2</v>
      </c>
      <c r="F549" s="17" t="s">
        <v>120</v>
      </c>
      <c r="G549" s="17" t="s">
        <v>201</v>
      </c>
      <c r="H549" s="17" t="s">
        <v>202</v>
      </c>
      <c r="I549" s="17" t="s">
        <v>203</v>
      </c>
      <c r="J549" s="27" t="s">
        <v>59</v>
      </c>
      <c r="K549" s="29">
        <v>3281</v>
      </c>
      <c r="L549" s="31">
        <v>375600.2100003059</v>
      </c>
      <c r="M549" s="31">
        <v>176842.02999962299</v>
      </c>
      <c r="N549" s="31">
        <v>137011.39000024699</v>
      </c>
      <c r="O549" s="34">
        <f t="shared" si="72"/>
        <v>0.47082516274279762</v>
      </c>
      <c r="P549" s="34">
        <f t="shared" si="73"/>
        <v>0.77476711843072088</v>
      </c>
      <c r="Q549" s="34">
        <f t="shared" si="74"/>
        <v>0.52917483725720238</v>
      </c>
      <c r="R549" s="46">
        <f t="shared" si="75"/>
        <v>41.759033831224322</v>
      </c>
    </row>
    <row r="550" spans="2:18" ht="12.75" customHeight="1" x14ac:dyDescent="0.25">
      <c r="B550" s="17" t="s">
        <v>0</v>
      </c>
      <c r="C550" s="44" t="s">
        <v>127</v>
      </c>
      <c r="D550" s="22" t="s">
        <v>9</v>
      </c>
      <c r="E550" s="20">
        <v>2</v>
      </c>
      <c r="F550" s="17" t="s">
        <v>120</v>
      </c>
      <c r="G550" s="17" t="s">
        <v>201</v>
      </c>
      <c r="H550" s="17" t="s">
        <v>202</v>
      </c>
      <c r="I550" s="17" t="s">
        <v>203</v>
      </c>
      <c r="J550" s="27" t="s">
        <v>128</v>
      </c>
      <c r="K550" s="29">
        <v>2386</v>
      </c>
      <c r="L550" s="31">
        <v>562904.38999677007</v>
      </c>
      <c r="M550" s="31">
        <v>184302.349998497</v>
      </c>
      <c r="N550" s="31">
        <v>132543.90000020902</v>
      </c>
      <c r="O550" s="34">
        <f t="shared" si="72"/>
        <v>0.32741323975027892</v>
      </c>
      <c r="P550" s="34">
        <f t="shared" si="73"/>
        <v>0.71916554510178476</v>
      </c>
      <c r="Q550" s="34">
        <f t="shared" si="74"/>
        <v>0.67258676024972108</v>
      </c>
      <c r="R550" s="46">
        <f t="shared" si="75"/>
        <v>55.55067057846145</v>
      </c>
    </row>
    <row r="551" spans="2:18" ht="12.75" customHeight="1" x14ac:dyDescent="0.25">
      <c r="B551" s="17" t="s">
        <v>0</v>
      </c>
      <c r="C551" s="44" t="s">
        <v>110</v>
      </c>
      <c r="D551" s="22" t="s">
        <v>9</v>
      </c>
      <c r="E551" s="20">
        <v>2</v>
      </c>
      <c r="F551" s="17" t="s">
        <v>120</v>
      </c>
      <c r="G551" s="17" t="s">
        <v>201</v>
      </c>
      <c r="H551" s="17" t="s">
        <v>202</v>
      </c>
      <c r="I551" s="17" t="s">
        <v>203</v>
      </c>
      <c r="J551" s="27" t="s">
        <v>111</v>
      </c>
      <c r="K551" s="29">
        <v>2517</v>
      </c>
      <c r="L551" s="31">
        <v>296129</v>
      </c>
      <c r="M551" s="31">
        <v>164413.45999880001</v>
      </c>
      <c r="N551" s="31">
        <v>125345.559999976</v>
      </c>
      <c r="O551" s="34">
        <f t="shared" si="72"/>
        <v>0.55520891232807323</v>
      </c>
      <c r="P551" s="34">
        <f t="shared" si="73"/>
        <v>0.76238016036455192</v>
      </c>
      <c r="Q551" s="34">
        <f t="shared" si="74"/>
        <v>0.44479108767192677</v>
      </c>
      <c r="R551" s="46">
        <f t="shared" si="75"/>
        <v>49.799586809684548</v>
      </c>
    </row>
    <row r="552" spans="2:18" ht="12.75" customHeight="1" x14ac:dyDescent="0.25">
      <c r="B552" s="17" t="s">
        <v>0</v>
      </c>
      <c r="C552" s="44" t="s">
        <v>166</v>
      </c>
      <c r="D552" s="22" t="s">
        <v>9</v>
      </c>
      <c r="E552" s="20">
        <v>2</v>
      </c>
      <c r="F552" s="17" t="s">
        <v>120</v>
      </c>
      <c r="G552" s="17" t="s">
        <v>201</v>
      </c>
      <c r="H552" s="17" t="s">
        <v>202</v>
      </c>
      <c r="I552" s="17" t="s">
        <v>203</v>
      </c>
      <c r="J552" s="27" t="s">
        <v>167</v>
      </c>
      <c r="K552" s="29">
        <v>1187</v>
      </c>
      <c r="L552" s="31">
        <v>207150</v>
      </c>
      <c r="M552" s="31">
        <v>153223.34000152201</v>
      </c>
      <c r="N552" s="31">
        <v>113522.60000053</v>
      </c>
      <c r="O552" s="34">
        <f t="shared" si="72"/>
        <v>0.73967337678745837</v>
      </c>
      <c r="P552" s="34">
        <f t="shared" si="73"/>
        <v>0.74089626292836552</v>
      </c>
      <c r="Q552" s="34">
        <f t="shared" si="74"/>
        <v>0.26032662321254163</v>
      </c>
      <c r="R552" s="46">
        <f t="shared" si="75"/>
        <v>95.638247683681556</v>
      </c>
    </row>
    <row r="553" spans="2:18" ht="12.75" customHeight="1" x14ac:dyDescent="0.25">
      <c r="B553" s="17" t="s">
        <v>0</v>
      </c>
      <c r="C553" s="44" t="s">
        <v>90</v>
      </c>
      <c r="D553" s="22" t="s">
        <v>9</v>
      </c>
      <c r="E553" s="20">
        <v>2</v>
      </c>
      <c r="F553" s="17" t="s">
        <v>120</v>
      </c>
      <c r="G553" s="17" t="s">
        <v>201</v>
      </c>
      <c r="H553" s="17" t="s">
        <v>202</v>
      </c>
      <c r="I553" s="17" t="s">
        <v>203</v>
      </c>
      <c r="J553" s="27" t="s">
        <v>91</v>
      </c>
      <c r="K553" s="29">
        <v>2237</v>
      </c>
      <c r="L553" s="31">
        <v>303221.71999935998</v>
      </c>
      <c r="M553" s="31">
        <v>113048.68000007</v>
      </c>
      <c r="N553" s="31">
        <v>86985.719999998008</v>
      </c>
      <c r="O553" s="34">
        <f t="shared" si="72"/>
        <v>0.37282513930832073</v>
      </c>
      <c r="P553" s="34">
        <f t="shared" si="73"/>
        <v>0.7694536548320966</v>
      </c>
      <c r="Q553" s="34">
        <f t="shared" si="74"/>
        <v>0.62717486069167927</v>
      </c>
      <c r="R553" s="46">
        <f t="shared" si="75"/>
        <v>38.884988824317389</v>
      </c>
    </row>
    <row r="554" spans="2:18" ht="12.75" customHeight="1" x14ac:dyDescent="0.25">
      <c r="B554" s="17" t="s">
        <v>0</v>
      </c>
      <c r="C554" s="44" t="s">
        <v>44</v>
      </c>
      <c r="D554" s="22" t="s">
        <v>9</v>
      </c>
      <c r="E554" s="20">
        <v>2</v>
      </c>
      <c r="F554" s="17" t="s">
        <v>120</v>
      </c>
      <c r="G554" s="17" t="s">
        <v>201</v>
      </c>
      <c r="H554" s="17" t="s">
        <v>202</v>
      </c>
      <c r="I554" s="17" t="s">
        <v>203</v>
      </c>
      <c r="J554" s="27" t="s">
        <v>45</v>
      </c>
      <c r="K554" s="29">
        <v>1053</v>
      </c>
      <c r="L554" s="31">
        <v>213081.00000265997</v>
      </c>
      <c r="M554" s="31">
        <v>103231.66000139399</v>
      </c>
      <c r="N554" s="31">
        <v>77724.400000252004</v>
      </c>
      <c r="O554" s="34">
        <f t="shared" si="72"/>
        <v>0.48447144513168844</v>
      </c>
      <c r="P554" s="34">
        <f t="shared" si="73"/>
        <v>0.75291243015178144</v>
      </c>
      <c r="Q554" s="34">
        <f t="shared" si="74"/>
        <v>0.51552855486831151</v>
      </c>
      <c r="R554" s="46">
        <f t="shared" si="75"/>
        <v>73.812345679251663</v>
      </c>
    </row>
    <row r="555" spans="2:18" ht="12.75" customHeight="1" x14ac:dyDescent="0.25">
      <c r="B555" s="17" t="s">
        <v>0</v>
      </c>
      <c r="C555" s="44" t="s">
        <v>153</v>
      </c>
      <c r="D555" s="22" t="s">
        <v>9</v>
      </c>
      <c r="E555" s="20">
        <v>2</v>
      </c>
      <c r="F555" s="17" t="s">
        <v>120</v>
      </c>
      <c r="G555" s="17" t="s">
        <v>201</v>
      </c>
      <c r="H555" s="17" t="s">
        <v>202</v>
      </c>
      <c r="I555" s="17" t="s">
        <v>203</v>
      </c>
      <c r="J555" s="27" t="s">
        <v>154</v>
      </c>
      <c r="K555" s="29">
        <v>626</v>
      </c>
      <c r="L555" s="31">
        <v>137840.83999976001</v>
      </c>
      <c r="M555" s="31">
        <v>89148.349999827013</v>
      </c>
      <c r="N555" s="31">
        <v>66747.829998932997</v>
      </c>
      <c r="O555" s="34">
        <f t="shared" si="72"/>
        <v>0.64674845278062898</v>
      </c>
      <c r="P555" s="34">
        <f t="shared" si="73"/>
        <v>0.74872759842512526</v>
      </c>
      <c r="Q555" s="34">
        <f t="shared" si="74"/>
        <v>0.35325154721937102</v>
      </c>
      <c r="R555" s="46">
        <f t="shared" si="75"/>
        <v>106.62592651586741</v>
      </c>
    </row>
    <row r="556" spans="2:18" ht="12.75" customHeight="1" x14ac:dyDescent="0.25">
      <c r="B556" s="17" t="s">
        <v>0</v>
      </c>
      <c r="C556" s="44" t="s">
        <v>139</v>
      </c>
      <c r="D556" s="22" t="s">
        <v>9</v>
      </c>
      <c r="E556" s="20">
        <v>2</v>
      </c>
      <c r="F556" s="17" t="s">
        <v>120</v>
      </c>
      <c r="G556" s="17" t="s">
        <v>201</v>
      </c>
      <c r="H556" s="17" t="s">
        <v>202</v>
      </c>
      <c r="I556" s="17" t="s">
        <v>203</v>
      </c>
      <c r="J556" s="27" t="s">
        <v>140</v>
      </c>
      <c r="K556" s="29">
        <v>1400</v>
      </c>
      <c r="L556" s="31">
        <v>173447</v>
      </c>
      <c r="M556" s="31">
        <v>76283.250000068001</v>
      </c>
      <c r="N556" s="31">
        <v>58542.219999985005</v>
      </c>
      <c r="O556" s="34">
        <f t="shared" si="72"/>
        <v>0.43980726100807738</v>
      </c>
      <c r="P556" s="34">
        <f t="shared" si="73"/>
        <v>0.76743216892217914</v>
      </c>
      <c r="Q556" s="34">
        <f t="shared" si="74"/>
        <v>0.56019273899192257</v>
      </c>
      <c r="R556" s="46">
        <f t="shared" si="75"/>
        <v>41.815871428560719</v>
      </c>
    </row>
    <row r="557" spans="2:18" ht="12.75" customHeight="1" x14ac:dyDescent="0.25">
      <c r="B557" s="17" t="s">
        <v>0</v>
      </c>
      <c r="C557" s="44" t="s">
        <v>151</v>
      </c>
      <c r="D557" s="22" t="s">
        <v>9</v>
      </c>
      <c r="E557" s="20">
        <v>2</v>
      </c>
      <c r="F557" s="17" t="s">
        <v>120</v>
      </c>
      <c r="G557" s="17" t="s">
        <v>201</v>
      </c>
      <c r="H557" s="17" t="s">
        <v>202</v>
      </c>
      <c r="I557" s="17" t="s">
        <v>203</v>
      </c>
      <c r="J557" s="27" t="s">
        <v>152</v>
      </c>
      <c r="K557" s="29">
        <v>855</v>
      </c>
      <c r="L557" s="31">
        <v>127364.81999942</v>
      </c>
      <c r="M557" s="31">
        <v>72498.279999610997</v>
      </c>
      <c r="N557" s="31">
        <v>57103.020000065</v>
      </c>
      <c r="O557" s="34">
        <f t="shared" si="72"/>
        <v>0.56921746523051775</v>
      </c>
      <c r="P557" s="34">
        <f t="shared" si="73"/>
        <v>0.78764654830944125</v>
      </c>
      <c r="Q557" s="34">
        <f t="shared" si="74"/>
        <v>0.43078253476948225</v>
      </c>
      <c r="R557" s="46">
        <f t="shared" si="75"/>
        <v>66.787157894812864</v>
      </c>
    </row>
    <row r="558" spans="2:18" ht="12.75" customHeight="1" x14ac:dyDescent="0.25">
      <c r="B558" s="17" t="s">
        <v>0</v>
      </c>
      <c r="C558" s="44" t="s">
        <v>30</v>
      </c>
      <c r="D558" s="22" t="s">
        <v>2</v>
      </c>
      <c r="E558" s="20">
        <v>1</v>
      </c>
      <c r="F558" s="17" t="s">
        <v>120</v>
      </c>
      <c r="G558" s="17" t="s">
        <v>201</v>
      </c>
      <c r="H558" s="17" t="s">
        <v>202</v>
      </c>
      <c r="I558" s="17" t="s">
        <v>203</v>
      </c>
      <c r="J558" s="27" t="s">
        <v>31</v>
      </c>
      <c r="K558" s="29">
        <v>1112</v>
      </c>
      <c r="L558" s="31">
        <v>139610.94999996998</v>
      </c>
      <c r="M558" s="31">
        <v>54024.790000049019</v>
      </c>
      <c r="N558" s="31">
        <v>39911.889999990999</v>
      </c>
      <c r="O558" s="34">
        <f t="shared" si="72"/>
        <v>0.38696670998987281</v>
      </c>
      <c r="P558" s="34">
        <f t="shared" si="73"/>
        <v>0.73876992395444363</v>
      </c>
      <c r="Q558" s="34">
        <f t="shared" si="74"/>
        <v>0.61303329001012719</v>
      </c>
      <c r="R558" s="46">
        <f t="shared" si="75"/>
        <v>35.891987410063848</v>
      </c>
    </row>
    <row r="559" spans="2:18" ht="12.75" customHeight="1" x14ac:dyDescent="0.25">
      <c r="B559" s="17" t="s">
        <v>0</v>
      </c>
      <c r="C559" s="44" t="s">
        <v>145</v>
      </c>
      <c r="D559" s="22" t="s">
        <v>9</v>
      </c>
      <c r="E559" s="20">
        <v>2</v>
      </c>
      <c r="F559" s="17" t="s">
        <v>120</v>
      </c>
      <c r="G559" s="17" t="s">
        <v>201</v>
      </c>
      <c r="H559" s="17" t="s">
        <v>202</v>
      </c>
      <c r="I559" s="17" t="s">
        <v>203</v>
      </c>
      <c r="J559" s="27" t="s">
        <v>146</v>
      </c>
      <c r="K559" s="29">
        <v>598</v>
      </c>
      <c r="L559" s="31">
        <v>92010.030000210012</v>
      </c>
      <c r="M559" s="31">
        <v>55684.019999714001</v>
      </c>
      <c r="N559" s="31">
        <v>38715.920000175</v>
      </c>
      <c r="O559" s="34">
        <f t="shared" si="72"/>
        <v>0.60519510752889549</v>
      </c>
      <c r="P559" s="34">
        <f t="shared" si="73"/>
        <v>0.69527882506280703</v>
      </c>
      <c r="Q559" s="34">
        <f t="shared" si="74"/>
        <v>0.39480489247110451</v>
      </c>
      <c r="R559" s="46">
        <f t="shared" si="75"/>
        <v>64.742341137416389</v>
      </c>
    </row>
    <row r="560" spans="2:18" ht="12.75" customHeight="1" x14ac:dyDescent="0.25">
      <c r="B560" s="17" t="s">
        <v>0</v>
      </c>
      <c r="C560" s="44" t="s">
        <v>54</v>
      </c>
      <c r="D560" s="22" t="s">
        <v>2</v>
      </c>
      <c r="E560" s="20">
        <v>1</v>
      </c>
      <c r="F560" s="17" t="s">
        <v>120</v>
      </c>
      <c r="G560" s="17" t="s">
        <v>201</v>
      </c>
      <c r="H560" s="17" t="s">
        <v>202</v>
      </c>
      <c r="I560" s="17" t="s">
        <v>203</v>
      </c>
      <c r="J560" s="27" t="s">
        <v>55</v>
      </c>
      <c r="K560" s="29">
        <v>675</v>
      </c>
      <c r="L560" s="31">
        <v>100900.79000027</v>
      </c>
      <c r="M560" s="31">
        <v>36809.40000010901</v>
      </c>
      <c r="N560" s="31">
        <v>27978.270000219003</v>
      </c>
      <c r="O560" s="34">
        <f t="shared" si="72"/>
        <v>0.36480784739158645</v>
      </c>
      <c r="P560" s="34">
        <f t="shared" si="73"/>
        <v>0.76008492396333938</v>
      </c>
      <c r="Q560" s="34">
        <f t="shared" si="74"/>
        <v>0.63519215260841355</v>
      </c>
      <c r="R560" s="46">
        <f t="shared" si="75"/>
        <v>41.449288889213335</v>
      </c>
    </row>
    <row r="561" spans="2:18" ht="12.75" customHeight="1" x14ac:dyDescent="0.25">
      <c r="B561" s="17" t="s">
        <v>0</v>
      </c>
      <c r="C561" s="44" t="s">
        <v>14</v>
      </c>
      <c r="D561" s="22" t="s">
        <v>9</v>
      </c>
      <c r="E561" s="20">
        <v>2</v>
      </c>
      <c r="F561" s="17" t="s">
        <v>120</v>
      </c>
      <c r="G561" s="17" t="s">
        <v>201</v>
      </c>
      <c r="H561" s="17" t="s">
        <v>202</v>
      </c>
      <c r="I561" s="17" t="s">
        <v>203</v>
      </c>
      <c r="J561" s="27" t="s">
        <v>15</v>
      </c>
      <c r="K561" s="29">
        <v>415</v>
      </c>
      <c r="L561" s="31">
        <v>67545.999999966996</v>
      </c>
      <c r="M561" s="31">
        <v>27846.720000052999</v>
      </c>
      <c r="N561" s="31">
        <v>21133.159999993</v>
      </c>
      <c r="O561" s="34">
        <f t="shared" si="72"/>
        <v>0.41226305036666278</v>
      </c>
      <c r="P561" s="34">
        <f t="shared" si="73"/>
        <v>0.75891020558086475</v>
      </c>
      <c r="Q561" s="34">
        <f t="shared" si="74"/>
        <v>0.58773694963333722</v>
      </c>
      <c r="R561" s="46">
        <f t="shared" si="75"/>
        <v>50.923277108416869</v>
      </c>
    </row>
    <row r="562" spans="2:18" ht="12.75" customHeight="1" x14ac:dyDescent="0.25">
      <c r="B562" s="17" t="s">
        <v>0</v>
      </c>
      <c r="C562" s="44" t="s">
        <v>7</v>
      </c>
      <c r="D562" s="22" t="s">
        <v>9</v>
      </c>
      <c r="E562" s="20">
        <v>2</v>
      </c>
      <c r="F562" s="17" t="s">
        <v>120</v>
      </c>
      <c r="G562" s="17" t="s">
        <v>201</v>
      </c>
      <c r="H562" s="17" t="s">
        <v>202</v>
      </c>
      <c r="I562" s="17" t="s">
        <v>203</v>
      </c>
      <c r="J562" s="27" t="s">
        <v>8</v>
      </c>
      <c r="K562" s="29">
        <v>319</v>
      </c>
      <c r="L562" s="31">
        <v>25524.999999939002</v>
      </c>
      <c r="M562" s="31">
        <v>23366.75</v>
      </c>
      <c r="N562" s="31">
        <v>18616.84</v>
      </c>
      <c r="O562" s="34">
        <f t="shared" si="72"/>
        <v>0.91544564153010144</v>
      </c>
      <c r="P562" s="34">
        <f t="shared" si="73"/>
        <v>0.79672354948805457</v>
      </c>
      <c r="Q562" s="34">
        <f t="shared" si="74"/>
        <v>8.4554358469898561E-2</v>
      </c>
      <c r="R562" s="46">
        <f t="shared" si="75"/>
        <v>58.36</v>
      </c>
    </row>
    <row r="563" spans="2:18" ht="12.75" customHeight="1" x14ac:dyDescent="0.25">
      <c r="B563" s="17" t="s">
        <v>0</v>
      </c>
      <c r="C563" s="44" t="s">
        <v>58</v>
      </c>
      <c r="D563" s="22" t="s">
        <v>2</v>
      </c>
      <c r="E563" s="20">
        <v>1</v>
      </c>
      <c r="F563" s="17" t="s">
        <v>120</v>
      </c>
      <c r="G563" s="17" t="s">
        <v>201</v>
      </c>
      <c r="H563" s="17" t="s">
        <v>202</v>
      </c>
      <c r="I563" s="17" t="s">
        <v>203</v>
      </c>
      <c r="J563" s="27" t="s">
        <v>59</v>
      </c>
      <c r="K563" s="29">
        <v>419</v>
      </c>
      <c r="L563" s="31">
        <v>48384.660000309996</v>
      </c>
      <c r="M563" s="31">
        <v>21889.389999994</v>
      </c>
      <c r="N563" s="31">
        <v>17094.299999970997</v>
      </c>
      <c r="O563" s="34">
        <f t="shared" si="72"/>
        <v>0.45240350970439303</v>
      </c>
      <c r="P563" s="34">
        <f t="shared" si="73"/>
        <v>0.78093998964684186</v>
      </c>
      <c r="Q563" s="34">
        <f t="shared" si="74"/>
        <v>0.54759649029560697</v>
      </c>
      <c r="R563" s="46">
        <f t="shared" si="75"/>
        <v>40.797852028570396</v>
      </c>
    </row>
    <row r="564" spans="2:18" ht="12.75" customHeight="1" x14ac:dyDescent="0.25">
      <c r="B564" s="17" t="s">
        <v>0</v>
      </c>
      <c r="C564" s="44" t="s">
        <v>34</v>
      </c>
      <c r="D564" s="22" t="s">
        <v>9</v>
      </c>
      <c r="E564" s="20">
        <v>2</v>
      </c>
      <c r="F564" s="17" t="s">
        <v>120</v>
      </c>
      <c r="G564" s="17" t="s">
        <v>201</v>
      </c>
      <c r="H564" s="17" t="s">
        <v>202</v>
      </c>
      <c r="I564" s="17" t="s">
        <v>203</v>
      </c>
      <c r="J564" s="27" t="s">
        <v>35</v>
      </c>
      <c r="K564" s="29">
        <v>126</v>
      </c>
      <c r="L564" s="31">
        <v>49337.749999799998</v>
      </c>
      <c r="M564" s="31">
        <v>16724.510000039998</v>
      </c>
      <c r="N564" s="31">
        <v>12530.170000122</v>
      </c>
      <c r="O564" s="34">
        <f t="shared" si="72"/>
        <v>0.33897998996929923</v>
      </c>
      <c r="P564" s="34">
        <f t="shared" si="73"/>
        <v>0.74920999180795333</v>
      </c>
      <c r="Q564" s="34">
        <f t="shared" si="74"/>
        <v>0.66102001003070077</v>
      </c>
      <c r="R564" s="46">
        <f t="shared" si="75"/>
        <v>99.445793651761903</v>
      </c>
    </row>
    <row r="565" spans="2:18" ht="12.75" customHeight="1" x14ac:dyDescent="0.25">
      <c r="B565" s="17" t="s">
        <v>0</v>
      </c>
      <c r="C565" s="44" t="s">
        <v>62</v>
      </c>
      <c r="D565" s="22" t="s">
        <v>2</v>
      </c>
      <c r="E565" s="20">
        <v>1</v>
      </c>
      <c r="F565" s="17" t="s">
        <v>120</v>
      </c>
      <c r="G565" s="17" t="s">
        <v>201</v>
      </c>
      <c r="H565" s="17" t="s">
        <v>202</v>
      </c>
      <c r="I565" s="17" t="s">
        <v>203</v>
      </c>
      <c r="J565" s="27" t="s">
        <v>63</v>
      </c>
      <c r="K565" s="29">
        <v>237</v>
      </c>
      <c r="L565" s="31">
        <v>51829.88</v>
      </c>
      <c r="M565" s="31">
        <v>12796.520000074999</v>
      </c>
      <c r="N565" s="31">
        <v>10347.459999911</v>
      </c>
      <c r="O565" s="34">
        <f t="shared" si="72"/>
        <v>0.24689464841660833</v>
      </c>
      <c r="P565" s="34">
        <f t="shared" si="73"/>
        <v>0.8086151547335021</v>
      </c>
      <c r="Q565" s="34">
        <f t="shared" si="74"/>
        <v>0.75310535158339165</v>
      </c>
      <c r="R565" s="46">
        <f t="shared" si="75"/>
        <v>43.660168775995778</v>
      </c>
    </row>
    <row r="566" spans="2:18" ht="12.75" customHeight="1" x14ac:dyDescent="0.25">
      <c r="B566" s="17" t="s">
        <v>0</v>
      </c>
      <c r="C566" s="44" t="s">
        <v>86</v>
      </c>
      <c r="D566" s="22" t="s">
        <v>9</v>
      </c>
      <c r="E566" s="20">
        <v>2</v>
      </c>
      <c r="F566" s="17" t="s">
        <v>120</v>
      </c>
      <c r="G566" s="17" t="s">
        <v>201</v>
      </c>
      <c r="H566" s="17" t="s">
        <v>202</v>
      </c>
      <c r="I566" s="17" t="s">
        <v>203</v>
      </c>
      <c r="J566" s="27" t="s">
        <v>87</v>
      </c>
      <c r="K566" s="29">
        <v>521</v>
      </c>
      <c r="L566" s="31">
        <v>38549.459999900006</v>
      </c>
      <c r="M566" s="31">
        <v>12542.64000003</v>
      </c>
      <c r="N566" s="31">
        <v>9899.8000000959983</v>
      </c>
      <c r="O566" s="34">
        <f t="shared" si="72"/>
        <v>0.32536486892585614</v>
      </c>
      <c r="P566" s="34">
        <f t="shared" si="73"/>
        <v>0.78929156860695349</v>
      </c>
      <c r="Q566" s="34">
        <f t="shared" si="74"/>
        <v>0.67463513107414386</v>
      </c>
      <c r="R566" s="46">
        <f t="shared" si="75"/>
        <v>19.001535508821494</v>
      </c>
    </row>
    <row r="567" spans="2:18" ht="12.75" customHeight="1" x14ac:dyDescent="0.25">
      <c r="B567" s="17" t="s">
        <v>0</v>
      </c>
      <c r="C567" s="44" t="s">
        <v>90</v>
      </c>
      <c r="D567" s="22" t="s">
        <v>2</v>
      </c>
      <c r="E567" s="20">
        <v>1</v>
      </c>
      <c r="F567" s="17" t="s">
        <v>120</v>
      </c>
      <c r="G567" s="17" t="s">
        <v>201</v>
      </c>
      <c r="H567" s="17" t="s">
        <v>202</v>
      </c>
      <c r="I567" s="17" t="s">
        <v>203</v>
      </c>
      <c r="J567" s="27" t="s">
        <v>91</v>
      </c>
      <c r="K567" s="29">
        <v>220</v>
      </c>
      <c r="L567" s="31">
        <v>26180</v>
      </c>
      <c r="M567" s="31">
        <v>11447.950000006</v>
      </c>
      <c r="N567" s="31">
        <v>8809.8700000099998</v>
      </c>
      <c r="O567" s="34">
        <f t="shared" si="72"/>
        <v>0.43727845683750954</v>
      </c>
      <c r="P567" s="34">
        <f t="shared" si="73"/>
        <v>0.76955874195863738</v>
      </c>
      <c r="Q567" s="34">
        <f t="shared" si="74"/>
        <v>0.56272154316249046</v>
      </c>
      <c r="R567" s="46">
        <f t="shared" si="75"/>
        <v>40.04486363640909</v>
      </c>
    </row>
    <row r="568" spans="2:18" ht="12.75" customHeight="1" x14ac:dyDescent="0.25">
      <c r="B568" s="17" t="s">
        <v>0</v>
      </c>
      <c r="C568" s="44" t="s">
        <v>50</v>
      </c>
      <c r="D568" s="22" t="s">
        <v>2</v>
      </c>
      <c r="E568" s="20">
        <v>1</v>
      </c>
      <c r="F568" s="17" t="s">
        <v>120</v>
      </c>
      <c r="G568" s="17" t="s">
        <v>201</v>
      </c>
      <c r="H568" s="17" t="s">
        <v>202</v>
      </c>
      <c r="I568" s="17" t="s">
        <v>203</v>
      </c>
      <c r="J568" s="27" t="s">
        <v>51</v>
      </c>
      <c r="K568" s="29">
        <v>157</v>
      </c>
      <c r="L568" s="31">
        <v>33811.999999780004</v>
      </c>
      <c r="M568" s="31">
        <v>9394.8000000110005</v>
      </c>
      <c r="N568" s="31">
        <v>7489.4199999849998</v>
      </c>
      <c r="O568" s="34">
        <f t="shared" si="72"/>
        <v>0.27785401632769807</v>
      </c>
      <c r="P568" s="34">
        <f t="shared" si="73"/>
        <v>0.79718780601782158</v>
      </c>
      <c r="Q568" s="34">
        <f t="shared" si="74"/>
        <v>0.72214598367230187</v>
      </c>
      <c r="R568" s="46">
        <f t="shared" si="75"/>
        <v>47.703312101815285</v>
      </c>
    </row>
    <row r="569" spans="2:18" ht="12.75" customHeight="1" x14ac:dyDescent="0.25">
      <c r="B569" s="17" t="s">
        <v>0</v>
      </c>
      <c r="C569" s="44" t="s">
        <v>20</v>
      </c>
      <c r="D569" s="22" t="s">
        <v>9</v>
      </c>
      <c r="E569" s="20">
        <v>2</v>
      </c>
      <c r="F569" s="17" t="s">
        <v>120</v>
      </c>
      <c r="G569" s="17" t="s">
        <v>201</v>
      </c>
      <c r="H569" s="17" t="s">
        <v>202</v>
      </c>
      <c r="I569" s="17" t="s">
        <v>203</v>
      </c>
      <c r="J569" s="27" t="s">
        <v>21</v>
      </c>
      <c r="K569" s="29">
        <v>208</v>
      </c>
      <c r="L569" s="31">
        <v>13340</v>
      </c>
      <c r="M569" s="31">
        <v>8739.2899999330002</v>
      </c>
      <c r="N569" s="31">
        <v>6874.220000028</v>
      </c>
      <c r="O569" s="34">
        <f t="shared" si="72"/>
        <v>0.65511919039977518</v>
      </c>
      <c r="P569" s="34">
        <f t="shared" si="73"/>
        <v>0.7865879264883876</v>
      </c>
      <c r="Q569" s="34">
        <f t="shared" si="74"/>
        <v>0.34488080960022482</v>
      </c>
      <c r="R569" s="46">
        <f t="shared" si="75"/>
        <v>33.049134615519229</v>
      </c>
    </row>
    <row r="570" spans="2:18" ht="12.75" customHeight="1" x14ac:dyDescent="0.25">
      <c r="B570" s="17" t="s">
        <v>0</v>
      </c>
      <c r="C570" s="44" t="s">
        <v>46</v>
      </c>
      <c r="D570" s="22" t="s">
        <v>2</v>
      </c>
      <c r="E570" s="20">
        <v>1</v>
      </c>
      <c r="F570" s="17" t="s">
        <v>120</v>
      </c>
      <c r="G570" s="17" t="s">
        <v>201</v>
      </c>
      <c r="H570" s="17" t="s">
        <v>202</v>
      </c>
      <c r="I570" s="17" t="s">
        <v>203</v>
      </c>
      <c r="J570" s="27" t="s">
        <v>47</v>
      </c>
      <c r="K570" s="29">
        <v>179</v>
      </c>
      <c r="L570" s="31">
        <v>30669.99999987</v>
      </c>
      <c r="M570" s="31">
        <v>8853.2799999789986</v>
      </c>
      <c r="N570" s="31">
        <v>6873.2200000320008</v>
      </c>
      <c r="O570" s="34">
        <f t="shared" ref="O570:O588" si="76">IFERROR(M570/L570,0)</f>
        <v>0.28866253668133435</v>
      </c>
      <c r="P570" s="34">
        <f t="shared" ref="P570:P588" si="77">IFERROR(N570/M570,0)</f>
        <v>0.77634729727833129</v>
      </c>
      <c r="Q570" s="34">
        <f t="shared" ref="Q570:Q588" si="78">IFERROR(1-(M570/L570),0)</f>
        <v>0.71133746331866565</v>
      </c>
      <c r="R570" s="46">
        <f t="shared" ref="R570:R588" si="79">IFERROR(N570/K570,0)</f>
        <v>38.397877095150839</v>
      </c>
    </row>
    <row r="571" spans="2:18" ht="12.75" customHeight="1" x14ac:dyDescent="0.25">
      <c r="B571" s="17" t="s">
        <v>0</v>
      </c>
      <c r="C571" s="44" t="s">
        <v>94</v>
      </c>
      <c r="D571" s="22" t="s">
        <v>9</v>
      </c>
      <c r="E571" s="20">
        <v>2</v>
      </c>
      <c r="F571" s="17" t="s">
        <v>120</v>
      </c>
      <c r="G571" s="17" t="s">
        <v>201</v>
      </c>
      <c r="H571" s="17" t="s">
        <v>202</v>
      </c>
      <c r="I571" s="17" t="s">
        <v>203</v>
      </c>
      <c r="J571" s="27" t="s">
        <v>95</v>
      </c>
      <c r="K571" s="29">
        <v>74</v>
      </c>
      <c r="L571" s="31">
        <v>17580</v>
      </c>
      <c r="M571" s="31">
        <v>8882.9100001200004</v>
      </c>
      <c r="N571" s="31">
        <v>6642.1500000199994</v>
      </c>
      <c r="O571" s="34">
        <f t="shared" si="76"/>
        <v>0.50528498294197954</v>
      </c>
      <c r="P571" s="34">
        <f t="shared" si="77"/>
        <v>0.7477448268563196</v>
      </c>
      <c r="Q571" s="34">
        <f t="shared" si="78"/>
        <v>0.49471501705802046</v>
      </c>
      <c r="R571" s="46">
        <f t="shared" si="79"/>
        <v>89.758783784054046</v>
      </c>
    </row>
    <row r="572" spans="2:18" ht="12.75" customHeight="1" x14ac:dyDescent="0.25">
      <c r="B572" s="17" t="s">
        <v>0</v>
      </c>
      <c r="C572" s="44" t="s">
        <v>66</v>
      </c>
      <c r="D572" s="22" t="s">
        <v>9</v>
      </c>
      <c r="E572" s="20">
        <v>2</v>
      </c>
      <c r="F572" s="17" t="s">
        <v>120</v>
      </c>
      <c r="G572" s="17" t="s">
        <v>201</v>
      </c>
      <c r="H572" s="17" t="s">
        <v>202</v>
      </c>
      <c r="I572" s="17" t="s">
        <v>203</v>
      </c>
      <c r="J572" s="27" t="s">
        <v>67</v>
      </c>
      <c r="K572" s="29">
        <v>178</v>
      </c>
      <c r="L572" s="31">
        <v>18018.09</v>
      </c>
      <c r="M572" s="31">
        <v>8558.2999999780004</v>
      </c>
      <c r="N572" s="31">
        <v>6587.15</v>
      </c>
      <c r="O572" s="34">
        <f t="shared" si="76"/>
        <v>0.47498375243868801</v>
      </c>
      <c r="P572" s="34">
        <f t="shared" si="77"/>
        <v>0.76967972611580948</v>
      </c>
      <c r="Q572" s="34">
        <f t="shared" si="78"/>
        <v>0.52501624756131204</v>
      </c>
      <c r="R572" s="46">
        <f t="shared" si="79"/>
        <v>37.006460674157303</v>
      </c>
    </row>
    <row r="573" spans="2:18" ht="12.75" customHeight="1" x14ac:dyDescent="0.25">
      <c r="B573" s="17" t="s">
        <v>0</v>
      </c>
      <c r="C573" s="44" t="s">
        <v>36</v>
      </c>
      <c r="D573" s="22" t="s">
        <v>2</v>
      </c>
      <c r="E573" s="20">
        <v>1</v>
      </c>
      <c r="F573" s="17" t="s">
        <v>120</v>
      </c>
      <c r="G573" s="17" t="s">
        <v>201</v>
      </c>
      <c r="H573" s="17" t="s">
        <v>202</v>
      </c>
      <c r="I573" s="17" t="s">
        <v>203</v>
      </c>
      <c r="J573" s="27" t="s">
        <v>37</v>
      </c>
      <c r="K573" s="29">
        <v>120</v>
      </c>
      <c r="L573" s="31">
        <v>12091.00000002</v>
      </c>
      <c r="M573" s="31">
        <v>6775.1599999870004</v>
      </c>
      <c r="N573" s="31">
        <v>5243.0000000069995</v>
      </c>
      <c r="O573" s="34">
        <f t="shared" si="76"/>
        <v>0.56034736580727762</v>
      </c>
      <c r="P573" s="34">
        <f t="shared" si="77"/>
        <v>0.77385626317563849</v>
      </c>
      <c r="Q573" s="34">
        <f t="shared" si="78"/>
        <v>0.43965263419272238</v>
      </c>
      <c r="R573" s="46">
        <f t="shared" si="79"/>
        <v>43.691666666724998</v>
      </c>
    </row>
    <row r="574" spans="2:18" ht="12.75" customHeight="1" x14ac:dyDescent="0.25">
      <c r="B574" s="17" t="s">
        <v>0</v>
      </c>
      <c r="C574" s="44" t="s">
        <v>184</v>
      </c>
      <c r="D574" s="22" t="s">
        <v>9</v>
      </c>
      <c r="E574" s="20">
        <v>2</v>
      </c>
      <c r="F574" s="17" t="s">
        <v>120</v>
      </c>
      <c r="G574" s="17" t="s">
        <v>201</v>
      </c>
      <c r="H574" s="17" t="s">
        <v>202</v>
      </c>
      <c r="I574" s="17" t="s">
        <v>203</v>
      </c>
      <c r="J574" s="27" t="s">
        <v>185</v>
      </c>
      <c r="K574" s="29">
        <v>98</v>
      </c>
      <c r="L574" s="31">
        <v>12120.670000162001</v>
      </c>
      <c r="M574" s="31">
        <v>4548.5699999970002</v>
      </c>
      <c r="N574" s="31">
        <v>3583.500000003</v>
      </c>
      <c r="O574" s="34">
        <f t="shared" si="76"/>
        <v>0.37527380911584968</v>
      </c>
      <c r="P574" s="34">
        <f t="shared" si="77"/>
        <v>0.7878300213045778</v>
      </c>
      <c r="Q574" s="34">
        <f t="shared" si="78"/>
        <v>0.62472619088415038</v>
      </c>
      <c r="R574" s="46">
        <f t="shared" si="79"/>
        <v>36.566326530642854</v>
      </c>
    </row>
    <row r="575" spans="2:18" ht="12.75" customHeight="1" x14ac:dyDescent="0.25">
      <c r="B575" s="17" t="s">
        <v>0</v>
      </c>
      <c r="C575" s="44" t="s">
        <v>36</v>
      </c>
      <c r="D575" s="22" t="s">
        <v>9</v>
      </c>
      <c r="E575" s="20">
        <v>2</v>
      </c>
      <c r="F575" s="17" t="s">
        <v>120</v>
      </c>
      <c r="G575" s="17" t="s">
        <v>201</v>
      </c>
      <c r="H575" s="17" t="s">
        <v>202</v>
      </c>
      <c r="I575" s="17" t="s">
        <v>203</v>
      </c>
      <c r="J575" s="27" t="s">
        <v>37</v>
      </c>
      <c r="K575" s="29">
        <v>72</v>
      </c>
      <c r="L575" s="31">
        <v>32550.830000059999</v>
      </c>
      <c r="M575" s="31">
        <v>3721.940000001</v>
      </c>
      <c r="N575" s="31">
        <v>2846.5999999989999</v>
      </c>
      <c r="O575" s="34">
        <f t="shared" si="76"/>
        <v>0.1143423992566131</v>
      </c>
      <c r="P575" s="34">
        <f t="shared" si="77"/>
        <v>0.76481619800379241</v>
      </c>
      <c r="Q575" s="34">
        <f t="shared" si="78"/>
        <v>0.88565760074338695</v>
      </c>
      <c r="R575" s="46">
        <f t="shared" si="79"/>
        <v>39.53611111109722</v>
      </c>
    </row>
    <row r="576" spans="2:18" ht="12.75" customHeight="1" x14ac:dyDescent="0.25">
      <c r="B576" s="17" t="s">
        <v>0</v>
      </c>
      <c r="C576" s="44" t="s">
        <v>137</v>
      </c>
      <c r="D576" s="22" t="s">
        <v>2</v>
      </c>
      <c r="E576" s="20">
        <v>1</v>
      </c>
      <c r="F576" s="17" t="s">
        <v>120</v>
      </c>
      <c r="G576" s="17" t="s">
        <v>201</v>
      </c>
      <c r="H576" s="17" t="s">
        <v>202</v>
      </c>
      <c r="I576" s="17" t="s">
        <v>203</v>
      </c>
      <c r="J576" s="27" t="s">
        <v>138</v>
      </c>
      <c r="K576" s="29">
        <v>70</v>
      </c>
      <c r="L576" s="31">
        <v>7599</v>
      </c>
      <c r="M576" s="31">
        <v>3247.4999999850002</v>
      </c>
      <c r="N576" s="31">
        <v>2410.5800000010004</v>
      </c>
      <c r="O576" s="34">
        <f t="shared" si="76"/>
        <v>0.42735886300631665</v>
      </c>
      <c r="P576" s="34">
        <f t="shared" si="77"/>
        <v>0.74228791378356718</v>
      </c>
      <c r="Q576" s="34">
        <f t="shared" si="78"/>
        <v>0.57264113699368335</v>
      </c>
      <c r="R576" s="46">
        <f t="shared" si="79"/>
        <v>34.436857142871432</v>
      </c>
    </row>
    <row r="577" spans="2:18" ht="12.75" customHeight="1" x14ac:dyDescent="0.25">
      <c r="B577" s="17" t="s">
        <v>0</v>
      </c>
      <c r="C577" s="44" t="s">
        <v>157</v>
      </c>
      <c r="D577" s="22" t="s">
        <v>9</v>
      </c>
      <c r="E577" s="20">
        <v>2</v>
      </c>
      <c r="F577" s="17" t="s">
        <v>120</v>
      </c>
      <c r="G577" s="17" t="s">
        <v>201</v>
      </c>
      <c r="H577" s="17" t="s">
        <v>202</v>
      </c>
      <c r="I577" s="17" t="s">
        <v>203</v>
      </c>
      <c r="J577" s="27" t="s">
        <v>158</v>
      </c>
      <c r="K577" s="29">
        <v>64</v>
      </c>
      <c r="L577" s="31">
        <v>4902</v>
      </c>
      <c r="M577" s="31">
        <v>2985.5699999919998</v>
      </c>
      <c r="N577" s="31">
        <v>2378.7400000080002</v>
      </c>
      <c r="O577" s="34">
        <f t="shared" si="76"/>
        <v>0.6090514075871073</v>
      </c>
      <c r="P577" s="34">
        <f t="shared" si="77"/>
        <v>0.79674568005920954</v>
      </c>
      <c r="Q577" s="34">
        <f t="shared" si="78"/>
        <v>0.3909485924128927</v>
      </c>
      <c r="R577" s="46">
        <f t="shared" si="79"/>
        <v>37.167812500125002</v>
      </c>
    </row>
    <row r="578" spans="2:18" ht="12.75" customHeight="1" x14ac:dyDescent="0.25">
      <c r="B578" s="17" t="s">
        <v>0</v>
      </c>
      <c r="C578" s="44" t="s">
        <v>68</v>
      </c>
      <c r="D578" s="22" t="s">
        <v>9</v>
      </c>
      <c r="E578" s="20">
        <v>2</v>
      </c>
      <c r="F578" s="17" t="s">
        <v>120</v>
      </c>
      <c r="G578" s="17" t="s">
        <v>201</v>
      </c>
      <c r="H578" s="17" t="s">
        <v>202</v>
      </c>
      <c r="I578" s="17" t="s">
        <v>203</v>
      </c>
      <c r="J578" s="27" t="s">
        <v>69</v>
      </c>
      <c r="K578" s="29">
        <v>62</v>
      </c>
      <c r="L578" s="31">
        <v>49630</v>
      </c>
      <c r="M578" s="31">
        <v>3091.1299999959997</v>
      </c>
      <c r="N578" s="31">
        <v>2340.4700000040002</v>
      </c>
      <c r="O578" s="34">
        <f t="shared" si="76"/>
        <v>6.2283497884263544E-2</v>
      </c>
      <c r="P578" s="34">
        <f t="shared" si="77"/>
        <v>0.75715676791562603</v>
      </c>
      <c r="Q578" s="34">
        <f t="shared" si="78"/>
        <v>0.93771650211573643</v>
      </c>
      <c r="R578" s="46">
        <f t="shared" si="79"/>
        <v>37.749516129096776</v>
      </c>
    </row>
    <row r="579" spans="2:18" ht="12.75" customHeight="1" x14ac:dyDescent="0.25">
      <c r="B579" s="17" t="s">
        <v>0</v>
      </c>
      <c r="C579" s="44" t="s">
        <v>42</v>
      </c>
      <c r="D579" s="22" t="s">
        <v>9</v>
      </c>
      <c r="E579" s="20">
        <v>2</v>
      </c>
      <c r="F579" s="17" t="s">
        <v>120</v>
      </c>
      <c r="G579" s="17" t="s">
        <v>201</v>
      </c>
      <c r="H579" s="17" t="s">
        <v>202</v>
      </c>
      <c r="I579" s="17" t="s">
        <v>203</v>
      </c>
      <c r="J579" s="27" t="s">
        <v>43</v>
      </c>
      <c r="K579" s="29">
        <v>56</v>
      </c>
      <c r="L579" s="31">
        <v>6779.15</v>
      </c>
      <c r="M579" s="31">
        <v>2849.2600000040002</v>
      </c>
      <c r="N579" s="31">
        <v>2271.2699999850001</v>
      </c>
      <c r="O579" s="34">
        <f t="shared" si="76"/>
        <v>0.42029752992690828</v>
      </c>
      <c r="P579" s="34">
        <f t="shared" si="77"/>
        <v>0.79714381979244131</v>
      </c>
      <c r="Q579" s="34">
        <f t="shared" si="78"/>
        <v>0.57970247007309172</v>
      </c>
      <c r="R579" s="46">
        <f t="shared" si="79"/>
        <v>40.558392856875003</v>
      </c>
    </row>
    <row r="580" spans="2:18" ht="12.75" customHeight="1" x14ac:dyDescent="0.25">
      <c r="B580" s="17" t="s">
        <v>0</v>
      </c>
      <c r="C580" s="44" t="s">
        <v>184</v>
      </c>
      <c r="D580" s="22" t="s">
        <v>2</v>
      </c>
      <c r="E580" s="20">
        <v>1</v>
      </c>
      <c r="F580" s="17" t="s">
        <v>120</v>
      </c>
      <c r="G580" s="17" t="s">
        <v>201</v>
      </c>
      <c r="H580" s="17" t="s">
        <v>202</v>
      </c>
      <c r="I580" s="17" t="s">
        <v>203</v>
      </c>
      <c r="J580" s="27" t="s">
        <v>185</v>
      </c>
      <c r="K580" s="29">
        <v>39</v>
      </c>
      <c r="L580" s="31">
        <v>3426.999999999</v>
      </c>
      <c r="M580" s="31">
        <v>1673.2000000080002</v>
      </c>
      <c r="N580" s="31">
        <v>1237.9800000089999</v>
      </c>
      <c r="O580" s="34">
        <f t="shared" si="76"/>
        <v>0.4882404435390979</v>
      </c>
      <c r="P580" s="34">
        <f t="shared" si="77"/>
        <v>0.73988764045127942</v>
      </c>
      <c r="Q580" s="34">
        <f t="shared" si="78"/>
        <v>0.5117595564609021</v>
      </c>
      <c r="R580" s="46">
        <f t="shared" si="79"/>
        <v>31.74307692330769</v>
      </c>
    </row>
    <row r="581" spans="2:18" ht="12.75" customHeight="1" x14ac:dyDescent="0.25">
      <c r="B581" s="17" t="s">
        <v>0</v>
      </c>
      <c r="C581" s="44" t="s">
        <v>191</v>
      </c>
      <c r="D581" s="22" t="s">
        <v>9</v>
      </c>
      <c r="E581" s="20">
        <v>2</v>
      </c>
      <c r="F581" s="17" t="s">
        <v>120</v>
      </c>
      <c r="G581" s="17" t="s">
        <v>201</v>
      </c>
      <c r="H581" s="17" t="s">
        <v>202</v>
      </c>
      <c r="I581" s="17" t="s">
        <v>203</v>
      </c>
      <c r="J581" s="27" t="s">
        <v>192</v>
      </c>
      <c r="K581" s="29">
        <v>36</v>
      </c>
      <c r="L581" s="31">
        <v>5040.9999999399997</v>
      </c>
      <c r="M581" s="31">
        <v>1558.4199999839998</v>
      </c>
      <c r="N581" s="31">
        <v>1180.4199999980001</v>
      </c>
      <c r="O581" s="34">
        <f t="shared" si="76"/>
        <v>0.30914897837781169</v>
      </c>
      <c r="P581" s="34">
        <f t="shared" si="77"/>
        <v>0.75744664468507805</v>
      </c>
      <c r="Q581" s="34">
        <f t="shared" si="78"/>
        <v>0.69085102162218837</v>
      </c>
      <c r="R581" s="46">
        <f t="shared" si="79"/>
        <v>32.789444444388891</v>
      </c>
    </row>
    <row r="582" spans="2:18" ht="12.75" customHeight="1" x14ac:dyDescent="0.25">
      <c r="B582" s="17" t="s">
        <v>0</v>
      </c>
      <c r="C582" s="44" t="s">
        <v>40</v>
      </c>
      <c r="D582" s="22" t="s">
        <v>2</v>
      </c>
      <c r="E582" s="20">
        <v>1</v>
      </c>
      <c r="F582" s="17" t="s">
        <v>120</v>
      </c>
      <c r="G582" s="17" t="s">
        <v>201</v>
      </c>
      <c r="H582" s="17" t="s">
        <v>202</v>
      </c>
      <c r="I582" s="17" t="s">
        <v>203</v>
      </c>
      <c r="J582" s="27" t="s">
        <v>41</v>
      </c>
      <c r="K582" s="29">
        <v>33</v>
      </c>
      <c r="L582" s="31">
        <v>5326.43</v>
      </c>
      <c r="M582" s="31">
        <v>1512.440000008</v>
      </c>
      <c r="N582" s="31">
        <v>1152.3400000020001</v>
      </c>
      <c r="O582" s="34">
        <f t="shared" si="76"/>
        <v>0.2839500378317184</v>
      </c>
      <c r="P582" s="34">
        <f t="shared" si="77"/>
        <v>0.76190791039373784</v>
      </c>
      <c r="Q582" s="34">
        <f t="shared" si="78"/>
        <v>0.71604996216828165</v>
      </c>
      <c r="R582" s="46">
        <f t="shared" si="79"/>
        <v>34.919393939454551</v>
      </c>
    </row>
    <row r="583" spans="2:18" ht="12.75" customHeight="1" x14ac:dyDescent="0.25">
      <c r="B583" s="17" t="s">
        <v>0</v>
      </c>
      <c r="C583" s="44" t="s">
        <v>64</v>
      </c>
      <c r="D583" s="22" t="s">
        <v>9</v>
      </c>
      <c r="E583" s="20">
        <v>2</v>
      </c>
      <c r="F583" s="17" t="s">
        <v>120</v>
      </c>
      <c r="G583" s="17" t="s">
        <v>201</v>
      </c>
      <c r="H583" s="17" t="s">
        <v>202</v>
      </c>
      <c r="I583" s="17" t="s">
        <v>203</v>
      </c>
      <c r="J583" s="27" t="s">
        <v>65</v>
      </c>
      <c r="K583" s="29">
        <v>27</v>
      </c>
      <c r="L583" s="31">
        <v>3945</v>
      </c>
      <c r="M583" s="31">
        <v>1427.3300000039999</v>
      </c>
      <c r="N583" s="31">
        <v>1141.1499999990001</v>
      </c>
      <c r="O583" s="34">
        <f t="shared" si="76"/>
        <v>0.36180735107832696</v>
      </c>
      <c r="P583" s="34">
        <f t="shared" si="77"/>
        <v>0.79949976529310129</v>
      </c>
      <c r="Q583" s="34">
        <f t="shared" si="78"/>
        <v>0.63819264892167304</v>
      </c>
      <c r="R583" s="46">
        <f t="shared" si="79"/>
        <v>42.264814814777779</v>
      </c>
    </row>
    <row r="584" spans="2:18" ht="12.75" customHeight="1" x14ac:dyDescent="0.25">
      <c r="B584" s="17" t="s">
        <v>0</v>
      </c>
      <c r="C584" s="44" t="s">
        <v>38</v>
      </c>
      <c r="D584" s="22" t="s">
        <v>9</v>
      </c>
      <c r="E584" s="20">
        <v>2</v>
      </c>
      <c r="F584" s="17" t="s">
        <v>120</v>
      </c>
      <c r="G584" s="17" t="s">
        <v>201</v>
      </c>
      <c r="H584" s="17" t="s">
        <v>202</v>
      </c>
      <c r="I584" s="17" t="s">
        <v>203</v>
      </c>
      <c r="J584" s="27" t="s">
        <v>39</v>
      </c>
      <c r="K584" s="29">
        <v>25</v>
      </c>
      <c r="L584" s="31">
        <v>2953.00000004</v>
      </c>
      <c r="M584" s="31">
        <v>1278.279999998</v>
      </c>
      <c r="N584" s="31">
        <v>1018.46</v>
      </c>
      <c r="O584" s="34">
        <f t="shared" si="76"/>
        <v>0.43287504232329327</v>
      </c>
      <c r="P584" s="34">
        <f t="shared" si="77"/>
        <v>0.79674249773257311</v>
      </c>
      <c r="Q584" s="34">
        <f t="shared" si="78"/>
        <v>0.56712495767670679</v>
      </c>
      <c r="R584" s="46">
        <f t="shared" si="79"/>
        <v>40.738399999999999</v>
      </c>
    </row>
    <row r="585" spans="2:18" ht="12.75" customHeight="1" x14ac:dyDescent="0.25">
      <c r="B585" s="17" t="s">
        <v>0</v>
      </c>
      <c r="C585" s="44" t="s">
        <v>103</v>
      </c>
      <c r="D585" s="22" t="s">
        <v>2</v>
      </c>
      <c r="E585" s="20">
        <v>1</v>
      </c>
      <c r="F585" s="17" t="s">
        <v>120</v>
      </c>
      <c r="G585" s="17" t="s">
        <v>201</v>
      </c>
      <c r="H585" s="17" t="s">
        <v>202</v>
      </c>
      <c r="I585" s="17" t="s">
        <v>203</v>
      </c>
      <c r="J585" s="27" t="s">
        <v>104</v>
      </c>
      <c r="K585" s="29">
        <v>24</v>
      </c>
      <c r="L585" s="31">
        <v>2856</v>
      </c>
      <c r="M585" s="31">
        <v>1259.059999999</v>
      </c>
      <c r="N585" s="31">
        <v>1011.03</v>
      </c>
      <c r="O585" s="34">
        <f t="shared" si="76"/>
        <v>0.4408473389352241</v>
      </c>
      <c r="P585" s="34">
        <f t="shared" si="77"/>
        <v>0.80300382825346128</v>
      </c>
      <c r="Q585" s="34">
        <f t="shared" si="78"/>
        <v>0.5591526610647759</v>
      </c>
      <c r="R585" s="46">
        <f t="shared" si="79"/>
        <v>42.126249999999999</v>
      </c>
    </row>
    <row r="586" spans="2:18" ht="12.75" customHeight="1" x14ac:dyDescent="0.25">
      <c r="B586" s="17" t="s">
        <v>0</v>
      </c>
      <c r="C586" s="44" t="s">
        <v>82</v>
      </c>
      <c r="D586" s="22" t="s">
        <v>9</v>
      </c>
      <c r="E586" s="20">
        <v>2</v>
      </c>
      <c r="F586" s="17" t="s">
        <v>120</v>
      </c>
      <c r="G586" s="17" t="s">
        <v>201</v>
      </c>
      <c r="H586" s="17" t="s">
        <v>202</v>
      </c>
      <c r="I586" s="17" t="s">
        <v>203</v>
      </c>
      <c r="J586" s="27" t="s">
        <v>83</v>
      </c>
      <c r="K586" s="29">
        <v>18</v>
      </c>
      <c r="L586" s="31">
        <v>3150</v>
      </c>
      <c r="M586" s="31">
        <v>1846.56000006</v>
      </c>
      <c r="N586" s="31">
        <v>585.39999999600002</v>
      </c>
      <c r="O586" s="34">
        <f t="shared" si="76"/>
        <v>0.58620952382857139</v>
      </c>
      <c r="P586" s="34">
        <f t="shared" si="77"/>
        <v>0.31702192183139388</v>
      </c>
      <c r="Q586" s="34">
        <f t="shared" si="78"/>
        <v>0.41379047617142861</v>
      </c>
      <c r="R586" s="46">
        <f t="shared" si="79"/>
        <v>32.522222222000003</v>
      </c>
    </row>
    <row r="587" spans="2:18" ht="12.75" customHeight="1" x14ac:dyDescent="0.25">
      <c r="B587" s="17" t="s">
        <v>0</v>
      </c>
      <c r="C587" s="44" t="s">
        <v>28</v>
      </c>
      <c r="D587" s="22" t="s">
        <v>2</v>
      </c>
      <c r="E587" s="20">
        <v>1</v>
      </c>
      <c r="F587" s="17" t="s">
        <v>120</v>
      </c>
      <c r="G587" s="17" t="s">
        <v>201</v>
      </c>
      <c r="H587" s="17" t="s">
        <v>202</v>
      </c>
      <c r="I587" s="17" t="s">
        <v>203</v>
      </c>
      <c r="J587" s="27" t="s">
        <v>29</v>
      </c>
      <c r="K587" s="29">
        <v>14</v>
      </c>
      <c r="L587" s="31">
        <v>1064</v>
      </c>
      <c r="M587" s="31">
        <v>731.48999999600005</v>
      </c>
      <c r="N587" s="31">
        <v>580.88999999800001</v>
      </c>
      <c r="O587" s="34">
        <f t="shared" si="76"/>
        <v>0.68749060150000008</v>
      </c>
      <c r="P587" s="34">
        <f t="shared" si="77"/>
        <v>0.79411885330103826</v>
      </c>
      <c r="Q587" s="34">
        <f t="shared" si="78"/>
        <v>0.31250939849999992</v>
      </c>
      <c r="R587" s="46">
        <f t="shared" si="79"/>
        <v>41.492142856999997</v>
      </c>
    </row>
    <row r="588" spans="2:18" ht="12.75" customHeight="1" thickBot="1" x14ac:dyDescent="0.3">
      <c r="B588" s="15" t="s">
        <v>0</v>
      </c>
      <c r="C588" s="50" t="s">
        <v>151</v>
      </c>
      <c r="D588" s="19" t="s">
        <v>2</v>
      </c>
      <c r="E588" s="16">
        <v>1</v>
      </c>
      <c r="F588" s="15" t="s">
        <v>120</v>
      </c>
      <c r="G588" s="15" t="s">
        <v>201</v>
      </c>
      <c r="H588" s="15" t="s">
        <v>202</v>
      </c>
      <c r="I588" s="15" t="s">
        <v>203</v>
      </c>
      <c r="J588" s="24" t="s">
        <v>152</v>
      </c>
      <c r="K588" s="26">
        <v>14</v>
      </c>
      <c r="L588" s="28">
        <v>725.48</v>
      </c>
      <c r="M588" s="28">
        <v>714.33000000599998</v>
      </c>
      <c r="N588" s="28">
        <v>545.87000000399996</v>
      </c>
      <c r="O588" s="32">
        <f t="shared" si="76"/>
        <v>0.98463086509069853</v>
      </c>
      <c r="P588" s="32">
        <f t="shared" si="77"/>
        <v>0.76417062142065284</v>
      </c>
      <c r="Q588" s="32">
        <f t="shared" si="78"/>
        <v>1.5369134909301474E-2</v>
      </c>
      <c r="R588" s="49">
        <f t="shared" si="79"/>
        <v>38.990714285999999</v>
      </c>
    </row>
    <row r="589" spans="2:18" ht="17.25" customHeight="1" x14ac:dyDescent="0.25">
      <c r="B589" s="48"/>
      <c r="C589" s="58"/>
      <c r="D589" s="51" t="s">
        <v>366</v>
      </c>
      <c r="E589" s="52"/>
      <c r="F589" s="52"/>
      <c r="G589" s="53"/>
      <c r="H589" s="53"/>
      <c r="I589" s="53"/>
      <c r="J589" s="54"/>
      <c r="K589" s="55">
        <f>SUM(K538:K588)</f>
        <v>774679</v>
      </c>
      <c r="L589" s="56">
        <f>SUM(L538:L588)</f>
        <v>157711670.3899132</v>
      </c>
      <c r="M589" s="56">
        <f>SUM(M538:M588)</f>
        <v>75048878.059948653</v>
      </c>
      <c r="N589" s="56">
        <f>SUM(N538:N588)</f>
        <v>56132518.379981883</v>
      </c>
      <c r="O589" s="57">
        <f>IFERROR(M589/L589,0)</f>
        <v>0.47586128454796056</v>
      </c>
      <c r="P589" s="57">
        <f>IFERROR(N589/M589,0)</f>
        <v>0.74794613631856721</v>
      </c>
      <c r="Q589" s="57">
        <f>IFERROR(1-(M589/L589),0)</f>
        <v>0.52413871545203938</v>
      </c>
      <c r="R589" s="59">
        <f>IFERROR(N589/K589,0)</f>
        <v>72.45906805267974</v>
      </c>
    </row>
    <row r="590" spans="2:18" ht="15.75" thickBot="1" x14ac:dyDescent="0.3">
      <c r="B590" s="60"/>
      <c r="C590" s="64"/>
      <c r="D590" s="62" t="s">
        <v>203</v>
      </c>
      <c r="E590" s="61"/>
      <c r="F590" s="61"/>
      <c r="G590" s="61"/>
      <c r="H590" s="61"/>
      <c r="I590" s="61"/>
      <c r="J590" s="61"/>
      <c r="K590" s="63"/>
      <c r="L590" s="63"/>
      <c r="M590" s="63"/>
      <c r="N590" s="63"/>
      <c r="O590" s="63"/>
      <c r="P590" s="63"/>
      <c r="Q590" s="63"/>
      <c r="R590" s="65"/>
    </row>
    <row r="591" spans="2:18" ht="15.75" thickBot="1" x14ac:dyDescent="0.3"/>
    <row r="592" spans="2:18" ht="15.75" x14ac:dyDescent="0.25">
      <c r="B592" s="1"/>
      <c r="C592" s="7" t="s">
        <v>348</v>
      </c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9"/>
    </row>
    <row r="593" spans="2:18" ht="18" x14ac:dyDescent="0.25">
      <c r="B593" s="2"/>
      <c r="C593" s="8" t="s">
        <v>206</v>
      </c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10"/>
    </row>
    <row r="594" spans="2:18" ht="15.75" thickBot="1" x14ac:dyDescent="0.3">
      <c r="B594" s="3"/>
      <c r="C594" s="11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12"/>
    </row>
    <row r="595" spans="2:18" ht="17.25" customHeight="1" thickBot="1" x14ac:dyDescent="0.3">
      <c r="B595" s="14" t="s">
        <v>349</v>
      </c>
      <c r="C595" s="18" t="s">
        <v>350</v>
      </c>
      <c r="D595" s="21" t="s">
        <v>351</v>
      </c>
      <c r="E595" s="23" t="s">
        <v>352</v>
      </c>
      <c r="F595" s="21" t="s">
        <v>353</v>
      </c>
      <c r="G595" s="23" t="s">
        <v>354</v>
      </c>
      <c r="H595" s="23" t="s">
        <v>355</v>
      </c>
      <c r="I595" s="23" t="s">
        <v>356</v>
      </c>
      <c r="J595" s="25" t="s">
        <v>357</v>
      </c>
      <c r="K595" s="25" t="s">
        <v>358</v>
      </c>
      <c r="L595" s="30" t="s">
        <v>359</v>
      </c>
      <c r="M595" s="30" t="s">
        <v>360</v>
      </c>
      <c r="N595" s="30" t="s">
        <v>361</v>
      </c>
      <c r="O595" s="33" t="s">
        <v>362</v>
      </c>
      <c r="P595" s="33" t="s">
        <v>363</v>
      </c>
      <c r="Q595" s="33" t="s">
        <v>364</v>
      </c>
      <c r="R595" s="35" t="s">
        <v>365</v>
      </c>
    </row>
    <row r="596" spans="2:18" ht="12.75" customHeight="1" x14ac:dyDescent="0.25">
      <c r="B596" s="17" t="s">
        <v>0</v>
      </c>
      <c r="C596" s="43" t="s">
        <v>46</v>
      </c>
      <c r="D596" s="37" t="s">
        <v>9</v>
      </c>
      <c r="E596" s="36">
        <v>2</v>
      </c>
      <c r="F596" s="38" t="s">
        <v>120</v>
      </c>
      <c r="G596" s="38" t="s">
        <v>204</v>
      </c>
      <c r="H596" s="38" t="s">
        <v>205</v>
      </c>
      <c r="I596" s="38" t="s">
        <v>206</v>
      </c>
      <c r="J596" s="39" t="s">
        <v>47</v>
      </c>
      <c r="K596" s="40">
        <v>1698</v>
      </c>
      <c r="L596" s="41">
        <v>257856.38000357</v>
      </c>
      <c r="M596" s="41">
        <v>148305.32000007</v>
      </c>
      <c r="N596" s="41">
        <v>113594.41000013299</v>
      </c>
      <c r="O596" s="42">
        <f t="shared" ref="O596:O598" si="80">IFERROR(M596/L596,0)</f>
        <v>0.57514698685375454</v>
      </c>
      <c r="P596" s="42">
        <f t="shared" ref="P596:P598" si="81">IFERROR(N596/M596,0)</f>
        <v>0.76594966384266849</v>
      </c>
      <c r="Q596" s="42">
        <f t="shared" ref="Q596:Q598" si="82">IFERROR(1-(M596/L596),0)</f>
        <v>0.42485301314624546</v>
      </c>
      <c r="R596" s="45">
        <f t="shared" ref="R596:R598" si="83">IFERROR(N596/K596,0)</f>
        <v>66.898945818688446</v>
      </c>
    </row>
    <row r="597" spans="2:18" ht="12.75" customHeight="1" x14ac:dyDescent="0.25">
      <c r="B597" s="17" t="s">
        <v>0</v>
      </c>
      <c r="C597" s="44" t="s">
        <v>30</v>
      </c>
      <c r="D597" s="22" t="s">
        <v>9</v>
      </c>
      <c r="E597" s="20">
        <v>2</v>
      </c>
      <c r="F597" s="17" t="s">
        <v>120</v>
      </c>
      <c r="G597" s="17" t="s">
        <v>204</v>
      </c>
      <c r="H597" s="17" t="s">
        <v>205</v>
      </c>
      <c r="I597" s="17" t="s">
        <v>206</v>
      </c>
      <c r="J597" s="27" t="s">
        <v>31</v>
      </c>
      <c r="K597" s="29">
        <v>861</v>
      </c>
      <c r="L597" s="31">
        <v>179733.5299997</v>
      </c>
      <c r="M597" s="31">
        <v>80977.839999888005</v>
      </c>
      <c r="N597" s="31">
        <v>61406.010000302995</v>
      </c>
      <c r="O597" s="34">
        <f t="shared" si="80"/>
        <v>0.4505438690266817</v>
      </c>
      <c r="P597" s="34">
        <f t="shared" si="81"/>
        <v>0.75830634653119822</v>
      </c>
      <c r="Q597" s="34">
        <f t="shared" si="82"/>
        <v>0.54945613097331836</v>
      </c>
      <c r="R597" s="46">
        <f t="shared" si="83"/>
        <v>71.319407665857142</v>
      </c>
    </row>
    <row r="598" spans="2:18" ht="12.75" customHeight="1" thickBot="1" x14ac:dyDescent="0.3">
      <c r="B598" s="15" t="s">
        <v>0</v>
      </c>
      <c r="C598" s="50" t="s">
        <v>50</v>
      </c>
      <c r="D598" s="19" t="s">
        <v>9</v>
      </c>
      <c r="E598" s="16">
        <v>2</v>
      </c>
      <c r="F598" s="15" t="s">
        <v>120</v>
      </c>
      <c r="G598" s="15" t="s">
        <v>204</v>
      </c>
      <c r="H598" s="15" t="s">
        <v>205</v>
      </c>
      <c r="I598" s="15" t="s">
        <v>206</v>
      </c>
      <c r="J598" s="24" t="s">
        <v>51</v>
      </c>
      <c r="K598" s="26">
        <v>295</v>
      </c>
      <c r="L598" s="28">
        <v>61513.4</v>
      </c>
      <c r="M598" s="28">
        <v>24922.249999954998</v>
      </c>
      <c r="N598" s="28">
        <v>18517.240000049998</v>
      </c>
      <c r="O598" s="32">
        <f t="shared" si="80"/>
        <v>0.40515156047227102</v>
      </c>
      <c r="P598" s="32">
        <f t="shared" si="81"/>
        <v>0.74300033103284957</v>
      </c>
      <c r="Q598" s="32">
        <f t="shared" si="82"/>
        <v>0.59484843952772892</v>
      </c>
      <c r="R598" s="49">
        <f t="shared" si="83"/>
        <v>62.77030508491525</v>
      </c>
    </row>
    <row r="599" spans="2:18" ht="17.25" customHeight="1" x14ac:dyDescent="0.25">
      <c r="B599" s="48"/>
      <c r="C599" s="58"/>
      <c r="D599" s="51" t="s">
        <v>366</v>
      </c>
      <c r="E599" s="52"/>
      <c r="F599" s="52"/>
      <c r="G599" s="53"/>
      <c r="H599" s="53"/>
      <c r="I599" s="53"/>
      <c r="J599" s="54"/>
      <c r="K599" s="55">
        <f>SUM(K596:K598)</f>
        <v>2854</v>
      </c>
      <c r="L599" s="56">
        <f>SUM(L596:L598)</f>
        <v>499103.31000327005</v>
      </c>
      <c r="M599" s="56">
        <f>SUM(M596:M598)</f>
        <v>254205.40999991301</v>
      </c>
      <c r="N599" s="56">
        <f>SUM(N596:N598)</f>
        <v>193517.66000048598</v>
      </c>
      <c r="O599" s="57">
        <f>IFERROR(M599/L599,0)</f>
        <v>0.50932423188747733</v>
      </c>
      <c r="P599" s="57">
        <f>IFERROR(N599/M599,0)</f>
        <v>0.76126491564657184</v>
      </c>
      <c r="Q599" s="57">
        <f>IFERROR(1-(M599/L599),0)</f>
        <v>0.49067576811252267</v>
      </c>
      <c r="R599" s="59">
        <f>IFERROR(N599/K599,0)</f>
        <v>67.805767344248764</v>
      </c>
    </row>
    <row r="600" spans="2:18" ht="15.75" thickBot="1" x14ac:dyDescent="0.3">
      <c r="B600" s="60"/>
      <c r="C600" s="64"/>
      <c r="D600" s="62" t="s">
        <v>206</v>
      </c>
      <c r="E600" s="61"/>
      <c r="F600" s="61"/>
      <c r="G600" s="61"/>
      <c r="H600" s="61"/>
      <c r="I600" s="61"/>
      <c r="J600" s="61"/>
      <c r="K600" s="63"/>
      <c r="L600" s="63"/>
      <c r="M600" s="63"/>
      <c r="N600" s="63"/>
      <c r="O600" s="63"/>
      <c r="P600" s="63"/>
      <c r="Q600" s="63"/>
      <c r="R600" s="65"/>
    </row>
    <row r="601" spans="2:18" ht="15.75" thickBot="1" x14ac:dyDescent="0.3"/>
    <row r="602" spans="2:18" ht="15.75" x14ac:dyDescent="0.25">
      <c r="B602" s="1"/>
      <c r="C602" s="7" t="s">
        <v>348</v>
      </c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9"/>
    </row>
    <row r="603" spans="2:18" ht="18" x14ac:dyDescent="0.25">
      <c r="B603" s="2"/>
      <c r="C603" s="8" t="s">
        <v>209</v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10"/>
    </row>
    <row r="604" spans="2:18" ht="15.75" thickBot="1" x14ac:dyDescent="0.3">
      <c r="B604" s="3"/>
      <c r="C604" s="11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12"/>
    </row>
    <row r="605" spans="2:18" ht="17.25" customHeight="1" thickBot="1" x14ac:dyDescent="0.3">
      <c r="B605" s="14" t="s">
        <v>349</v>
      </c>
      <c r="C605" s="18" t="s">
        <v>350</v>
      </c>
      <c r="D605" s="21" t="s">
        <v>351</v>
      </c>
      <c r="E605" s="23" t="s">
        <v>352</v>
      </c>
      <c r="F605" s="21" t="s">
        <v>353</v>
      </c>
      <c r="G605" s="23" t="s">
        <v>354</v>
      </c>
      <c r="H605" s="23" t="s">
        <v>355</v>
      </c>
      <c r="I605" s="23" t="s">
        <v>356</v>
      </c>
      <c r="J605" s="25" t="s">
        <v>357</v>
      </c>
      <c r="K605" s="25" t="s">
        <v>358</v>
      </c>
      <c r="L605" s="30" t="s">
        <v>359</v>
      </c>
      <c r="M605" s="30" t="s">
        <v>360</v>
      </c>
      <c r="N605" s="30" t="s">
        <v>361</v>
      </c>
      <c r="O605" s="33" t="s">
        <v>362</v>
      </c>
      <c r="P605" s="33" t="s">
        <v>363</v>
      </c>
      <c r="Q605" s="33" t="s">
        <v>364</v>
      </c>
      <c r="R605" s="35" t="s">
        <v>365</v>
      </c>
    </row>
    <row r="606" spans="2:18" ht="12.75" customHeight="1" x14ac:dyDescent="0.25">
      <c r="B606" s="17" t="s">
        <v>0</v>
      </c>
      <c r="C606" s="43" t="s">
        <v>30</v>
      </c>
      <c r="D606" s="37" t="s">
        <v>2</v>
      </c>
      <c r="E606" s="36">
        <v>1</v>
      </c>
      <c r="F606" s="38" t="s">
        <v>120</v>
      </c>
      <c r="G606" s="38" t="s">
        <v>207</v>
      </c>
      <c r="H606" s="38" t="s">
        <v>208</v>
      </c>
      <c r="I606" s="38" t="s">
        <v>209</v>
      </c>
      <c r="J606" s="39" t="s">
        <v>31</v>
      </c>
      <c r="K606" s="40">
        <v>2108810</v>
      </c>
      <c r="L606" s="41">
        <v>681954452.25013936</v>
      </c>
      <c r="M606" s="41">
        <v>214734818.85000739</v>
      </c>
      <c r="N606" s="41">
        <v>169109980.789976</v>
      </c>
      <c r="O606" s="42">
        <f t="shared" ref="O606:O637" si="84">IFERROR(M606/L606,0)</f>
        <v>0.31488146773069697</v>
      </c>
      <c r="P606" s="42">
        <f t="shared" ref="P606:P637" si="85">IFERROR(N606/M606,0)</f>
        <v>0.78752938948433693</v>
      </c>
      <c r="Q606" s="42">
        <f t="shared" ref="Q606:Q637" si="86">IFERROR(1-(M606/L606),0)</f>
        <v>0.68511853226930297</v>
      </c>
      <c r="R606" s="45">
        <f t="shared" ref="R606:R637" si="87">IFERROR(N606/K606,0)</f>
        <v>80.192137172137848</v>
      </c>
    </row>
    <row r="607" spans="2:18" ht="12.75" customHeight="1" x14ac:dyDescent="0.25">
      <c r="B607" s="17" t="s">
        <v>0</v>
      </c>
      <c r="C607" s="44" t="s">
        <v>62</v>
      </c>
      <c r="D607" s="22" t="s">
        <v>2</v>
      </c>
      <c r="E607" s="20">
        <v>1</v>
      </c>
      <c r="F607" s="17" t="s">
        <v>120</v>
      </c>
      <c r="G607" s="17" t="s">
        <v>207</v>
      </c>
      <c r="H607" s="17" t="s">
        <v>208</v>
      </c>
      <c r="I607" s="17" t="s">
        <v>209</v>
      </c>
      <c r="J607" s="27" t="s">
        <v>63</v>
      </c>
      <c r="K607" s="29">
        <v>528740</v>
      </c>
      <c r="L607" s="31">
        <v>181467468.24001604</v>
      </c>
      <c r="M607" s="31">
        <v>57907735.920004733</v>
      </c>
      <c r="N607" s="31">
        <v>45530900.799995311</v>
      </c>
      <c r="O607" s="34">
        <f t="shared" si="84"/>
        <v>0.31910808301691668</v>
      </c>
      <c r="P607" s="34">
        <f t="shared" si="85"/>
        <v>0.78626629200100129</v>
      </c>
      <c r="Q607" s="34">
        <f t="shared" si="86"/>
        <v>0.68089191698308338</v>
      </c>
      <c r="R607" s="46">
        <f t="shared" si="87"/>
        <v>86.112079282814449</v>
      </c>
    </row>
    <row r="608" spans="2:18" ht="12.75" customHeight="1" x14ac:dyDescent="0.25">
      <c r="B608" s="17" t="s">
        <v>0</v>
      </c>
      <c r="C608" s="44" t="s">
        <v>24</v>
      </c>
      <c r="D608" s="22" t="s">
        <v>2</v>
      </c>
      <c r="E608" s="20">
        <v>1</v>
      </c>
      <c r="F608" s="17" t="s">
        <v>120</v>
      </c>
      <c r="G608" s="17" t="s">
        <v>207</v>
      </c>
      <c r="H608" s="17" t="s">
        <v>208</v>
      </c>
      <c r="I608" s="17" t="s">
        <v>209</v>
      </c>
      <c r="J608" s="27" t="s">
        <v>25</v>
      </c>
      <c r="K608" s="29">
        <v>518637</v>
      </c>
      <c r="L608" s="31">
        <v>121156270.40997754</v>
      </c>
      <c r="M608" s="31">
        <v>51282354.910051003</v>
      </c>
      <c r="N608" s="31">
        <v>40459739.800010458</v>
      </c>
      <c r="O608" s="34">
        <f t="shared" si="84"/>
        <v>0.42327445980730488</v>
      </c>
      <c r="P608" s="34">
        <f t="shared" si="85"/>
        <v>0.78896025486693511</v>
      </c>
      <c r="Q608" s="34">
        <f t="shared" si="86"/>
        <v>0.57672554019269517</v>
      </c>
      <c r="R608" s="46">
        <f t="shared" si="87"/>
        <v>78.011672518563955</v>
      </c>
    </row>
    <row r="609" spans="2:18" ht="12.75" customHeight="1" x14ac:dyDescent="0.25">
      <c r="B609" s="17" t="s">
        <v>0</v>
      </c>
      <c r="C609" s="44" t="s">
        <v>58</v>
      </c>
      <c r="D609" s="22" t="s">
        <v>2</v>
      </c>
      <c r="E609" s="20">
        <v>1</v>
      </c>
      <c r="F609" s="17" t="s">
        <v>120</v>
      </c>
      <c r="G609" s="17" t="s">
        <v>207</v>
      </c>
      <c r="H609" s="17" t="s">
        <v>208</v>
      </c>
      <c r="I609" s="17" t="s">
        <v>209</v>
      </c>
      <c r="J609" s="27" t="s">
        <v>59</v>
      </c>
      <c r="K609" s="29">
        <v>561790</v>
      </c>
      <c r="L609" s="31">
        <v>110639241.28990112</v>
      </c>
      <c r="M609" s="31">
        <v>48719991.750036545</v>
      </c>
      <c r="N609" s="31">
        <v>38557892.830002137</v>
      </c>
      <c r="O609" s="34">
        <f t="shared" si="84"/>
        <v>0.44035001670319285</v>
      </c>
      <c r="P609" s="34">
        <f t="shared" si="85"/>
        <v>0.79141829554955156</v>
      </c>
      <c r="Q609" s="34">
        <f t="shared" si="86"/>
        <v>0.55964998329680715</v>
      </c>
      <c r="R609" s="46">
        <f t="shared" si="87"/>
        <v>68.633996386553932</v>
      </c>
    </row>
    <row r="610" spans="2:18" ht="12.75" customHeight="1" x14ac:dyDescent="0.25">
      <c r="B610" s="17" t="s">
        <v>0</v>
      </c>
      <c r="C610" s="44" t="s">
        <v>46</v>
      </c>
      <c r="D610" s="22" t="s">
        <v>2</v>
      </c>
      <c r="E610" s="20">
        <v>1</v>
      </c>
      <c r="F610" s="17" t="s">
        <v>120</v>
      </c>
      <c r="G610" s="17" t="s">
        <v>207</v>
      </c>
      <c r="H610" s="17" t="s">
        <v>208</v>
      </c>
      <c r="I610" s="17" t="s">
        <v>209</v>
      </c>
      <c r="J610" s="27" t="s">
        <v>47</v>
      </c>
      <c r="K610" s="29">
        <v>584362</v>
      </c>
      <c r="L610" s="31">
        <v>164182438.16992342</v>
      </c>
      <c r="M610" s="31">
        <v>48508371.210005149</v>
      </c>
      <c r="N610" s="31">
        <v>38182620.280009568</v>
      </c>
      <c r="O610" s="34">
        <f t="shared" si="84"/>
        <v>0.29545407992906392</v>
      </c>
      <c r="P610" s="34">
        <f t="shared" si="85"/>
        <v>0.7871346600096556</v>
      </c>
      <c r="Q610" s="34">
        <f t="shared" si="86"/>
        <v>0.70454592007093608</v>
      </c>
      <c r="R610" s="46">
        <f t="shared" si="87"/>
        <v>65.340696828352236</v>
      </c>
    </row>
    <row r="611" spans="2:18" ht="12.75" customHeight="1" x14ac:dyDescent="0.25">
      <c r="B611" s="17" t="s">
        <v>0</v>
      </c>
      <c r="C611" s="44" t="s">
        <v>54</v>
      </c>
      <c r="D611" s="22" t="s">
        <v>2</v>
      </c>
      <c r="E611" s="20">
        <v>1</v>
      </c>
      <c r="F611" s="17" t="s">
        <v>120</v>
      </c>
      <c r="G611" s="17" t="s">
        <v>207</v>
      </c>
      <c r="H611" s="17" t="s">
        <v>208</v>
      </c>
      <c r="I611" s="17" t="s">
        <v>209</v>
      </c>
      <c r="J611" s="27" t="s">
        <v>55</v>
      </c>
      <c r="K611" s="29">
        <v>368498</v>
      </c>
      <c r="L611" s="31">
        <v>119613434.28999321</v>
      </c>
      <c r="M611" s="31">
        <v>37154141.170032635</v>
      </c>
      <c r="N611" s="31">
        <v>29217336.479999568</v>
      </c>
      <c r="O611" s="34">
        <f t="shared" si="84"/>
        <v>0.31061846347422306</v>
      </c>
      <c r="P611" s="34">
        <f t="shared" si="85"/>
        <v>0.78638169420439608</v>
      </c>
      <c r="Q611" s="34">
        <f t="shared" si="86"/>
        <v>0.68938153652577694</v>
      </c>
      <c r="R611" s="46">
        <f t="shared" si="87"/>
        <v>79.287639227348777</v>
      </c>
    </row>
    <row r="612" spans="2:18" ht="12.75" customHeight="1" x14ac:dyDescent="0.25">
      <c r="B612" s="17" t="s">
        <v>0</v>
      </c>
      <c r="C612" s="44" t="s">
        <v>14</v>
      </c>
      <c r="D612" s="22" t="s">
        <v>2</v>
      </c>
      <c r="E612" s="20">
        <v>1</v>
      </c>
      <c r="F612" s="17" t="s">
        <v>120</v>
      </c>
      <c r="G612" s="17" t="s">
        <v>207</v>
      </c>
      <c r="H612" s="17" t="s">
        <v>208</v>
      </c>
      <c r="I612" s="17" t="s">
        <v>209</v>
      </c>
      <c r="J612" s="27" t="s">
        <v>15</v>
      </c>
      <c r="K612" s="29">
        <v>317981</v>
      </c>
      <c r="L612" s="31">
        <v>82514447.949989051</v>
      </c>
      <c r="M612" s="31">
        <v>32749600.230007801</v>
      </c>
      <c r="N612" s="31">
        <v>25815319.759999149</v>
      </c>
      <c r="O612" s="34">
        <f t="shared" si="84"/>
        <v>0.39689534431420925</v>
      </c>
      <c r="P612" s="34">
        <f t="shared" si="85"/>
        <v>0.78826366058493413</v>
      </c>
      <c r="Q612" s="34">
        <f t="shared" si="86"/>
        <v>0.60310465568579075</v>
      </c>
      <c r="R612" s="46">
        <f t="shared" si="87"/>
        <v>81.185101499772472</v>
      </c>
    </row>
    <row r="613" spans="2:18" ht="12.75" customHeight="1" x14ac:dyDescent="0.25">
      <c r="B613" s="17" t="s">
        <v>0</v>
      </c>
      <c r="C613" s="44" t="s">
        <v>151</v>
      </c>
      <c r="D613" s="22" t="s">
        <v>2</v>
      </c>
      <c r="E613" s="20">
        <v>1</v>
      </c>
      <c r="F613" s="17" t="s">
        <v>120</v>
      </c>
      <c r="G613" s="17" t="s">
        <v>207</v>
      </c>
      <c r="H613" s="17" t="s">
        <v>208</v>
      </c>
      <c r="I613" s="17" t="s">
        <v>209</v>
      </c>
      <c r="J613" s="27" t="s">
        <v>152</v>
      </c>
      <c r="K613" s="29">
        <v>337825</v>
      </c>
      <c r="L613" s="31">
        <v>86396262.720054626</v>
      </c>
      <c r="M613" s="31">
        <v>32376698.289993264</v>
      </c>
      <c r="N613" s="31">
        <v>25622545.909975413</v>
      </c>
      <c r="O613" s="34">
        <f t="shared" si="84"/>
        <v>0.37474651415075461</v>
      </c>
      <c r="P613" s="34">
        <f t="shared" si="85"/>
        <v>0.79138847576359039</v>
      </c>
      <c r="Q613" s="34">
        <f t="shared" si="86"/>
        <v>0.62525348584924534</v>
      </c>
      <c r="R613" s="46">
        <f t="shared" si="87"/>
        <v>75.84561802701225</v>
      </c>
    </row>
    <row r="614" spans="2:18" ht="12.75" customHeight="1" x14ac:dyDescent="0.25">
      <c r="B614" s="17" t="s">
        <v>0</v>
      </c>
      <c r="C614" s="44" t="s">
        <v>44</v>
      </c>
      <c r="D614" s="22" t="s">
        <v>2</v>
      </c>
      <c r="E614" s="20">
        <v>1</v>
      </c>
      <c r="F614" s="17" t="s">
        <v>120</v>
      </c>
      <c r="G614" s="17" t="s">
        <v>207</v>
      </c>
      <c r="H614" s="17" t="s">
        <v>208</v>
      </c>
      <c r="I614" s="17" t="s">
        <v>209</v>
      </c>
      <c r="J614" s="27" t="s">
        <v>45</v>
      </c>
      <c r="K614" s="29">
        <v>261096</v>
      </c>
      <c r="L614" s="31">
        <v>62180563.260011248</v>
      </c>
      <c r="M614" s="31">
        <v>26869793.099989757</v>
      </c>
      <c r="N614" s="31">
        <v>21258248.019999247</v>
      </c>
      <c r="O614" s="34">
        <f t="shared" si="84"/>
        <v>0.43212527663399131</v>
      </c>
      <c r="P614" s="34">
        <f t="shared" si="85"/>
        <v>0.79115786046031555</v>
      </c>
      <c r="Q614" s="34">
        <f t="shared" si="86"/>
        <v>0.56787472336600864</v>
      </c>
      <c r="R614" s="46">
        <f t="shared" si="87"/>
        <v>81.419278809323956</v>
      </c>
    </row>
    <row r="615" spans="2:18" ht="12.75" customHeight="1" x14ac:dyDescent="0.25">
      <c r="B615" s="17" t="s">
        <v>0</v>
      </c>
      <c r="C615" s="44" t="s">
        <v>66</v>
      </c>
      <c r="D615" s="22" t="s">
        <v>2</v>
      </c>
      <c r="E615" s="20">
        <v>1</v>
      </c>
      <c r="F615" s="17" t="s">
        <v>120</v>
      </c>
      <c r="G615" s="17" t="s">
        <v>207</v>
      </c>
      <c r="H615" s="17" t="s">
        <v>208</v>
      </c>
      <c r="I615" s="17" t="s">
        <v>209</v>
      </c>
      <c r="J615" s="27" t="s">
        <v>67</v>
      </c>
      <c r="K615" s="29">
        <v>159389</v>
      </c>
      <c r="L615" s="31">
        <v>41203715.720005848</v>
      </c>
      <c r="M615" s="31">
        <v>16859360.649982084</v>
      </c>
      <c r="N615" s="31">
        <v>13223121.069983613</v>
      </c>
      <c r="O615" s="34">
        <f t="shared" si="84"/>
        <v>0.40917088071734931</v>
      </c>
      <c r="P615" s="34">
        <f t="shared" si="85"/>
        <v>0.78431924819151821</v>
      </c>
      <c r="Q615" s="34">
        <f t="shared" si="86"/>
        <v>0.59082911928265069</v>
      </c>
      <c r="R615" s="46">
        <f t="shared" si="87"/>
        <v>82.961315209855215</v>
      </c>
    </row>
    <row r="616" spans="2:18" ht="12.75" customHeight="1" x14ac:dyDescent="0.25">
      <c r="B616" s="17" t="s">
        <v>0</v>
      </c>
      <c r="C616" s="44" t="s">
        <v>12</v>
      </c>
      <c r="D616" s="22" t="s">
        <v>2</v>
      </c>
      <c r="E616" s="20">
        <v>1</v>
      </c>
      <c r="F616" s="17" t="s">
        <v>120</v>
      </c>
      <c r="G616" s="17" t="s">
        <v>207</v>
      </c>
      <c r="H616" s="17" t="s">
        <v>208</v>
      </c>
      <c r="I616" s="17" t="s">
        <v>209</v>
      </c>
      <c r="J616" s="27" t="s">
        <v>13</v>
      </c>
      <c r="K616" s="29">
        <v>131584</v>
      </c>
      <c r="L616" s="31">
        <v>33633660.019987643</v>
      </c>
      <c r="M616" s="31">
        <v>13815132.190021997</v>
      </c>
      <c r="N616" s="31">
        <v>10859282.340000981</v>
      </c>
      <c r="O616" s="34">
        <f t="shared" si="84"/>
        <v>0.41075316161880715</v>
      </c>
      <c r="P616" s="34">
        <f t="shared" si="85"/>
        <v>0.78604259377583929</v>
      </c>
      <c r="Q616" s="34">
        <f t="shared" si="86"/>
        <v>0.58924683838119285</v>
      </c>
      <c r="R616" s="46">
        <f t="shared" si="87"/>
        <v>82.527376732740919</v>
      </c>
    </row>
    <row r="617" spans="2:18" ht="12.75" customHeight="1" x14ac:dyDescent="0.25">
      <c r="B617" s="17" t="s">
        <v>0</v>
      </c>
      <c r="C617" s="44" t="s">
        <v>48</v>
      </c>
      <c r="D617" s="22" t="s">
        <v>2</v>
      </c>
      <c r="E617" s="20">
        <v>1</v>
      </c>
      <c r="F617" s="17" t="s">
        <v>120</v>
      </c>
      <c r="G617" s="17" t="s">
        <v>207</v>
      </c>
      <c r="H617" s="17" t="s">
        <v>208</v>
      </c>
      <c r="I617" s="17" t="s">
        <v>209</v>
      </c>
      <c r="J617" s="27" t="s">
        <v>49</v>
      </c>
      <c r="K617" s="29">
        <v>113079</v>
      </c>
      <c r="L617" s="31">
        <v>28651435.810013004</v>
      </c>
      <c r="M617" s="31">
        <v>11799365.690006733</v>
      </c>
      <c r="N617" s="31">
        <v>9289952.8199987095</v>
      </c>
      <c r="O617" s="34">
        <f t="shared" si="84"/>
        <v>0.41182458597356336</v>
      </c>
      <c r="P617" s="34">
        <f t="shared" si="85"/>
        <v>0.78732646008816165</v>
      </c>
      <c r="Q617" s="34">
        <f t="shared" si="86"/>
        <v>0.58817541402643658</v>
      </c>
      <c r="R617" s="46">
        <f t="shared" si="87"/>
        <v>82.154536386054971</v>
      </c>
    </row>
    <row r="618" spans="2:18" ht="12.75" customHeight="1" x14ac:dyDescent="0.25">
      <c r="B618" s="17" t="s">
        <v>0</v>
      </c>
      <c r="C618" s="44" t="s">
        <v>50</v>
      </c>
      <c r="D618" s="22" t="s">
        <v>2</v>
      </c>
      <c r="E618" s="20">
        <v>1</v>
      </c>
      <c r="F618" s="17" t="s">
        <v>120</v>
      </c>
      <c r="G618" s="17" t="s">
        <v>207</v>
      </c>
      <c r="H618" s="17" t="s">
        <v>208</v>
      </c>
      <c r="I618" s="17" t="s">
        <v>209</v>
      </c>
      <c r="J618" s="27" t="s">
        <v>51</v>
      </c>
      <c r="K618" s="29">
        <v>137207</v>
      </c>
      <c r="L618" s="31">
        <v>42318648.019997247</v>
      </c>
      <c r="M618" s="31">
        <v>11754753.50000344</v>
      </c>
      <c r="N618" s="31">
        <v>9253168.8100030944</v>
      </c>
      <c r="O618" s="34">
        <f t="shared" si="84"/>
        <v>0.27776769934731493</v>
      </c>
      <c r="P618" s="34">
        <f t="shared" si="85"/>
        <v>0.78718527019731943</v>
      </c>
      <c r="Q618" s="34">
        <f t="shared" si="86"/>
        <v>0.72223230065268507</v>
      </c>
      <c r="R618" s="46">
        <f t="shared" si="87"/>
        <v>67.439480565882889</v>
      </c>
    </row>
    <row r="619" spans="2:18" ht="12.75" customHeight="1" x14ac:dyDescent="0.25">
      <c r="B619" s="17" t="s">
        <v>0</v>
      </c>
      <c r="C619" s="44" t="s">
        <v>36</v>
      </c>
      <c r="D619" s="22" t="s">
        <v>2</v>
      </c>
      <c r="E619" s="20">
        <v>1</v>
      </c>
      <c r="F619" s="17" t="s">
        <v>120</v>
      </c>
      <c r="G619" s="17" t="s">
        <v>207</v>
      </c>
      <c r="H619" s="17" t="s">
        <v>208</v>
      </c>
      <c r="I619" s="17" t="s">
        <v>209</v>
      </c>
      <c r="J619" s="27" t="s">
        <v>37</v>
      </c>
      <c r="K619" s="29">
        <v>93840</v>
      </c>
      <c r="L619" s="31">
        <v>29567761.909995124</v>
      </c>
      <c r="M619" s="31">
        <v>9306372.8299997244</v>
      </c>
      <c r="N619" s="31">
        <v>7314436.7600015085</v>
      </c>
      <c r="O619" s="34">
        <f t="shared" si="84"/>
        <v>0.31474728653215334</v>
      </c>
      <c r="P619" s="34">
        <f t="shared" si="85"/>
        <v>0.78595999683388196</v>
      </c>
      <c r="Q619" s="34">
        <f t="shared" si="86"/>
        <v>0.68525271346784666</v>
      </c>
      <c r="R619" s="46">
        <f t="shared" si="87"/>
        <v>77.945830775804652</v>
      </c>
    </row>
    <row r="620" spans="2:18" ht="12.75" customHeight="1" x14ac:dyDescent="0.25">
      <c r="B620" s="17" t="s">
        <v>0</v>
      </c>
      <c r="C620" s="44" t="s">
        <v>127</v>
      </c>
      <c r="D620" s="22" t="s">
        <v>2</v>
      </c>
      <c r="E620" s="20">
        <v>1</v>
      </c>
      <c r="F620" s="17" t="s">
        <v>120</v>
      </c>
      <c r="G620" s="17" t="s">
        <v>207</v>
      </c>
      <c r="H620" s="17" t="s">
        <v>208</v>
      </c>
      <c r="I620" s="17" t="s">
        <v>209</v>
      </c>
      <c r="J620" s="27" t="s">
        <v>128</v>
      </c>
      <c r="K620" s="29">
        <v>105809</v>
      </c>
      <c r="L620" s="31">
        <v>22970172.839972291</v>
      </c>
      <c r="M620" s="31">
        <v>9287740.9399996325</v>
      </c>
      <c r="N620" s="31">
        <v>7291461.7300024414</v>
      </c>
      <c r="O620" s="34">
        <f t="shared" si="84"/>
        <v>0.40433918389317774</v>
      </c>
      <c r="P620" s="34">
        <f t="shared" si="85"/>
        <v>0.78506299616952169</v>
      </c>
      <c r="Q620" s="34">
        <f t="shared" si="86"/>
        <v>0.5956608161068222</v>
      </c>
      <c r="R620" s="46">
        <f t="shared" si="87"/>
        <v>68.911545615235397</v>
      </c>
    </row>
    <row r="621" spans="2:18" ht="12.75" customHeight="1" x14ac:dyDescent="0.25">
      <c r="B621" s="17" t="s">
        <v>0</v>
      </c>
      <c r="C621" s="44" t="s">
        <v>145</v>
      </c>
      <c r="D621" s="22" t="s">
        <v>2</v>
      </c>
      <c r="E621" s="20">
        <v>1</v>
      </c>
      <c r="F621" s="17" t="s">
        <v>120</v>
      </c>
      <c r="G621" s="17" t="s">
        <v>207</v>
      </c>
      <c r="H621" s="17" t="s">
        <v>208</v>
      </c>
      <c r="I621" s="17" t="s">
        <v>209</v>
      </c>
      <c r="J621" s="27" t="s">
        <v>146</v>
      </c>
      <c r="K621" s="29">
        <v>73582</v>
      </c>
      <c r="L621" s="31">
        <v>21210154.710001275</v>
      </c>
      <c r="M621" s="31">
        <v>7682403.1400137553</v>
      </c>
      <c r="N621" s="31">
        <v>6062401.6300022658</v>
      </c>
      <c r="O621" s="34">
        <f t="shared" si="84"/>
        <v>0.36220401242010997</v>
      </c>
      <c r="P621" s="34">
        <f t="shared" si="85"/>
        <v>0.78912828701038606</v>
      </c>
      <c r="Q621" s="34">
        <f t="shared" si="86"/>
        <v>0.63779598757988998</v>
      </c>
      <c r="R621" s="46">
        <f t="shared" si="87"/>
        <v>82.389737028108314</v>
      </c>
    </row>
    <row r="622" spans="2:18" ht="12.75" customHeight="1" x14ac:dyDescent="0.25">
      <c r="B622" s="17" t="s">
        <v>0</v>
      </c>
      <c r="C622" s="44" t="s">
        <v>38</v>
      </c>
      <c r="D622" s="22" t="s">
        <v>2</v>
      </c>
      <c r="E622" s="20">
        <v>1</v>
      </c>
      <c r="F622" s="17" t="s">
        <v>120</v>
      </c>
      <c r="G622" s="17" t="s">
        <v>207</v>
      </c>
      <c r="H622" s="17" t="s">
        <v>208</v>
      </c>
      <c r="I622" s="17" t="s">
        <v>209</v>
      </c>
      <c r="J622" s="27" t="s">
        <v>39</v>
      </c>
      <c r="K622" s="29">
        <v>62254</v>
      </c>
      <c r="L622" s="31">
        <v>16982650.030009285</v>
      </c>
      <c r="M622" s="31">
        <v>6568131.0699954405</v>
      </c>
      <c r="N622" s="31">
        <v>5184677.0999945533</v>
      </c>
      <c r="O622" s="34">
        <f t="shared" si="84"/>
        <v>0.38675536847248154</v>
      </c>
      <c r="P622" s="34">
        <f t="shared" si="85"/>
        <v>0.78936870241204737</v>
      </c>
      <c r="Q622" s="34">
        <f t="shared" si="86"/>
        <v>0.6132446315275184</v>
      </c>
      <c r="R622" s="46">
        <f t="shared" si="87"/>
        <v>83.282634047523899</v>
      </c>
    </row>
    <row r="623" spans="2:18" ht="12.75" customHeight="1" x14ac:dyDescent="0.25">
      <c r="B623" s="17" t="s">
        <v>0</v>
      </c>
      <c r="C623" s="44" t="s">
        <v>32</v>
      </c>
      <c r="D623" s="22" t="s">
        <v>2</v>
      </c>
      <c r="E623" s="20">
        <v>1</v>
      </c>
      <c r="F623" s="17" t="s">
        <v>120</v>
      </c>
      <c r="G623" s="17" t="s">
        <v>207</v>
      </c>
      <c r="H623" s="17" t="s">
        <v>208</v>
      </c>
      <c r="I623" s="17" t="s">
        <v>209</v>
      </c>
      <c r="J623" s="27" t="s">
        <v>33</v>
      </c>
      <c r="K623" s="29">
        <v>32526</v>
      </c>
      <c r="L623" s="31">
        <v>9041307.0299961828</v>
      </c>
      <c r="M623" s="31">
        <v>3605843.0600054772</v>
      </c>
      <c r="N623" s="31">
        <v>2833466.8900031629</v>
      </c>
      <c r="O623" s="34">
        <f t="shared" si="84"/>
        <v>0.39881878228915751</v>
      </c>
      <c r="P623" s="34">
        <f t="shared" si="85"/>
        <v>0.78579872802308237</v>
      </c>
      <c r="Q623" s="34">
        <f t="shared" si="86"/>
        <v>0.60118121771084243</v>
      </c>
      <c r="R623" s="46">
        <f t="shared" si="87"/>
        <v>87.113905491089071</v>
      </c>
    </row>
    <row r="624" spans="2:18" ht="12.75" customHeight="1" x14ac:dyDescent="0.25">
      <c r="B624" s="17" t="s">
        <v>0</v>
      </c>
      <c r="C624" s="44" t="s">
        <v>153</v>
      </c>
      <c r="D624" s="22" t="s">
        <v>2</v>
      </c>
      <c r="E624" s="20">
        <v>1</v>
      </c>
      <c r="F624" s="17" t="s">
        <v>120</v>
      </c>
      <c r="G624" s="17" t="s">
        <v>207</v>
      </c>
      <c r="H624" s="17" t="s">
        <v>208</v>
      </c>
      <c r="I624" s="17" t="s">
        <v>209</v>
      </c>
      <c r="J624" s="27" t="s">
        <v>154</v>
      </c>
      <c r="K624" s="29">
        <v>29586</v>
      </c>
      <c r="L624" s="31">
        <v>8924702.3100036606</v>
      </c>
      <c r="M624" s="31">
        <v>3286097.2600075025</v>
      </c>
      <c r="N624" s="31">
        <v>2596180.0000045043</v>
      </c>
      <c r="O624" s="34">
        <f t="shared" si="84"/>
        <v>0.36820245044186295</v>
      </c>
      <c r="P624" s="34">
        <f t="shared" si="85"/>
        <v>0.79004965300344665</v>
      </c>
      <c r="Q624" s="34">
        <f t="shared" si="86"/>
        <v>0.63179754955813705</v>
      </c>
      <c r="R624" s="46">
        <f t="shared" si="87"/>
        <v>87.750287298198614</v>
      </c>
    </row>
    <row r="625" spans="2:18" ht="12.75" customHeight="1" x14ac:dyDescent="0.25">
      <c r="B625" s="17" t="s">
        <v>0</v>
      </c>
      <c r="C625" s="44" t="s">
        <v>157</v>
      </c>
      <c r="D625" s="22" t="s">
        <v>2</v>
      </c>
      <c r="E625" s="20">
        <v>1</v>
      </c>
      <c r="F625" s="17" t="s">
        <v>120</v>
      </c>
      <c r="G625" s="17" t="s">
        <v>207</v>
      </c>
      <c r="H625" s="17" t="s">
        <v>208</v>
      </c>
      <c r="I625" s="17" t="s">
        <v>209</v>
      </c>
      <c r="J625" s="27" t="s">
        <v>158</v>
      </c>
      <c r="K625" s="29">
        <v>32467</v>
      </c>
      <c r="L625" s="31">
        <v>9560350.4000033736</v>
      </c>
      <c r="M625" s="31">
        <v>3273578.120001703</v>
      </c>
      <c r="N625" s="31">
        <v>2582815.3099986492</v>
      </c>
      <c r="O625" s="34">
        <f t="shared" si="84"/>
        <v>0.34241193921098834</v>
      </c>
      <c r="P625" s="34">
        <f t="shared" si="85"/>
        <v>0.78898844485107489</v>
      </c>
      <c r="Q625" s="34">
        <f t="shared" si="86"/>
        <v>0.65758806078901166</v>
      </c>
      <c r="R625" s="46">
        <f t="shared" si="87"/>
        <v>79.552016201024088</v>
      </c>
    </row>
    <row r="626" spans="2:18" ht="12.75" customHeight="1" x14ac:dyDescent="0.25">
      <c r="B626" s="17" t="s">
        <v>0</v>
      </c>
      <c r="C626" s="44" t="s">
        <v>28</v>
      </c>
      <c r="D626" s="22" t="s">
        <v>2</v>
      </c>
      <c r="E626" s="20">
        <v>1</v>
      </c>
      <c r="F626" s="17" t="s">
        <v>120</v>
      </c>
      <c r="G626" s="17" t="s">
        <v>207</v>
      </c>
      <c r="H626" s="17" t="s">
        <v>208</v>
      </c>
      <c r="I626" s="17" t="s">
        <v>209</v>
      </c>
      <c r="J626" s="27" t="s">
        <v>29</v>
      </c>
      <c r="K626" s="29">
        <v>30598</v>
      </c>
      <c r="L626" s="31">
        <v>11241679.450000865</v>
      </c>
      <c r="M626" s="31">
        <v>3024701.0899932804</v>
      </c>
      <c r="N626" s="31">
        <v>2377807.6000005514</v>
      </c>
      <c r="O626" s="34">
        <f t="shared" si="84"/>
        <v>0.26906131805715627</v>
      </c>
      <c r="P626" s="34">
        <f t="shared" si="85"/>
        <v>0.78612977919277105</v>
      </c>
      <c r="Q626" s="34">
        <f t="shared" si="86"/>
        <v>0.73093868194284373</v>
      </c>
      <c r="R626" s="46">
        <f t="shared" si="87"/>
        <v>77.711209883016906</v>
      </c>
    </row>
    <row r="627" spans="2:18" ht="12.75" customHeight="1" x14ac:dyDescent="0.25">
      <c r="B627" s="17" t="s">
        <v>0</v>
      </c>
      <c r="C627" s="44" t="s">
        <v>56</v>
      </c>
      <c r="D627" s="22" t="s">
        <v>2</v>
      </c>
      <c r="E627" s="20">
        <v>1</v>
      </c>
      <c r="F627" s="17" t="s">
        <v>120</v>
      </c>
      <c r="G627" s="17" t="s">
        <v>207</v>
      </c>
      <c r="H627" s="17" t="s">
        <v>208</v>
      </c>
      <c r="I627" s="17" t="s">
        <v>209</v>
      </c>
      <c r="J627" s="27" t="s">
        <v>57</v>
      </c>
      <c r="K627" s="29">
        <v>29035</v>
      </c>
      <c r="L627" s="31">
        <v>6944349.7199988449</v>
      </c>
      <c r="M627" s="31">
        <v>2823699.5600005421</v>
      </c>
      <c r="N627" s="31">
        <v>2214524.9799943641</v>
      </c>
      <c r="O627" s="34">
        <f t="shared" si="84"/>
        <v>0.40661828304364428</v>
      </c>
      <c r="P627" s="34">
        <f t="shared" si="85"/>
        <v>0.78426367003221087</v>
      </c>
      <c r="Q627" s="34">
        <f t="shared" si="86"/>
        <v>0.59338171695635578</v>
      </c>
      <c r="R627" s="46">
        <f t="shared" si="87"/>
        <v>76.27087928342911</v>
      </c>
    </row>
    <row r="628" spans="2:18" ht="12.75" customHeight="1" x14ac:dyDescent="0.25">
      <c r="B628" s="17" t="s">
        <v>0</v>
      </c>
      <c r="C628" s="44" t="s">
        <v>90</v>
      </c>
      <c r="D628" s="22" t="s">
        <v>2</v>
      </c>
      <c r="E628" s="20">
        <v>1</v>
      </c>
      <c r="F628" s="17" t="s">
        <v>120</v>
      </c>
      <c r="G628" s="17" t="s">
        <v>207</v>
      </c>
      <c r="H628" s="17" t="s">
        <v>208</v>
      </c>
      <c r="I628" s="17" t="s">
        <v>209</v>
      </c>
      <c r="J628" s="27" t="s">
        <v>91</v>
      </c>
      <c r="K628" s="29">
        <v>17649</v>
      </c>
      <c r="L628" s="31">
        <v>6934988.9499953911</v>
      </c>
      <c r="M628" s="31">
        <v>2409760.6700003184</v>
      </c>
      <c r="N628" s="31">
        <v>1867901.7999969088</v>
      </c>
      <c r="O628" s="34">
        <f t="shared" si="84"/>
        <v>0.34747866036641917</v>
      </c>
      <c r="P628" s="34">
        <f t="shared" si="85"/>
        <v>0.77513996441674093</v>
      </c>
      <c r="Q628" s="34">
        <f t="shared" si="86"/>
        <v>0.65252133963358083</v>
      </c>
      <c r="R628" s="46">
        <f t="shared" si="87"/>
        <v>105.83612669255531</v>
      </c>
    </row>
    <row r="629" spans="2:18" ht="12.75" customHeight="1" x14ac:dyDescent="0.25">
      <c r="B629" s="17" t="s">
        <v>0</v>
      </c>
      <c r="C629" s="44" t="s">
        <v>114</v>
      </c>
      <c r="D629" s="22" t="s">
        <v>2</v>
      </c>
      <c r="E629" s="20">
        <v>1</v>
      </c>
      <c r="F629" s="17" t="s">
        <v>120</v>
      </c>
      <c r="G629" s="17" t="s">
        <v>207</v>
      </c>
      <c r="H629" s="17" t="s">
        <v>208</v>
      </c>
      <c r="I629" s="17" t="s">
        <v>209</v>
      </c>
      <c r="J629" s="27" t="s">
        <v>118</v>
      </c>
      <c r="K629" s="29">
        <v>22839</v>
      </c>
      <c r="L629" s="31">
        <v>5706841.4200055609</v>
      </c>
      <c r="M629" s="31">
        <v>2197499.8100004657</v>
      </c>
      <c r="N629" s="31">
        <v>1737832.9900027048</v>
      </c>
      <c r="O629" s="34">
        <f t="shared" si="84"/>
        <v>0.38506410959607923</v>
      </c>
      <c r="P629" s="34">
        <f t="shared" si="85"/>
        <v>0.79082281695502699</v>
      </c>
      <c r="Q629" s="34">
        <f t="shared" si="86"/>
        <v>0.61493589040392083</v>
      </c>
      <c r="R629" s="46">
        <f t="shared" si="87"/>
        <v>76.090590218604348</v>
      </c>
    </row>
    <row r="630" spans="2:18" ht="12.75" customHeight="1" x14ac:dyDescent="0.25">
      <c r="B630" s="17" t="s">
        <v>0</v>
      </c>
      <c r="C630" s="44" t="s">
        <v>68</v>
      </c>
      <c r="D630" s="22" t="s">
        <v>2</v>
      </c>
      <c r="E630" s="20">
        <v>1</v>
      </c>
      <c r="F630" s="17" t="s">
        <v>120</v>
      </c>
      <c r="G630" s="17" t="s">
        <v>207</v>
      </c>
      <c r="H630" s="17" t="s">
        <v>208</v>
      </c>
      <c r="I630" s="17" t="s">
        <v>209</v>
      </c>
      <c r="J630" s="27" t="s">
        <v>69</v>
      </c>
      <c r="K630" s="29">
        <v>16596</v>
      </c>
      <c r="L630" s="31">
        <v>5516235.7400066098</v>
      </c>
      <c r="M630" s="31">
        <v>1810400.8400033263</v>
      </c>
      <c r="N630" s="31">
        <v>1411300.0399972298</v>
      </c>
      <c r="O630" s="34">
        <f t="shared" si="84"/>
        <v>0.32819497304536099</v>
      </c>
      <c r="P630" s="34">
        <f t="shared" si="85"/>
        <v>0.77955114072673359</v>
      </c>
      <c r="Q630" s="34">
        <f t="shared" si="86"/>
        <v>0.67180502695463895</v>
      </c>
      <c r="R630" s="46">
        <f t="shared" si="87"/>
        <v>85.038565919331759</v>
      </c>
    </row>
    <row r="631" spans="2:18" ht="12.75" customHeight="1" x14ac:dyDescent="0.25">
      <c r="B631" s="17" t="s">
        <v>0</v>
      </c>
      <c r="C631" s="44" t="s">
        <v>103</v>
      </c>
      <c r="D631" s="22" t="s">
        <v>2</v>
      </c>
      <c r="E631" s="20">
        <v>1</v>
      </c>
      <c r="F631" s="17" t="s">
        <v>120</v>
      </c>
      <c r="G631" s="17" t="s">
        <v>207</v>
      </c>
      <c r="H631" s="17" t="s">
        <v>208</v>
      </c>
      <c r="I631" s="17" t="s">
        <v>209</v>
      </c>
      <c r="J631" s="27" t="s">
        <v>104</v>
      </c>
      <c r="K631" s="29">
        <v>18390</v>
      </c>
      <c r="L631" s="31">
        <v>4138172.509991101</v>
      </c>
      <c r="M631" s="31">
        <v>1780753.9199998898</v>
      </c>
      <c r="N631" s="31">
        <v>1406974.6400008725</v>
      </c>
      <c r="O631" s="34">
        <f t="shared" si="84"/>
        <v>0.43032375177701793</v>
      </c>
      <c r="P631" s="34">
        <f t="shared" si="85"/>
        <v>0.79010054348270631</v>
      </c>
      <c r="Q631" s="34">
        <f t="shared" si="86"/>
        <v>0.56967624822298202</v>
      </c>
      <c r="R631" s="46">
        <f t="shared" si="87"/>
        <v>76.507593257252452</v>
      </c>
    </row>
    <row r="632" spans="2:18" ht="12.75" customHeight="1" x14ac:dyDescent="0.25">
      <c r="B632" s="17" t="s">
        <v>0</v>
      </c>
      <c r="C632" s="44" t="s">
        <v>22</v>
      </c>
      <c r="D632" s="22" t="s">
        <v>2</v>
      </c>
      <c r="E632" s="20">
        <v>1</v>
      </c>
      <c r="F632" s="17" t="s">
        <v>120</v>
      </c>
      <c r="G632" s="17" t="s">
        <v>207</v>
      </c>
      <c r="H632" s="17" t="s">
        <v>208</v>
      </c>
      <c r="I632" s="17" t="s">
        <v>209</v>
      </c>
      <c r="J632" s="27" t="s">
        <v>23</v>
      </c>
      <c r="K632" s="29">
        <v>16337</v>
      </c>
      <c r="L632" s="31">
        <v>4635225.1300011706</v>
      </c>
      <c r="M632" s="31">
        <v>1683339.3499990499</v>
      </c>
      <c r="N632" s="31">
        <v>1328865.5799998296</v>
      </c>
      <c r="O632" s="34">
        <f t="shared" si="84"/>
        <v>0.36316237136007778</v>
      </c>
      <c r="P632" s="34">
        <f t="shared" si="85"/>
        <v>0.78942227543161736</v>
      </c>
      <c r="Q632" s="34">
        <f t="shared" si="86"/>
        <v>0.63683762863992222</v>
      </c>
      <c r="R632" s="46">
        <f t="shared" si="87"/>
        <v>81.340856950470084</v>
      </c>
    </row>
    <row r="633" spans="2:18" ht="12.75" customHeight="1" x14ac:dyDescent="0.25">
      <c r="B633" s="17" t="s">
        <v>0</v>
      </c>
      <c r="C633" s="44" t="s">
        <v>52</v>
      </c>
      <c r="D633" s="22" t="s">
        <v>2</v>
      </c>
      <c r="E633" s="20">
        <v>1</v>
      </c>
      <c r="F633" s="17" t="s">
        <v>120</v>
      </c>
      <c r="G633" s="17" t="s">
        <v>207</v>
      </c>
      <c r="H633" s="17" t="s">
        <v>208</v>
      </c>
      <c r="I633" s="17" t="s">
        <v>209</v>
      </c>
      <c r="J633" s="27" t="s">
        <v>53</v>
      </c>
      <c r="K633" s="29">
        <v>13588</v>
      </c>
      <c r="L633" s="31">
        <v>3761721.1999986772</v>
      </c>
      <c r="M633" s="31">
        <v>1485101.5999950981</v>
      </c>
      <c r="N633" s="31">
        <v>1177508.2099992314</v>
      </c>
      <c r="O633" s="34">
        <f t="shared" si="84"/>
        <v>0.39479310694147673</v>
      </c>
      <c r="P633" s="34">
        <f t="shared" si="85"/>
        <v>0.79288057463753192</v>
      </c>
      <c r="Q633" s="34">
        <f t="shared" si="86"/>
        <v>0.60520689305852327</v>
      </c>
      <c r="R633" s="46">
        <f t="shared" si="87"/>
        <v>86.657948925465959</v>
      </c>
    </row>
    <row r="634" spans="2:18" ht="12.75" customHeight="1" x14ac:dyDescent="0.25">
      <c r="B634" s="17" t="s">
        <v>0</v>
      </c>
      <c r="C634" s="44" t="s">
        <v>16</v>
      </c>
      <c r="D634" s="22" t="s">
        <v>2</v>
      </c>
      <c r="E634" s="20">
        <v>1</v>
      </c>
      <c r="F634" s="17" t="s">
        <v>120</v>
      </c>
      <c r="G634" s="17" t="s">
        <v>207</v>
      </c>
      <c r="H634" s="17" t="s">
        <v>208</v>
      </c>
      <c r="I634" s="17" t="s">
        <v>209</v>
      </c>
      <c r="J634" s="27" t="s">
        <v>17</v>
      </c>
      <c r="K634" s="29">
        <v>14617</v>
      </c>
      <c r="L634" s="31">
        <v>3866899.0300004808</v>
      </c>
      <c r="M634" s="31">
        <v>1314914.3200069412</v>
      </c>
      <c r="N634" s="31">
        <v>1038251.6399972469</v>
      </c>
      <c r="O634" s="34">
        <f t="shared" si="84"/>
        <v>0.34004361370841835</v>
      </c>
      <c r="P634" s="34">
        <f t="shared" si="85"/>
        <v>0.78959642023806242</v>
      </c>
      <c r="Q634" s="34">
        <f t="shared" si="86"/>
        <v>0.6599563862915816</v>
      </c>
      <c r="R634" s="46">
        <f t="shared" si="87"/>
        <v>71.030419374512348</v>
      </c>
    </row>
    <row r="635" spans="2:18" ht="12.75" customHeight="1" x14ac:dyDescent="0.25">
      <c r="B635" s="17" t="s">
        <v>0</v>
      </c>
      <c r="C635" s="44" t="s">
        <v>7</v>
      </c>
      <c r="D635" s="22" t="s">
        <v>2</v>
      </c>
      <c r="E635" s="20">
        <v>1</v>
      </c>
      <c r="F635" s="17" t="s">
        <v>120</v>
      </c>
      <c r="G635" s="17" t="s">
        <v>207</v>
      </c>
      <c r="H635" s="17" t="s">
        <v>208</v>
      </c>
      <c r="I635" s="17" t="s">
        <v>209</v>
      </c>
      <c r="J635" s="27" t="s">
        <v>8</v>
      </c>
      <c r="K635" s="29">
        <v>14343</v>
      </c>
      <c r="L635" s="31">
        <v>3539296.7300017392</v>
      </c>
      <c r="M635" s="31">
        <v>1202052.4099994116</v>
      </c>
      <c r="N635" s="31">
        <v>951673.999999422</v>
      </c>
      <c r="O635" s="34">
        <f t="shared" si="84"/>
        <v>0.33963029994346389</v>
      </c>
      <c r="P635" s="34">
        <f t="shared" si="85"/>
        <v>0.79170757621116361</v>
      </c>
      <c r="Q635" s="34">
        <f t="shared" si="86"/>
        <v>0.66036970005653606</v>
      </c>
      <c r="R635" s="46">
        <f t="shared" si="87"/>
        <v>66.351112040676426</v>
      </c>
    </row>
    <row r="636" spans="2:18" ht="12.75" customHeight="1" x14ac:dyDescent="0.25">
      <c r="B636" s="17" t="s">
        <v>0</v>
      </c>
      <c r="C636" s="44" t="s">
        <v>159</v>
      </c>
      <c r="D636" s="22" t="s">
        <v>2</v>
      </c>
      <c r="E636" s="20">
        <v>1</v>
      </c>
      <c r="F636" s="17" t="s">
        <v>120</v>
      </c>
      <c r="G636" s="17" t="s">
        <v>207</v>
      </c>
      <c r="H636" s="17" t="s">
        <v>208</v>
      </c>
      <c r="I636" s="17" t="s">
        <v>209</v>
      </c>
      <c r="J636" s="27" t="s">
        <v>160</v>
      </c>
      <c r="K636" s="29">
        <v>9166</v>
      </c>
      <c r="L636" s="31">
        <v>2805326.0000048997</v>
      </c>
      <c r="M636" s="31">
        <v>1019101.8300010898</v>
      </c>
      <c r="N636" s="31">
        <v>808922.44999986992</v>
      </c>
      <c r="O636" s="34">
        <f t="shared" si="84"/>
        <v>0.36327394035463612</v>
      </c>
      <c r="P636" s="34">
        <f t="shared" si="85"/>
        <v>0.79376017801774024</v>
      </c>
      <c r="Q636" s="34">
        <f t="shared" si="86"/>
        <v>0.63672605964536388</v>
      </c>
      <c r="R636" s="46">
        <f t="shared" si="87"/>
        <v>88.252503818445334</v>
      </c>
    </row>
    <row r="637" spans="2:18" ht="12.75" customHeight="1" x14ac:dyDescent="0.25">
      <c r="B637" s="17" t="s">
        <v>0</v>
      </c>
      <c r="C637" s="44" t="s">
        <v>70</v>
      </c>
      <c r="D637" s="22" t="s">
        <v>2</v>
      </c>
      <c r="E637" s="20">
        <v>1</v>
      </c>
      <c r="F637" s="17" t="s">
        <v>120</v>
      </c>
      <c r="G637" s="17" t="s">
        <v>207</v>
      </c>
      <c r="H637" s="17" t="s">
        <v>208</v>
      </c>
      <c r="I637" s="17" t="s">
        <v>209</v>
      </c>
      <c r="J637" s="27" t="s">
        <v>71</v>
      </c>
      <c r="K637" s="29">
        <v>10327</v>
      </c>
      <c r="L637" s="31">
        <v>2677938.3999996595</v>
      </c>
      <c r="M637" s="31">
        <v>1018122.7200013777</v>
      </c>
      <c r="N637" s="31">
        <v>803272.53999995999</v>
      </c>
      <c r="O637" s="34">
        <f t="shared" si="84"/>
        <v>0.38018899912018411</v>
      </c>
      <c r="P637" s="34">
        <f t="shared" si="85"/>
        <v>0.78897418181461754</v>
      </c>
      <c r="Q637" s="34">
        <f t="shared" si="86"/>
        <v>0.61981100087981589</v>
      </c>
      <c r="R637" s="46">
        <f t="shared" si="87"/>
        <v>77.783726154736129</v>
      </c>
    </row>
    <row r="638" spans="2:18" ht="12.75" customHeight="1" x14ac:dyDescent="0.25">
      <c r="B638" s="17" t="s">
        <v>0</v>
      </c>
      <c r="C638" s="44" t="s">
        <v>137</v>
      </c>
      <c r="D638" s="22" t="s">
        <v>2</v>
      </c>
      <c r="E638" s="20">
        <v>1</v>
      </c>
      <c r="F638" s="17" t="s">
        <v>120</v>
      </c>
      <c r="G638" s="17" t="s">
        <v>207</v>
      </c>
      <c r="H638" s="17" t="s">
        <v>208</v>
      </c>
      <c r="I638" s="17" t="s">
        <v>209</v>
      </c>
      <c r="J638" s="27" t="s">
        <v>138</v>
      </c>
      <c r="K638" s="29">
        <v>8963</v>
      </c>
      <c r="L638" s="31">
        <v>2461709.5799990394</v>
      </c>
      <c r="M638" s="31">
        <v>916179.98999886867</v>
      </c>
      <c r="N638" s="31">
        <v>725938.58000195981</v>
      </c>
      <c r="O638" s="34">
        <f t="shared" ref="O638:O669" si="88">IFERROR(M638/L638,0)</f>
        <v>0.37217224868549531</v>
      </c>
      <c r="P638" s="34">
        <f t="shared" ref="P638:P669" si="89">IFERROR(N638/M638,0)</f>
        <v>0.79235367277870394</v>
      </c>
      <c r="Q638" s="34">
        <f t="shared" ref="Q638:Q669" si="90">IFERROR(1-(M638/L638),0)</f>
        <v>0.62782775131450475</v>
      </c>
      <c r="R638" s="46">
        <f t="shared" ref="R638:R669" si="91">IFERROR(N638/K638,0)</f>
        <v>80.992812674546443</v>
      </c>
    </row>
    <row r="639" spans="2:18" ht="12.75" customHeight="1" x14ac:dyDescent="0.25">
      <c r="B639" s="17" t="s">
        <v>0</v>
      </c>
      <c r="C639" s="44" t="s">
        <v>42</v>
      </c>
      <c r="D639" s="22" t="s">
        <v>2</v>
      </c>
      <c r="E639" s="20">
        <v>1</v>
      </c>
      <c r="F639" s="17" t="s">
        <v>120</v>
      </c>
      <c r="G639" s="17" t="s">
        <v>207</v>
      </c>
      <c r="H639" s="17" t="s">
        <v>208</v>
      </c>
      <c r="I639" s="17" t="s">
        <v>209</v>
      </c>
      <c r="J639" s="27" t="s">
        <v>43</v>
      </c>
      <c r="K639" s="29">
        <v>8417</v>
      </c>
      <c r="L639" s="31">
        <v>2469536.3299993239</v>
      </c>
      <c r="M639" s="31">
        <v>901702.98000071524</v>
      </c>
      <c r="N639" s="31">
        <v>705362.4500002861</v>
      </c>
      <c r="O639" s="34">
        <f t="shared" si="88"/>
        <v>0.36513047775286711</v>
      </c>
      <c r="P639" s="34">
        <f t="shared" si="89"/>
        <v>0.7822558709961529</v>
      </c>
      <c r="Q639" s="34">
        <f t="shared" si="90"/>
        <v>0.63486952224713289</v>
      </c>
      <c r="R639" s="46">
        <f t="shared" si="91"/>
        <v>83.802120708124761</v>
      </c>
    </row>
    <row r="640" spans="2:18" ht="12.75" customHeight="1" x14ac:dyDescent="0.25">
      <c r="B640" s="17" t="s">
        <v>0</v>
      </c>
      <c r="C640" s="44" t="s">
        <v>135</v>
      </c>
      <c r="D640" s="22" t="s">
        <v>2</v>
      </c>
      <c r="E640" s="20">
        <v>1</v>
      </c>
      <c r="F640" s="17" t="s">
        <v>120</v>
      </c>
      <c r="G640" s="17" t="s">
        <v>207</v>
      </c>
      <c r="H640" s="17" t="s">
        <v>208</v>
      </c>
      <c r="I640" s="17" t="s">
        <v>209</v>
      </c>
      <c r="J640" s="27" t="s">
        <v>136</v>
      </c>
      <c r="K640" s="29">
        <v>7907</v>
      </c>
      <c r="L640" s="31">
        <v>2527663.6100035682</v>
      </c>
      <c r="M640" s="31">
        <v>691390.78000111994</v>
      </c>
      <c r="N640" s="31">
        <v>546667.4999995972</v>
      </c>
      <c r="O640" s="34">
        <f t="shared" si="88"/>
        <v>0.27352958568729163</v>
      </c>
      <c r="P640" s="34">
        <f t="shared" si="89"/>
        <v>0.79067803015642135</v>
      </c>
      <c r="Q640" s="34">
        <f t="shared" si="90"/>
        <v>0.72647041431270831</v>
      </c>
      <c r="R640" s="46">
        <f t="shared" si="91"/>
        <v>69.137156949487448</v>
      </c>
    </row>
    <row r="641" spans="2:18" ht="12.75" customHeight="1" x14ac:dyDescent="0.25">
      <c r="B641" s="17" t="s">
        <v>0</v>
      </c>
      <c r="C641" s="44" t="s">
        <v>64</v>
      </c>
      <c r="D641" s="22" t="s">
        <v>2</v>
      </c>
      <c r="E641" s="20">
        <v>1</v>
      </c>
      <c r="F641" s="17" t="s">
        <v>120</v>
      </c>
      <c r="G641" s="17" t="s">
        <v>207</v>
      </c>
      <c r="H641" s="17" t="s">
        <v>208</v>
      </c>
      <c r="I641" s="17" t="s">
        <v>209</v>
      </c>
      <c r="J641" s="27" t="s">
        <v>65</v>
      </c>
      <c r="K641" s="29">
        <v>5144</v>
      </c>
      <c r="L641" s="31">
        <v>1302871.9499995373</v>
      </c>
      <c r="M641" s="31">
        <v>568309.99000038696</v>
      </c>
      <c r="N641" s="31">
        <v>450602.05000010802</v>
      </c>
      <c r="O641" s="34">
        <f t="shared" si="88"/>
        <v>0.43619788575584023</v>
      </c>
      <c r="P641" s="34">
        <f t="shared" si="89"/>
        <v>0.79288074805758946</v>
      </c>
      <c r="Q641" s="34">
        <f t="shared" si="90"/>
        <v>0.56380211424415982</v>
      </c>
      <c r="R641" s="46">
        <f t="shared" si="91"/>
        <v>87.597599144655518</v>
      </c>
    </row>
    <row r="642" spans="2:18" ht="12.75" customHeight="1" x14ac:dyDescent="0.25">
      <c r="B642" s="17" t="s">
        <v>0</v>
      </c>
      <c r="C642" s="44" t="s">
        <v>182</v>
      </c>
      <c r="D642" s="22" t="s">
        <v>2</v>
      </c>
      <c r="E642" s="20">
        <v>1</v>
      </c>
      <c r="F642" s="17" t="s">
        <v>120</v>
      </c>
      <c r="G642" s="17" t="s">
        <v>207</v>
      </c>
      <c r="H642" s="17" t="s">
        <v>208</v>
      </c>
      <c r="I642" s="17" t="s">
        <v>209</v>
      </c>
      <c r="J642" s="27" t="s">
        <v>183</v>
      </c>
      <c r="K642" s="29">
        <v>4919</v>
      </c>
      <c r="L642" s="31">
        <v>1450312.6300026805</v>
      </c>
      <c r="M642" s="31">
        <v>503382.23000031488</v>
      </c>
      <c r="N642" s="31">
        <v>397650.41999990115</v>
      </c>
      <c r="O642" s="34">
        <f t="shared" si="88"/>
        <v>0.34708532463058295</v>
      </c>
      <c r="P642" s="34">
        <f t="shared" si="89"/>
        <v>0.78995720607708464</v>
      </c>
      <c r="Q642" s="34">
        <f t="shared" si="90"/>
        <v>0.65291467536941705</v>
      </c>
      <c r="R642" s="46">
        <f t="shared" si="91"/>
        <v>80.839686928217347</v>
      </c>
    </row>
    <row r="643" spans="2:18" ht="12.75" customHeight="1" x14ac:dyDescent="0.25">
      <c r="B643" s="17" t="s">
        <v>0</v>
      </c>
      <c r="C643" s="44" t="s">
        <v>178</v>
      </c>
      <c r="D643" s="22" t="s">
        <v>2</v>
      </c>
      <c r="E643" s="20">
        <v>1</v>
      </c>
      <c r="F643" s="17" t="s">
        <v>120</v>
      </c>
      <c r="G643" s="17" t="s">
        <v>207</v>
      </c>
      <c r="H643" s="17" t="s">
        <v>208</v>
      </c>
      <c r="I643" s="17" t="s">
        <v>209</v>
      </c>
      <c r="J643" s="27" t="s">
        <v>179</v>
      </c>
      <c r="K643" s="29">
        <v>4192</v>
      </c>
      <c r="L643" s="31">
        <v>1293080.0000031602</v>
      </c>
      <c r="M643" s="31">
        <v>483320.73999928997</v>
      </c>
      <c r="N643" s="31">
        <v>382732.02999978</v>
      </c>
      <c r="O643" s="34">
        <f t="shared" si="88"/>
        <v>0.3737748167152139</v>
      </c>
      <c r="P643" s="34">
        <f t="shared" si="89"/>
        <v>0.79188000498456212</v>
      </c>
      <c r="Q643" s="34">
        <f t="shared" si="90"/>
        <v>0.62622518328478605</v>
      </c>
      <c r="R643" s="46">
        <f t="shared" si="91"/>
        <v>91.300579675520041</v>
      </c>
    </row>
    <row r="644" spans="2:18" ht="12.75" customHeight="1" x14ac:dyDescent="0.25">
      <c r="B644" s="17" t="s">
        <v>0</v>
      </c>
      <c r="C644" s="44" t="s">
        <v>46</v>
      </c>
      <c r="D644" s="22" t="s">
        <v>9</v>
      </c>
      <c r="E644" s="20">
        <v>2</v>
      </c>
      <c r="F644" s="17" t="s">
        <v>120</v>
      </c>
      <c r="G644" s="17" t="s">
        <v>207</v>
      </c>
      <c r="H644" s="17" t="s">
        <v>208</v>
      </c>
      <c r="I644" s="17" t="s">
        <v>209</v>
      </c>
      <c r="J644" s="27" t="s">
        <v>47</v>
      </c>
      <c r="K644" s="29">
        <v>4585</v>
      </c>
      <c r="L644" s="31">
        <v>1049031.45000162</v>
      </c>
      <c r="M644" s="31">
        <v>368751.11000017502</v>
      </c>
      <c r="N644" s="31">
        <v>289510.68999984709</v>
      </c>
      <c r="O644" s="34">
        <f t="shared" si="88"/>
        <v>0.35151578153315188</v>
      </c>
      <c r="P644" s="34">
        <f t="shared" si="89"/>
        <v>0.78511137227413275</v>
      </c>
      <c r="Q644" s="34">
        <f t="shared" si="90"/>
        <v>0.64848421846684812</v>
      </c>
      <c r="R644" s="46">
        <f t="shared" si="91"/>
        <v>63.14300763355444</v>
      </c>
    </row>
    <row r="645" spans="2:18" ht="12.75" customHeight="1" x14ac:dyDescent="0.25">
      <c r="B645" s="17" t="s">
        <v>0</v>
      </c>
      <c r="C645" s="44" t="s">
        <v>127</v>
      </c>
      <c r="D645" s="22" t="s">
        <v>9</v>
      </c>
      <c r="E645" s="20">
        <v>2</v>
      </c>
      <c r="F645" s="17" t="s">
        <v>120</v>
      </c>
      <c r="G645" s="17" t="s">
        <v>207</v>
      </c>
      <c r="H645" s="17" t="s">
        <v>208</v>
      </c>
      <c r="I645" s="17" t="s">
        <v>209</v>
      </c>
      <c r="J645" s="27" t="s">
        <v>128</v>
      </c>
      <c r="K645" s="29">
        <v>4393</v>
      </c>
      <c r="L645" s="31">
        <v>945692.43999741611</v>
      </c>
      <c r="M645" s="31">
        <v>350633.28999842593</v>
      </c>
      <c r="N645" s="31">
        <v>277062.01999960601</v>
      </c>
      <c r="O645" s="34">
        <f t="shared" si="88"/>
        <v>0.37076884108260816</v>
      </c>
      <c r="P645" s="34">
        <f t="shared" si="89"/>
        <v>0.79017602692787614</v>
      </c>
      <c r="Q645" s="34">
        <f t="shared" si="90"/>
        <v>0.62923115891739179</v>
      </c>
      <c r="R645" s="46">
        <f t="shared" si="91"/>
        <v>63.068977919327573</v>
      </c>
    </row>
    <row r="646" spans="2:18" ht="12.75" customHeight="1" x14ac:dyDescent="0.25">
      <c r="B646" s="17" t="s">
        <v>0</v>
      </c>
      <c r="C646" s="44" t="s">
        <v>94</v>
      </c>
      <c r="D646" s="22" t="s">
        <v>2</v>
      </c>
      <c r="E646" s="20">
        <v>1</v>
      </c>
      <c r="F646" s="17" t="s">
        <v>120</v>
      </c>
      <c r="G646" s="17" t="s">
        <v>207</v>
      </c>
      <c r="H646" s="17" t="s">
        <v>208</v>
      </c>
      <c r="I646" s="17" t="s">
        <v>209</v>
      </c>
      <c r="J646" s="27" t="s">
        <v>95</v>
      </c>
      <c r="K646" s="29">
        <v>3025</v>
      </c>
      <c r="L646" s="31">
        <v>1656311.0000101898</v>
      </c>
      <c r="M646" s="31">
        <v>334519.97000060504</v>
      </c>
      <c r="N646" s="31">
        <v>265136.63000042399</v>
      </c>
      <c r="O646" s="34">
        <f t="shared" si="88"/>
        <v>0.20196688303014773</v>
      </c>
      <c r="P646" s="34">
        <f t="shared" si="89"/>
        <v>0.79258834681811208</v>
      </c>
      <c r="Q646" s="34">
        <f t="shared" si="90"/>
        <v>0.79803311696985224</v>
      </c>
      <c r="R646" s="46">
        <f t="shared" si="91"/>
        <v>87.648472727412894</v>
      </c>
    </row>
    <row r="647" spans="2:18" ht="12.75" customHeight="1" x14ac:dyDescent="0.25">
      <c r="B647" s="17" t="s">
        <v>0</v>
      </c>
      <c r="C647" s="44" t="s">
        <v>30</v>
      </c>
      <c r="D647" s="22" t="s">
        <v>9</v>
      </c>
      <c r="E647" s="20">
        <v>2</v>
      </c>
      <c r="F647" s="17" t="s">
        <v>120</v>
      </c>
      <c r="G647" s="17" t="s">
        <v>207</v>
      </c>
      <c r="H647" s="17" t="s">
        <v>208</v>
      </c>
      <c r="I647" s="17" t="s">
        <v>209</v>
      </c>
      <c r="J647" s="27" t="s">
        <v>31</v>
      </c>
      <c r="K647" s="29">
        <v>3150</v>
      </c>
      <c r="L647" s="31">
        <v>1208440.2099989539</v>
      </c>
      <c r="M647" s="31">
        <v>331993.22000135703</v>
      </c>
      <c r="N647" s="31">
        <v>259774.27000075197</v>
      </c>
      <c r="O647" s="34">
        <f t="shared" si="88"/>
        <v>0.27472870999686816</v>
      </c>
      <c r="P647" s="34">
        <f t="shared" si="89"/>
        <v>0.78246859980962913</v>
      </c>
      <c r="Q647" s="34">
        <f t="shared" si="90"/>
        <v>0.72527129000313184</v>
      </c>
      <c r="R647" s="46">
        <f t="shared" si="91"/>
        <v>82.468022222460945</v>
      </c>
    </row>
    <row r="648" spans="2:18" ht="12.75" customHeight="1" x14ac:dyDescent="0.25">
      <c r="B648" s="17" t="s">
        <v>0</v>
      </c>
      <c r="C648" s="44" t="s">
        <v>110</v>
      </c>
      <c r="D648" s="22" t="s">
        <v>2</v>
      </c>
      <c r="E648" s="20">
        <v>1</v>
      </c>
      <c r="F648" s="17" t="s">
        <v>120</v>
      </c>
      <c r="G648" s="17" t="s">
        <v>207</v>
      </c>
      <c r="H648" s="17" t="s">
        <v>208</v>
      </c>
      <c r="I648" s="17" t="s">
        <v>209</v>
      </c>
      <c r="J648" s="27" t="s">
        <v>111</v>
      </c>
      <c r="K648" s="29">
        <v>2175</v>
      </c>
      <c r="L648" s="31">
        <v>565709.99999964004</v>
      </c>
      <c r="M648" s="31">
        <v>195662.96000149101</v>
      </c>
      <c r="N648" s="31">
        <v>155124.76999988101</v>
      </c>
      <c r="O648" s="34">
        <f t="shared" si="88"/>
        <v>0.34587148892827685</v>
      </c>
      <c r="P648" s="34">
        <f t="shared" si="89"/>
        <v>0.79281622847113686</v>
      </c>
      <c r="Q648" s="34">
        <f t="shared" si="90"/>
        <v>0.65412851107172321</v>
      </c>
      <c r="R648" s="46">
        <f t="shared" si="91"/>
        <v>71.32173333327863</v>
      </c>
    </row>
    <row r="649" spans="2:18" ht="12.75" customHeight="1" x14ac:dyDescent="0.25">
      <c r="B649" s="17" t="s">
        <v>0</v>
      </c>
      <c r="C649" s="44" t="s">
        <v>96</v>
      </c>
      <c r="D649" s="22" t="s">
        <v>2</v>
      </c>
      <c r="E649" s="20">
        <v>1</v>
      </c>
      <c r="F649" s="17" t="s">
        <v>120</v>
      </c>
      <c r="G649" s="17" t="s">
        <v>207</v>
      </c>
      <c r="H649" s="17" t="s">
        <v>208</v>
      </c>
      <c r="I649" s="17" t="s">
        <v>209</v>
      </c>
      <c r="J649" s="27" t="s">
        <v>97</v>
      </c>
      <c r="K649" s="29">
        <v>1597</v>
      </c>
      <c r="L649" s="31">
        <v>552228.99999995995</v>
      </c>
      <c r="M649" s="31">
        <v>183565.56000062998</v>
      </c>
      <c r="N649" s="31">
        <v>144152.44000014104</v>
      </c>
      <c r="O649" s="34">
        <f t="shared" si="88"/>
        <v>0.33240840303686203</v>
      </c>
      <c r="P649" s="34">
        <f t="shared" si="89"/>
        <v>0.78529131499201876</v>
      </c>
      <c r="Q649" s="34">
        <f t="shared" si="90"/>
        <v>0.66759159696313797</v>
      </c>
      <c r="R649" s="46">
        <f t="shared" si="91"/>
        <v>90.264520976919869</v>
      </c>
    </row>
    <row r="650" spans="2:18" ht="12.75" customHeight="1" x14ac:dyDescent="0.25">
      <c r="B650" s="17" t="s">
        <v>0</v>
      </c>
      <c r="C650" s="44" t="s">
        <v>18</v>
      </c>
      <c r="D650" s="22" t="s">
        <v>2</v>
      </c>
      <c r="E650" s="20">
        <v>1</v>
      </c>
      <c r="F650" s="17" t="s">
        <v>120</v>
      </c>
      <c r="G650" s="17" t="s">
        <v>207</v>
      </c>
      <c r="H650" s="17" t="s">
        <v>208</v>
      </c>
      <c r="I650" s="17" t="s">
        <v>209</v>
      </c>
      <c r="J650" s="27" t="s">
        <v>19</v>
      </c>
      <c r="K650" s="29">
        <v>1423</v>
      </c>
      <c r="L650" s="31">
        <v>398029.90000133001</v>
      </c>
      <c r="M650" s="31">
        <v>145484.66000052003</v>
      </c>
      <c r="N650" s="31">
        <v>114760.709999443</v>
      </c>
      <c r="O650" s="34">
        <f t="shared" si="88"/>
        <v>0.3655118874236179</v>
      </c>
      <c r="P650" s="34">
        <f t="shared" si="89"/>
        <v>0.78881656663343613</v>
      </c>
      <c r="Q650" s="34">
        <f t="shared" si="90"/>
        <v>0.63448811257638216</v>
      </c>
      <c r="R650" s="46">
        <f t="shared" si="91"/>
        <v>80.647020379088545</v>
      </c>
    </row>
    <row r="651" spans="2:18" ht="12.75" customHeight="1" x14ac:dyDescent="0.25">
      <c r="B651" s="17" t="s">
        <v>0</v>
      </c>
      <c r="C651" s="44" t="s">
        <v>62</v>
      </c>
      <c r="D651" s="22" t="s">
        <v>9</v>
      </c>
      <c r="E651" s="20">
        <v>2</v>
      </c>
      <c r="F651" s="17" t="s">
        <v>120</v>
      </c>
      <c r="G651" s="17" t="s">
        <v>207</v>
      </c>
      <c r="H651" s="17" t="s">
        <v>208</v>
      </c>
      <c r="I651" s="17" t="s">
        <v>209</v>
      </c>
      <c r="J651" s="27" t="s">
        <v>63</v>
      </c>
      <c r="K651" s="29">
        <v>1099</v>
      </c>
      <c r="L651" s="31">
        <v>391901.05000339006</v>
      </c>
      <c r="M651" s="31">
        <v>138906.25999995501</v>
      </c>
      <c r="N651" s="31">
        <v>109646.52000100596</v>
      </c>
      <c r="O651" s="34">
        <f t="shared" si="88"/>
        <v>0.35444217360161051</v>
      </c>
      <c r="P651" s="34">
        <f t="shared" si="89"/>
        <v>0.7893562176466451</v>
      </c>
      <c r="Q651" s="34">
        <f t="shared" si="90"/>
        <v>0.64555782639838943</v>
      </c>
      <c r="R651" s="46">
        <f t="shared" si="91"/>
        <v>99.769353959059117</v>
      </c>
    </row>
    <row r="652" spans="2:18" ht="12.75" customHeight="1" x14ac:dyDescent="0.25">
      <c r="B652" s="17" t="s">
        <v>0</v>
      </c>
      <c r="C652" s="44" t="s">
        <v>24</v>
      </c>
      <c r="D652" s="22" t="s">
        <v>9</v>
      </c>
      <c r="E652" s="20">
        <v>2</v>
      </c>
      <c r="F652" s="17" t="s">
        <v>120</v>
      </c>
      <c r="G652" s="17" t="s">
        <v>207</v>
      </c>
      <c r="H652" s="17" t="s">
        <v>208</v>
      </c>
      <c r="I652" s="17" t="s">
        <v>209</v>
      </c>
      <c r="J652" s="27" t="s">
        <v>25</v>
      </c>
      <c r="K652" s="29">
        <v>1345</v>
      </c>
      <c r="L652" s="31">
        <v>407072.81000143004</v>
      </c>
      <c r="M652" s="31">
        <v>121833.62999925301</v>
      </c>
      <c r="N652" s="31">
        <v>95596.869999681017</v>
      </c>
      <c r="O652" s="34">
        <f t="shared" si="88"/>
        <v>0.29929198660756784</v>
      </c>
      <c r="P652" s="34">
        <f t="shared" si="89"/>
        <v>0.78465092109844503</v>
      </c>
      <c r="Q652" s="34">
        <f t="shared" si="90"/>
        <v>0.70070801339243216</v>
      </c>
      <c r="R652" s="46">
        <f t="shared" si="91"/>
        <v>71.075739776714514</v>
      </c>
    </row>
    <row r="653" spans="2:18" ht="12.75" customHeight="1" x14ac:dyDescent="0.25">
      <c r="B653" s="17" t="s">
        <v>0</v>
      </c>
      <c r="C653" s="44" t="s">
        <v>92</v>
      </c>
      <c r="D653" s="22" t="s">
        <v>2</v>
      </c>
      <c r="E653" s="20">
        <v>1</v>
      </c>
      <c r="F653" s="17" t="s">
        <v>120</v>
      </c>
      <c r="G653" s="17" t="s">
        <v>207</v>
      </c>
      <c r="H653" s="17" t="s">
        <v>208</v>
      </c>
      <c r="I653" s="17" t="s">
        <v>209</v>
      </c>
      <c r="J653" s="27" t="s">
        <v>93</v>
      </c>
      <c r="K653" s="29">
        <v>870</v>
      </c>
      <c r="L653" s="31">
        <v>477906.99999966001</v>
      </c>
      <c r="M653" s="31">
        <v>121232.54000087999</v>
      </c>
      <c r="N653" s="31">
        <v>94882.479999183008</v>
      </c>
      <c r="O653" s="34">
        <f t="shared" si="88"/>
        <v>0.25367391563832764</v>
      </c>
      <c r="P653" s="34">
        <f t="shared" si="89"/>
        <v>0.78264861891447857</v>
      </c>
      <c r="Q653" s="34">
        <f t="shared" si="90"/>
        <v>0.74632608436167236</v>
      </c>
      <c r="R653" s="46">
        <f t="shared" si="91"/>
        <v>109.06032183814139</v>
      </c>
    </row>
    <row r="654" spans="2:18" ht="12.75" customHeight="1" x14ac:dyDescent="0.25">
      <c r="B654" s="17" t="s">
        <v>0</v>
      </c>
      <c r="C654" s="44" t="s">
        <v>170</v>
      </c>
      <c r="D654" s="22" t="s">
        <v>2</v>
      </c>
      <c r="E654" s="20">
        <v>1</v>
      </c>
      <c r="F654" s="17" t="s">
        <v>120</v>
      </c>
      <c r="G654" s="17" t="s">
        <v>207</v>
      </c>
      <c r="H654" s="17" t="s">
        <v>208</v>
      </c>
      <c r="I654" s="17" t="s">
        <v>209</v>
      </c>
      <c r="J654" s="27" t="s">
        <v>171</v>
      </c>
      <c r="K654" s="29">
        <v>1128</v>
      </c>
      <c r="L654" s="31">
        <v>295075.90000001999</v>
      </c>
      <c r="M654" s="31">
        <v>114404.32999948198</v>
      </c>
      <c r="N654" s="31">
        <v>88886.589999513017</v>
      </c>
      <c r="O654" s="34">
        <f t="shared" si="88"/>
        <v>0.3877115345559371</v>
      </c>
      <c r="P654" s="34">
        <f t="shared" si="89"/>
        <v>0.77695127448336521</v>
      </c>
      <c r="Q654" s="34">
        <f t="shared" si="90"/>
        <v>0.6122884654440629</v>
      </c>
      <c r="R654" s="46">
        <f t="shared" si="91"/>
        <v>78.80016843928459</v>
      </c>
    </row>
    <row r="655" spans="2:18" ht="12.75" customHeight="1" x14ac:dyDescent="0.25">
      <c r="B655" s="17" t="s">
        <v>0</v>
      </c>
      <c r="C655" s="44" t="s">
        <v>176</v>
      </c>
      <c r="D655" s="22" t="s">
        <v>2</v>
      </c>
      <c r="E655" s="20">
        <v>1</v>
      </c>
      <c r="F655" s="17" t="s">
        <v>120</v>
      </c>
      <c r="G655" s="17" t="s">
        <v>207</v>
      </c>
      <c r="H655" s="17" t="s">
        <v>208</v>
      </c>
      <c r="I655" s="17" t="s">
        <v>209</v>
      </c>
      <c r="J655" s="27" t="s">
        <v>177</v>
      </c>
      <c r="K655" s="29">
        <v>1070</v>
      </c>
      <c r="L655" s="31">
        <v>352426.54000025004</v>
      </c>
      <c r="M655" s="31">
        <v>113038.49000053598</v>
      </c>
      <c r="N655" s="31">
        <v>88440.609999738983</v>
      </c>
      <c r="O655" s="34">
        <f t="shared" si="88"/>
        <v>0.32074340939378682</v>
      </c>
      <c r="P655" s="34">
        <f t="shared" si="89"/>
        <v>0.78239376693124296</v>
      </c>
      <c r="Q655" s="34">
        <f t="shared" si="90"/>
        <v>0.67925659060621313</v>
      </c>
      <c r="R655" s="46">
        <f t="shared" si="91"/>
        <v>82.654775700690635</v>
      </c>
    </row>
    <row r="656" spans="2:18" ht="12.75" customHeight="1" x14ac:dyDescent="0.25">
      <c r="B656" s="17" t="s">
        <v>0</v>
      </c>
      <c r="C656" s="44" t="s">
        <v>151</v>
      </c>
      <c r="D656" s="22" t="s">
        <v>9</v>
      </c>
      <c r="E656" s="20">
        <v>2</v>
      </c>
      <c r="F656" s="17" t="s">
        <v>120</v>
      </c>
      <c r="G656" s="17" t="s">
        <v>207</v>
      </c>
      <c r="H656" s="17" t="s">
        <v>208</v>
      </c>
      <c r="I656" s="17" t="s">
        <v>209</v>
      </c>
      <c r="J656" s="27" t="s">
        <v>152</v>
      </c>
      <c r="K656" s="29">
        <v>955</v>
      </c>
      <c r="L656" s="31">
        <v>245531.91000032</v>
      </c>
      <c r="M656" s="31">
        <v>91872.019999877986</v>
      </c>
      <c r="N656" s="31">
        <v>73135.839999841992</v>
      </c>
      <c r="O656" s="34">
        <f t="shared" si="88"/>
        <v>0.37417547886039842</v>
      </c>
      <c r="P656" s="34">
        <f t="shared" si="89"/>
        <v>0.79606217431530424</v>
      </c>
      <c r="Q656" s="34">
        <f t="shared" si="90"/>
        <v>0.62582452113960163</v>
      </c>
      <c r="R656" s="46">
        <f t="shared" si="91"/>
        <v>76.582031413447112</v>
      </c>
    </row>
    <row r="657" spans="2:18" ht="12.75" customHeight="1" x14ac:dyDescent="0.25">
      <c r="B657" s="17" t="s">
        <v>0</v>
      </c>
      <c r="C657" s="44" t="s">
        <v>139</v>
      </c>
      <c r="D657" s="22" t="s">
        <v>2</v>
      </c>
      <c r="E657" s="20">
        <v>1</v>
      </c>
      <c r="F657" s="17" t="s">
        <v>120</v>
      </c>
      <c r="G657" s="17" t="s">
        <v>207</v>
      </c>
      <c r="H657" s="17" t="s">
        <v>208</v>
      </c>
      <c r="I657" s="17" t="s">
        <v>209</v>
      </c>
      <c r="J657" s="27" t="s">
        <v>140</v>
      </c>
      <c r="K657" s="29">
        <v>804</v>
      </c>
      <c r="L657" s="31">
        <v>151508.69999984</v>
      </c>
      <c r="M657" s="31">
        <v>79903.410000781994</v>
      </c>
      <c r="N657" s="31">
        <v>62695.539999738008</v>
      </c>
      <c r="O657" s="34">
        <f t="shared" si="88"/>
        <v>0.52738496205740248</v>
      </c>
      <c r="P657" s="34">
        <f t="shared" si="89"/>
        <v>0.78464160664888294</v>
      </c>
      <c r="Q657" s="34">
        <f t="shared" si="90"/>
        <v>0.47261503794259752</v>
      </c>
      <c r="R657" s="46">
        <f t="shared" si="91"/>
        <v>77.979527362858221</v>
      </c>
    </row>
    <row r="658" spans="2:18" ht="12.75" customHeight="1" x14ac:dyDescent="0.25">
      <c r="B658" s="17" t="s">
        <v>0</v>
      </c>
      <c r="C658" s="44" t="s">
        <v>180</v>
      </c>
      <c r="D658" s="22" t="s">
        <v>2</v>
      </c>
      <c r="E658" s="20">
        <v>1</v>
      </c>
      <c r="F658" s="17" t="s">
        <v>120</v>
      </c>
      <c r="G658" s="17" t="s">
        <v>207</v>
      </c>
      <c r="H658" s="17" t="s">
        <v>208</v>
      </c>
      <c r="I658" s="17" t="s">
        <v>209</v>
      </c>
      <c r="J658" s="27" t="s">
        <v>181</v>
      </c>
      <c r="K658" s="29">
        <v>696</v>
      </c>
      <c r="L658" s="31">
        <v>155766.99999982002</v>
      </c>
      <c r="M658" s="31">
        <v>75812.289999414992</v>
      </c>
      <c r="N658" s="31">
        <v>60401.649999897003</v>
      </c>
      <c r="O658" s="34">
        <f t="shared" si="88"/>
        <v>0.48670315278269843</v>
      </c>
      <c r="P658" s="34">
        <f t="shared" si="89"/>
        <v>0.7967263619178776</v>
      </c>
      <c r="Q658" s="34">
        <f t="shared" si="90"/>
        <v>0.51329684721730162</v>
      </c>
      <c r="R658" s="46">
        <f t="shared" si="91"/>
        <v>86.783979884909485</v>
      </c>
    </row>
    <row r="659" spans="2:18" ht="12.75" customHeight="1" x14ac:dyDescent="0.25">
      <c r="B659" s="17" t="s">
        <v>0</v>
      </c>
      <c r="C659" s="44" t="s">
        <v>172</v>
      </c>
      <c r="D659" s="22" t="s">
        <v>2</v>
      </c>
      <c r="E659" s="20">
        <v>1</v>
      </c>
      <c r="F659" s="17" t="s">
        <v>120</v>
      </c>
      <c r="G659" s="17" t="s">
        <v>207</v>
      </c>
      <c r="H659" s="17" t="s">
        <v>208</v>
      </c>
      <c r="I659" s="17" t="s">
        <v>209</v>
      </c>
      <c r="J659" s="27" t="s">
        <v>173</v>
      </c>
      <c r="K659" s="29">
        <v>782</v>
      </c>
      <c r="L659" s="31">
        <v>218041.94000038001</v>
      </c>
      <c r="M659" s="31">
        <v>75704.499999854001</v>
      </c>
      <c r="N659" s="31">
        <v>59847.800000086994</v>
      </c>
      <c r="O659" s="34">
        <f t="shared" si="88"/>
        <v>0.34720155214048298</v>
      </c>
      <c r="P659" s="34">
        <f t="shared" si="89"/>
        <v>0.79054481570055168</v>
      </c>
      <c r="Q659" s="34">
        <f t="shared" si="90"/>
        <v>0.65279844785951702</v>
      </c>
      <c r="R659" s="46">
        <f t="shared" si="91"/>
        <v>76.531713555098463</v>
      </c>
    </row>
    <row r="660" spans="2:18" ht="12.75" customHeight="1" x14ac:dyDescent="0.25">
      <c r="B660" s="17" t="s">
        <v>0</v>
      </c>
      <c r="C660" s="44" t="s">
        <v>147</v>
      </c>
      <c r="D660" s="22" t="s">
        <v>2</v>
      </c>
      <c r="E660" s="20">
        <v>1</v>
      </c>
      <c r="F660" s="17" t="s">
        <v>120</v>
      </c>
      <c r="G660" s="17" t="s">
        <v>207</v>
      </c>
      <c r="H660" s="17" t="s">
        <v>208</v>
      </c>
      <c r="I660" s="17" t="s">
        <v>209</v>
      </c>
      <c r="J660" s="27" t="s">
        <v>148</v>
      </c>
      <c r="K660" s="29">
        <v>742</v>
      </c>
      <c r="L660" s="31">
        <v>172379.40999886999</v>
      </c>
      <c r="M660" s="31">
        <v>73871.050001031996</v>
      </c>
      <c r="N660" s="31">
        <v>58946.929999630003</v>
      </c>
      <c r="O660" s="34">
        <f t="shared" si="88"/>
        <v>0.42853754982405523</v>
      </c>
      <c r="P660" s="34">
        <f t="shared" si="89"/>
        <v>0.79797065289861857</v>
      </c>
      <c r="Q660" s="34">
        <f t="shared" si="90"/>
        <v>0.57146245017594477</v>
      </c>
      <c r="R660" s="46">
        <f t="shared" si="91"/>
        <v>79.44330188629381</v>
      </c>
    </row>
    <row r="661" spans="2:18" ht="12.75" customHeight="1" x14ac:dyDescent="0.25">
      <c r="B661" s="17" t="s">
        <v>0</v>
      </c>
      <c r="C661" s="44" t="s">
        <v>50</v>
      </c>
      <c r="D661" s="22" t="s">
        <v>9</v>
      </c>
      <c r="E661" s="20">
        <v>2</v>
      </c>
      <c r="F661" s="17" t="s">
        <v>120</v>
      </c>
      <c r="G661" s="17" t="s">
        <v>207</v>
      </c>
      <c r="H661" s="17" t="s">
        <v>208</v>
      </c>
      <c r="I661" s="17" t="s">
        <v>209</v>
      </c>
      <c r="J661" s="27" t="s">
        <v>51</v>
      </c>
      <c r="K661" s="29">
        <v>1528</v>
      </c>
      <c r="L661" s="31">
        <v>203288.06</v>
      </c>
      <c r="M661" s="31">
        <v>73428.800000214003</v>
      </c>
      <c r="N661" s="31">
        <v>56586.969999997011</v>
      </c>
      <c r="O661" s="34">
        <f t="shared" si="88"/>
        <v>0.36120567041770185</v>
      </c>
      <c r="P661" s="34">
        <f t="shared" si="89"/>
        <v>0.77063727038753316</v>
      </c>
      <c r="Q661" s="34">
        <f t="shared" si="90"/>
        <v>0.6387943295822982</v>
      </c>
      <c r="R661" s="46">
        <f t="shared" si="91"/>
        <v>37.033357329840975</v>
      </c>
    </row>
    <row r="662" spans="2:18" ht="12.75" customHeight="1" x14ac:dyDescent="0.25">
      <c r="B662" s="17" t="s">
        <v>0</v>
      </c>
      <c r="C662" s="44" t="s">
        <v>76</v>
      </c>
      <c r="D662" s="22" t="s">
        <v>2</v>
      </c>
      <c r="E662" s="20">
        <v>1</v>
      </c>
      <c r="F662" s="17" t="s">
        <v>120</v>
      </c>
      <c r="G662" s="17" t="s">
        <v>207</v>
      </c>
      <c r="H662" s="17" t="s">
        <v>208</v>
      </c>
      <c r="I662" s="17" t="s">
        <v>209</v>
      </c>
      <c r="J662" s="27" t="s">
        <v>77</v>
      </c>
      <c r="K662" s="29">
        <v>728</v>
      </c>
      <c r="L662" s="31">
        <v>210064.72000045999</v>
      </c>
      <c r="M662" s="31">
        <v>70682.179999697997</v>
      </c>
      <c r="N662" s="31">
        <v>55946.419999654012</v>
      </c>
      <c r="O662" s="34">
        <f t="shared" si="88"/>
        <v>0.33647811017263263</v>
      </c>
      <c r="P662" s="34">
        <f t="shared" si="89"/>
        <v>0.79152086140938283</v>
      </c>
      <c r="Q662" s="34">
        <f t="shared" si="90"/>
        <v>0.66352188982736737</v>
      </c>
      <c r="R662" s="46">
        <f t="shared" si="91"/>
        <v>76.849478021502762</v>
      </c>
    </row>
    <row r="663" spans="2:18" ht="12.75" customHeight="1" x14ac:dyDescent="0.25">
      <c r="B663" s="17" t="s">
        <v>0</v>
      </c>
      <c r="C663" s="44" t="s">
        <v>74</v>
      </c>
      <c r="D663" s="22" t="s">
        <v>2</v>
      </c>
      <c r="E663" s="20">
        <v>1</v>
      </c>
      <c r="F663" s="17" t="s">
        <v>120</v>
      </c>
      <c r="G663" s="17" t="s">
        <v>207</v>
      </c>
      <c r="H663" s="17" t="s">
        <v>208</v>
      </c>
      <c r="I663" s="17" t="s">
        <v>209</v>
      </c>
      <c r="J663" s="27" t="s">
        <v>75</v>
      </c>
      <c r="K663" s="29">
        <v>658</v>
      </c>
      <c r="L663" s="31">
        <v>183004.59000001001</v>
      </c>
      <c r="M663" s="31">
        <v>66257.189999961003</v>
      </c>
      <c r="N663" s="31">
        <v>52012.930000004992</v>
      </c>
      <c r="O663" s="34">
        <f t="shared" si="88"/>
        <v>0.36205206656268774</v>
      </c>
      <c r="P663" s="34">
        <f t="shared" si="89"/>
        <v>0.78501563377552841</v>
      </c>
      <c r="Q663" s="34">
        <f t="shared" si="90"/>
        <v>0.63794793343731226</v>
      </c>
      <c r="R663" s="46">
        <f t="shared" si="91"/>
        <v>79.047006079034944</v>
      </c>
    </row>
    <row r="664" spans="2:18" ht="12.75" customHeight="1" x14ac:dyDescent="0.25">
      <c r="B664" s="17" t="s">
        <v>0</v>
      </c>
      <c r="C664" s="44" t="s">
        <v>149</v>
      </c>
      <c r="D664" s="22" t="s">
        <v>2</v>
      </c>
      <c r="E664" s="20">
        <v>1</v>
      </c>
      <c r="F664" s="17" t="s">
        <v>120</v>
      </c>
      <c r="G664" s="17" t="s">
        <v>207</v>
      </c>
      <c r="H664" s="17" t="s">
        <v>208</v>
      </c>
      <c r="I664" s="17" t="s">
        <v>209</v>
      </c>
      <c r="J664" s="27" t="s">
        <v>150</v>
      </c>
      <c r="K664" s="29">
        <v>624</v>
      </c>
      <c r="L664" s="31">
        <v>233068.00000080001</v>
      </c>
      <c r="M664" s="31">
        <v>60136.309999519995</v>
      </c>
      <c r="N664" s="31">
        <v>46588.210000015999</v>
      </c>
      <c r="O664" s="34">
        <f t="shared" si="88"/>
        <v>0.25802044896473808</v>
      </c>
      <c r="P664" s="34">
        <f t="shared" si="89"/>
        <v>0.77471015432087309</v>
      </c>
      <c r="Q664" s="34">
        <f t="shared" si="90"/>
        <v>0.74197955103526192</v>
      </c>
      <c r="R664" s="46">
        <f t="shared" si="91"/>
        <v>74.660592948743584</v>
      </c>
    </row>
    <row r="665" spans="2:18" ht="12.75" customHeight="1" x14ac:dyDescent="0.25">
      <c r="B665" s="17" t="s">
        <v>0</v>
      </c>
      <c r="C665" s="44" t="s">
        <v>184</v>
      </c>
      <c r="D665" s="22" t="s">
        <v>2</v>
      </c>
      <c r="E665" s="20">
        <v>1</v>
      </c>
      <c r="F665" s="17" t="s">
        <v>120</v>
      </c>
      <c r="G665" s="17" t="s">
        <v>207</v>
      </c>
      <c r="H665" s="17" t="s">
        <v>208</v>
      </c>
      <c r="I665" s="17" t="s">
        <v>209</v>
      </c>
      <c r="J665" s="27" t="s">
        <v>185</v>
      </c>
      <c r="K665" s="29">
        <v>460</v>
      </c>
      <c r="L665" s="31">
        <v>110942</v>
      </c>
      <c r="M665" s="31">
        <v>53762.109999102002</v>
      </c>
      <c r="N665" s="31">
        <v>42980.999999633998</v>
      </c>
      <c r="O665" s="34">
        <f t="shared" si="88"/>
        <v>0.48459654593483081</v>
      </c>
      <c r="P665" s="34">
        <f t="shared" si="89"/>
        <v>0.7994663899975637</v>
      </c>
      <c r="Q665" s="34">
        <f t="shared" si="90"/>
        <v>0.51540345406516919</v>
      </c>
      <c r="R665" s="46">
        <f t="shared" si="91"/>
        <v>93.436956520943468</v>
      </c>
    </row>
    <row r="666" spans="2:18" ht="12.75" customHeight="1" x14ac:dyDescent="0.25">
      <c r="B666" s="17" t="s">
        <v>0</v>
      </c>
      <c r="C666" s="44" t="s">
        <v>82</v>
      </c>
      <c r="D666" s="22" t="s">
        <v>2</v>
      </c>
      <c r="E666" s="20">
        <v>1</v>
      </c>
      <c r="F666" s="17" t="s">
        <v>120</v>
      </c>
      <c r="G666" s="17" t="s">
        <v>207</v>
      </c>
      <c r="H666" s="17" t="s">
        <v>208</v>
      </c>
      <c r="I666" s="17" t="s">
        <v>209</v>
      </c>
      <c r="J666" s="27" t="s">
        <v>83</v>
      </c>
      <c r="K666" s="29">
        <v>584</v>
      </c>
      <c r="L666" s="31">
        <v>226574.99999903</v>
      </c>
      <c r="M666" s="31">
        <v>54584.620000173003</v>
      </c>
      <c r="N666" s="31">
        <v>42887.500000090004</v>
      </c>
      <c r="O666" s="34">
        <f t="shared" si="88"/>
        <v>0.24091192761958155</v>
      </c>
      <c r="P666" s="34">
        <f t="shared" si="89"/>
        <v>0.7857066697533861</v>
      </c>
      <c r="Q666" s="34">
        <f t="shared" si="90"/>
        <v>0.75908807238041842</v>
      </c>
      <c r="R666" s="46">
        <f t="shared" si="91"/>
        <v>73.437500000154117</v>
      </c>
    </row>
    <row r="667" spans="2:18" ht="12.75" customHeight="1" x14ac:dyDescent="0.25">
      <c r="B667" s="17" t="s">
        <v>0</v>
      </c>
      <c r="C667" s="44" t="s">
        <v>72</v>
      </c>
      <c r="D667" s="22" t="s">
        <v>2</v>
      </c>
      <c r="E667" s="20">
        <v>1</v>
      </c>
      <c r="F667" s="17" t="s">
        <v>120</v>
      </c>
      <c r="G667" s="17" t="s">
        <v>207</v>
      </c>
      <c r="H667" s="17" t="s">
        <v>208</v>
      </c>
      <c r="I667" s="17" t="s">
        <v>209</v>
      </c>
      <c r="J667" s="27" t="s">
        <v>73</v>
      </c>
      <c r="K667" s="29">
        <v>449</v>
      </c>
      <c r="L667" s="31">
        <v>126956</v>
      </c>
      <c r="M667" s="31">
        <v>48967.660000045995</v>
      </c>
      <c r="N667" s="31">
        <v>38310.869999775998</v>
      </c>
      <c r="O667" s="34">
        <f t="shared" si="88"/>
        <v>0.38570575632538828</v>
      </c>
      <c r="P667" s="34">
        <f t="shared" si="89"/>
        <v>0.78237085455461852</v>
      </c>
      <c r="Q667" s="34">
        <f t="shared" si="90"/>
        <v>0.61429424367461172</v>
      </c>
      <c r="R667" s="46">
        <f t="shared" si="91"/>
        <v>85.32487750506904</v>
      </c>
    </row>
    <row r="668" spans="2:18" ht="12.75" customHeight="1" x14ac:dyDescent="0.25">
      <c r="B668" s="17" t="s">
        <v>0</v>
      </c>
      <c r="C668" s="44" t="s">
        <v>186</v>
      </c>
      <c r="D668" s="22" t="s">
        <v>2</v>
      </c>
      <c r="E668" s="20">
        <v>1</v>
      </c>
      <c r="F668" s="17" t="s">
        <v>120</v>
      </c>
      <c r="G668" s="17" t="s">
        <v>207</v>
      </c>
      <c r="H668" s="17" t="s">
        <v>208</v>
      </c>
      <c r="I668" s="17" t="s">
        <v>209</v>
      </c>
      <c r="J668" s="27" t="s">
        <v>187</v>
      </c>
      <c r="K668" s="29">
        <v>391</v>
      </c>
      <c r="L668" s="31">
        <v>89703.999999859996</v>
      </c>
      <c r="M668" s="31">
        <v>47093.01000083</v>
      </c>
      <c r="N668" s="31">
        <v>37542.37000006</v>
      </c>
      <c r="O668" s="34">
        <f t="shared" si="88"/>
        <v>0.52498227504797446</v>
      </c>
      <c r="P668" s="34">
        <f t="shared" si="89"/>
        <v>0.79719622932147105</v>
      </c>
      <c r="Q668" s="34">
        <f t="shared" si="90"/>
        <v>0.47501772495202554</v>
      </c>
      <c r="R668" s="46">
        <f t="shared" si="91"/>
        <v>96.016291560255752</v>
      </c>
    </row>
    <row r="669" spans="2:18" ht="12.75" customHeight="1" x14ac:dyDescent="0.25">
      <c r="B669" s="17" t="s">
        <v>0</v>
      </c>
      <c r="C669" s="44" t="s">
        <v>161</v>
      </c>
      <c r="D669" s="22" t="s">
        <v>2</v>
      </c>
      <c r="E669" s="20">
        <v>1</v>
      </c>
      <c r="F669" s="17" t="s">
        <v>120</v>
      </c>
      <c r="G669" s="17" t="s">
        <v>207</v>
      </c>
      <c r="H669" s="17" t="s">
        <v>208</v>
      </c>
      <c r="I669" s="17" t="s">
        <v>209</v>
      </c>
      <c r="J669" s="27" t="s">
        <v>162</v>
      </c>
      <c r="K669" s="29">
        <v>364</v>
      </c>
      <c r="L669" s="31">
        <v>190620.99999995</v>
      </c>
      <c r="M669" s="31">
        <v>45398.659999757991</v>
      </c>
      <c r="N669" s="31">
        <v>35630.469999972003</v>
      </c>
      <c r="O669" s="34">
        <f t="shared" si="88"/>
        <v>0.23816190241248289</v>
      </c>
      <c r="P669" s="34">
        <f t="shared" si="89"/>
        <v>0.78483527928273522</v>
      </c>
      <c r="Q669" s="34">
        <f t="shared" si="90"/>
        <v>0.76183809758751708</v>
      </c>
      <c r="R669" s="46">
        <f t="shared" si="91"/>
        <v>97.885906593329679</v>
      </c>
    </row>
    <row r="670" spans="2:18" ht="12.75" customHeight="1" x14ac:dyDescent="0.25">
      <c r="B670" s="17" t="s">
        <v>0</v>
      </c>
      <c r="C670" s="44" t="s">
        <v>26</v>
      </c>
      <c r="D670" s="22" t="s">
        <v>2</v>
      </c>
      <c r="E670" s="20">
        <v>1</v>
      </c>
      <c r="F670" s="17" t="s">
        <v>120</v>
      </c>
      <c r="G670" s="17" t="s">
        <v>207</v>
      </c>
      <c r="H670" s="17" t="s">
        <v>208</v>
      </c>
      <c r="I670" s="17" t="s">
        <v>209</v>
      </c>
      <c r="J670" s="27" t="s">
        <v>27</v>
      </c>
      <c r="K670" s="29">
        <v>436</v>
      </c>
      <c r="L670" s="31">
        <v>115717.99999986</v>
      </c>
      <c r="M670" s="31">
        <v>43062.890000116997</v>
      </c>
      <c r="N670" s="31">
        <v>33933.340000019998</v>
      </c>
      <c r="O670" s="34">
        <f t="shared" ref="O670:O687" si="92">IFERROR(M670/L670,0)</f>
        <v>0.3721364869784225</v>
      </c>
      <c r="P670" s="34">
        <f t="shared" ref="P670:P687" si="93">IFERROR(N670/M670,0)</f>
        <v>0.78799495342574088</v>
      </c>
      <c r="Q670" s="34">
        <f t="shared" ref="Q670:Q687" si="94">IFERROR(1-(M670/L670),0)</f>
        <v>0.6278635130215775</v>
      </c>
      <c r="R670" s="46">
        <f t="shared" ref="R670:R687" si="95">IFERROR(N670/K670,0)</f>
        <v>77.828761467935777</v>
      </c>
    </row>
    <row r="671" spans="2:18" ht="12.75" customHeight="1" x14ac:dyDescent="0.25">
      <c r="B671" s="17" t="s">
        <v>0</v>
      </c>
      <c r="C671" s="44" t="s">
        <v>66</v>
      </c>
      <c r="D671" s="22" t="s">
        <v>9</v>
      </c>
      <c r="E671" s="20">
        <v>2</v>
      </c>
      <c r="F671" s="17" t="s">
        <v>120</v>
      </c>
      <c r="G671" s="17" t="s">
        <v>207</v>
      </c>
      <c r="H671" s="17" t="s">
        <v>208</v>
      </c>
      <c r="I671" s="17" t="s">
        <v>209</v>
      </c>
      <c r="J671" s="27" t="s">
        <v>67</v>
      </c>
      <c r="K671" s="29">
        <v>405</v>
      </c>
      <c r="L671" s="31">
        <v>183069.46000249003</v>
      </c>
      <c r="M671" s="31">
        <v>42875.630000136996</v>
      </c>
      <c r="N671" s="31">
        <v>33886.140000164</v>
      </c>
      <c r="O671" s="34">
        <f t="shared" si="92"/>
        <v>0.23420416490852064</v>
      </c>
      <c r="P671" s="34">
        <f t="shared" si="93"/>
        <v>0.79033567553539685</v>
      </c>
      <c r="Q671" s="34">
        <f t="shared" si="94"/>
        <v>0.7657958350914793</v>
      </c>
      <c r="R671" s="46">
        <f t="shared" si="95"/>
        <v>83.669481481886422</v>
      </c>
    </row>
    <row r="672" spans="2:18" ht="12.75" customHeight="1" x14ac:dyDescent="0.25">
      <c r="B672" s="17" t="s">
        <v>0</v>
      </c>
      <c r="C672" s="44" t="s">
        <v>54</v>
      </c>
      <c r="D672" s="22" t="s">
        <v>9</v>
      </c>
      <c r="E672" s="20">
        <v>2</v>
      </c>
      <c r="F672" s="17" t="s">
        <v>120</v>
      </c>
      <c r="G672" s="17" t="s">
        <v>207</v>
      </c>
      <c r="H672" s="17" t="s">
        <v>208</v>
      </c>
      <c r="I672" s="17" t="s">
        <v>209</v>
      </c>
      <c r="J672" s="27" t="s">
        <v>55</v>
      </c>
      <c r="K672" s="29">
        <v>338</v>
      </c>
      <c r="L672" s="31">
        <v>189392.72000094003</v>
      </c>
      <c r="M672" s="31">
        <v>42147.08000003999</v>
      </c>
      <c r="N672" s="31">
        <v>33328.4500004</v>
      </c>
      <c r="O672" s="34">
        <f t="shared" si="92"/>
        <v>0.22253801518786359</v>
      </c>
      <c r="P672" s="34">
        <f t="shared" si="93"/>
        <v>0.79076533891240808</v>
      </c>
      <c r="Q672" s="34">
        <f t="shared" si="94"/>
        <v>0.77746198481213646</v>
      </c>
      <c r="R672" s="46">
        <f t="shared" si="95"/>
        <v>98.604881657988173</v>
      </c>
    </row>
    <row r="673" spans="2:18" ht="12.75" customHeight="1" x14ac:dyDescent="0.25">
      <c r="B673" s="17" t="s">
        <v>0</v>
      </c>
      <c r="C673" s="44" t="s">
        <v>38</v>
      </c>
      <c r="D673" s="22" t="s">
        <v>9</v>
      </c>
      <c r="E673" s="20">
        <v>2</v>
      </c>
      <c r="F673" s="17" t="s">
        <v>120</v>
      </c>
      <c r="G673" s="17" t="s">
        <v>207</v>
      </c>
      <c r="H673" s="17" t="s">
        <v>208</v>
      </c>
      <c r="I673" s="17" t="s">
        <v>209</v>
      </c>
      <c r="J673" s="27" t="s">
        <v>39</v>
      </c>
      <c r="K673" s="29">
        <v>381</v>
      </c>
      <c r="L673" s="31">
        <v>121091.19</v>
      </c>
      <c r="M673" s="31">
        <v>41144.099999340993</v>
      </c>
      <c r="N673" s="31">
        <v>32831.060000141995</v>
      </c>
      <c r="O673" s="34">
        <f t="shared" si="92"/>
        <v>0.33977781537485091</v>
      </c>
      <c r="P673" s="34">
        <f t="shared" si="93"/>
        <v>0.79795304796235311</v>
      </c>
      <c r="Q673" s="34">
        <f t="shared" si="94"/>
        <v>0.66022218462514903</v>
      </c>
      <c r="R673" s="46">
        <f t="shared" si="95"/>
        <v>86.170761155228334</v>
      </c>
    </row>
    <row r="674" spans="2:18" ht="12.75" customHeight="1" x14ac:dyDescent="0.25">
      <c r="B674" s="17" t="s">
        <v>0</v>
      </c>
      <c r="C674" s="44" t="s">
        <v>44</v>
      </c>
      <c r="D674" s="22" t="s">
        <v>9</v>
      </c>
      <c r="E674" s="20">
        <v>2</v>
      </c>
      <c r="F674" s="17" t="s">
        <v>120</v>
      </c>
      <c r="G674" s="17" t="s">
        <v>207</v>
      </c>
      <c r="H674" s="17" t="s">
        <v>208</v>
      </c>
      <c r="I674" s="17" t="s">
        <v>209</v>
      </c>
      <c r="J674" s="27" t="s">
        <v>45</v>
      </c>
      <c r="K674" s="29">
        <v>386</v>
      </c>
      <c r="L674" s="31">
        <v>111990.01000000001</v>
      </c>
      <c r="M674" s="31">
        <v>41562.879999700002</v>
      </c>
      <c r="N674" s="31">
        <v>32082.489999979</v>
      </c>
      <c r="O674" s="34">
        <f t="shared" si="92"/>
        <v>0.37113024634697328</v>
      </c>
      <c r="P674" s="34">
        <f t="shared" si="93"/>
        <v>0.77190247644558241</v>
      </c>
      <c r="Q674" s="34">
        <f t="shared" si="94"/>
        <v>0.62886975365302678</v>
      </c>
      <c r="R674" s="46">
        <f t="shared" si="95"/>
        <v>83.115259067303114</v>
      </c>
    </row>
    <row r="675" spans="2:18" ht="12.75" customHeight="1" x14ac:dyDescent="0.25">
      <c r="B675" s="17" t="s">
        <v>0</v>
      </c>
      <c r="C675" s="44" t="s">
        <v>34</v>
      </c>
      <c r="D675" s="22" t="s">
        <v>2</v>
      </c>
      <c r="E675" s="20">
        <v>1</v>
      </c>
      <c r="F675" s="17" t="s">
        <v>120</v>
      </c>
      <c r="G675" s="17" t="s">
        <v>207</v>
      </c>
      <c r="H675" s="17" t="s">
        <v>208</v>
      </c>
      <c r="I675" s="17" t="s">
        <v>209</v>
      </c>
      <c r="J675" s="27" t="s">
        <v>35</v>
      </c>
      <c r="K675" s="29">
        <v>298</v>
      </c>
      <c r="L675" s="31">
        <v>130863.00000005</v>
      </c>
      <c r="M675" s="31">
        <v>40365.690000229995</v>
      </c>
      <c r="N675" s="31">
        <v>31792.259999828002</v>
      </c>
      <c r="O675" s="34">
        <f t="shared" si="92"/>
        <v>0.30845762362328977</v>
      </c>
      <c r="P675" s="34">
        <f t="shared" si="93"/>
        <v>0.78760600895579524</v>
      </c>
      <c r="Q675" s="34">
        <f t="shared" si="94"/>
        <v>0.69154237637671023</v>
      </c>
      <c r="R675" s="46">
        <f t="shared" si="95"/>
        <v>106.68543624103356</v>
      </c>
    </row>
    <row r="676" spans="2:18" ht="12.75" customHeight="1" x14ac:dyDescent="0.25">
      <c r="B676" s="17" t="s">
        <v>0</v>
      </c>
      <c r="C676" s="44" t="s">
        <v>14</v>
      </c>
      <c r="D676" s="22" t="s">
        <v>9</v>
      </c>
      <c r="E676" s="20">
        <v>2</v>
      </c>
      <c r="F676" s="17" t="s">
        <v>120</v>
      </c>
      <c r="G676" s="17" t="s">
        <v>207</v>
      </c>
      <c r="H676" s="17" t="s">
        <v>208</v>
      </c>
      <c r="I676" s="17" t="s">
        <v>209</v>
      </c>
      <c r="J676" s="27" t="s">
        <v>15</v>
      </c>
      <c r="K676" s="29">
        <v>387</v>
      </c>
      <c r="L676" s="31">
        <v>68811.949999859993</v>
      </c>
      <c r="M676" s="31">
        <v>29945.429999761996</v>
      </c>
      <c r="N676" s="31">
        <v>23630.309999909005</v>
      </c>
      <c r="O676" s="34">
        <f t="shared" si="92"/>
        <v>0.43517775618657695</v>
      </c>
      <c r="P676" s="34">
        <f t="shared" si="93"/>
        <v>0.78911239545055178</v>
      </c>
      <c r="Q676" s="34">
        <f t="shared" si="94"/>
        <v>0.56482224381342305</v>
      </c>
      <c r="R676" s="46">
        <f t="shared" si="95"/>
        <v>61.060232557904406</v>
      </c>
    </row>
    <row r="677" spans="2:18" ht="12.75" customHeight="1" x14ac:dyDescent="0.25">
      <c r="B677" s="17" t="s">
        <v>0</v>
      </c>
      <c r="C677" s="44" t="s">
        <v>40</v>
      </c>
      <c r="D677" s="22" t="s">
        <v>2</v>
      </c>
      <c r="E677" s="20">
        <v>1</v>
      </c>
      <c r="F677" s="17" t="s">
        <v>120</v>
      </c>
      <c r="G677" s="17" t="s">
        <v>207</v>
      </c>
      <c r="H677" s="17" t="s">
        <v>208</v>
      </c>
      <c r="I677" s="17" t="s">
        <v>209</v>
      </c>
      <c r="J677" s="27" t="s">
        <v>41</v>
      </c>
      <c r="K677" s="29">
        <v>315</v>
      </c>
      <c r="L677" s="31">
        <v>77986.55</v>
      </c>
      <c r="M677" s="31">
        <v>27595.790000180998</v>
      </c>
      <c r="N677" s="31">
        <v>21265.999999890999</v>
      </c>
      <c r="O677" s="34">
        <f t="shared" si="92"/>
        <v>0.35385319648299607</v>
      </c>
      <c r="P677" s="34">
        <f t="shared" si="93"/>
        <v>0.77062479457016875</v>
      </c>
      <c r="Q677" s="34">
        <f t="shared" si="94"/>
        <v>0.64614680351700393</v>
      </c>
      <c r="R677" s="46">
        <f t="shared" si="95"/>
        <v>67.511111110765071</v>
      </c>
    </row>
    <row r="678" spans="2:18" ht="12.75" customHeight="1" x14ac:dyDescent="0.25">
      <c r="B678" s="17" t="s">
        <v>0</v>
      </c>
      <c r="C678" s="44" t="s">
        <v>166</v>
      </c>
      <c r="D678" s="22" t="s">
        <v>2</v>
      </c>
      <c r="E678" s="20">
        <v>1</v>
      </c>
      <c r="F678" s="17" t="s">
        <v>120</v>
      </c>
      <c r="G678" s="17" t="s">
        <v>207</v>
      </c>
      <c r="H678" s="17" t="s">
        <v>208</v>
      </c>
      <c r="I678" s="17" t="s">
        <v>209</v>
      </c>
      <c r="J678" s="27" t="s">
        <v>167</v>
      </c>
      <c r="K678" s="29">
        <v>119</v>
      </c>
      <c r="L678" s="31">
        <v>36285</v>
      </c>
      <c r="M678" s="31">
        <v>19954.509999959999</v>
      </c>
      <c r="N678" s="31">
        <v>15713.92000014</v>
      </c>
      <c r="O678" s="34">
        <f t="shared" si="92"/>
        <v>0.54993826650020672</v>
      </c>
      <c r="P678" s="34">
        <f t="shared" si="93"/>
        <v>0.78748713950738458</v>
      </c>
      <c r="Q678" s="34">
        <f t="shared" si="94"/>
        <v>0.45006173349979328</v>
      </c>
      <c r="R678" s="46">
        <f t="shared" si="95"/>
        <v>132.04974790033614</v>
      </c>
    </row>
    <row r="679" spans="2:18" ht="12.75" customHeight="1" x14ac:dyDescent="0.25">
      <c r="B679" s="17" t="s">
        <v>0</v>
      </c>
      <c r="C679" s="44" t="s">
        <v>191</v>
      </c>
      <c r="D679" s="22" t="s">
        <v>2</v>
      </c>
      <c r="E679" s="20">
        <v>1</v>
      </c>
      <c r="F679" s="17" t="s">
        <v>120</v>
      </c>
      <c r="G679" s="17" t="s">
        <v>207</v>
      </c>
      <c r="H679" s="17" t="s">
        <v>208</v>
      </c>
      <c r="I679" s="17" t="s">
        <v>209</v>
      </c>
      <c r="J679" s="27" t="s">
        <v>192</v>
      </c>
      <c r="K679" s="29">
        <v>216</v>
      </c>
      <c r="L679" s="31">
        <v>54810.000000150001</v>
      </c>
      <c r="M679" s="31">
        <v>18362.159999930002</v>
      </c>
      <c r="N679" s="31">
        <v>14638.120000006998</v>
      </c>
      <c r="O679" s="34">
        <f t="shared" si="92"/>
        <v>0.3350147783229292</v>
      </c>
      <c r="P679" s="34">
        <f t="shared" si="93"/>
        <v>0.79718943741165527</v>
      </c>
      <c r="Q679" s="34">
        <f t="shared" si="94"/>
        <v>0.66498522167707086</v>
      </c>
      <c r="R679" s="46">
        <f t="shared" si="95"/>
        <v>67.76907407410647</v>
      </c>
    </row>
    <row r="680" spans="2:18" ht="12.75" customHeight="1" x14ac:dyDescent="0.25">
      <c r="B680" s="17" t="s">
        <v>0</v>
      </c>
      <c r="C680" s="44" t="s">
        <v>145</v>
      </c>
      <c r="D680" s="22" t="s">
        <v>9</v>
      </c>
      <c r="E680" s="20">
        <v>2</v>
      </c>
      <c r="F680" s="17" t="s">
        <v>120</v>
      </c>
      <c r="G680" s="17" t="s">
        <v>207</v>
      </c>
      <c r="H680" s="17" t="s">
        <v>208</v>
      </c>
      <c r="I680" s="17" t="s">
        <v>209</v>
      </c>
      <c r="J680" s="27" t="s">
        <v>146</v>
      </c>
      <c r="K680" s="29">
        <v>195</v>
      </c>
      <c r="L680" s="31">
        <v>23556</v>
      </c>
      <c r="M680" s="31">
        <v>16794.680000124001</v>
      </c>
      <c r="N680" s="31">
        <v>13591.230000035999</v>
      </c>
      <c r="O680" s="34">
        <f t="shared" si="92"/>
        <v>0.71296824588741725</v>
      </c>
      <c r="P680" s="34">
        <f t="shared" si="93"/>
        <v>0.80925805075986268</v>
      </c>
      <c r="Q680" s="34">
        <f t="shared" si="94"/>
        <v>0.28703175411258275</v>
      </c>
      <c r="R680" s="46">
        <f t="shared" si="95"/>
        <v>69.698615384799993</v>
      </c>
    </row>
    <row r="681" spans="2:18" ht="12.75" customHeight="1" x14ac:dyDescent="0.25">
      <c r="B681" s="17" t="s">
        <v>0</v>
      </c>
      <c r="C681" s="44" t="s">
        <v>135</v>
      </c>
      <c r="D681" s="22" t="s">
        <v>9</v>
      </c>
      <c r="E681" s="20">
        <v>2</v>
      </c>
      <c r="F681" s="17" t="s">
        <v>120</v>
      </c>
      <c r="G681" s="17" t="s">
        <v>207</v>
      </c>
      <c r="H681" s="17" t="s">
        <v>208</v>
      </c>
      <c r="I681" s="17" t="s">
        <v>209</v>
      </c>
      <c r="J681" s="27" t="s">
        <v>136</v>
      </c>
      <c r="K681" s="29">
        <v>165</v>
      </c>
      <c r="L681" s="31">
        <v>38461.509999999995</v>
      </c>
      <c r="M681" s="31">
        <v>15467.300000114001</v>
      </c>
      <c r="N681" s="31">
        <v>12352.640000044001</v>
      </c>
      <c r="O681" s="34">
        <f t="shared" si="92"/>
        <v>0.4021500975940363</v>
      </c>
      <c r="P681" s="34">
        <f t="shared" si="93"/>
        <v>0.798629366466866</v>
      </c>
      <c r="Q681" s="34">
        <f t="shared" si="94"/>
        <v>0.5978499024059637</v>
      </c>
      <c r="R681" s="46">
        <f t="shared" si="95"/>
        <v>74.864484848751516</v>
      </c>
    </row>
    <row r="682" spans="2:18" ht="12.75" customHeight="1" x14ac:dyDescent="0.25">
      <c r="B682" s="17" t="s">
        <v>0</v>
      </c>
      <c r="C682" s="44" t="s">
        <v>105</v>
      </c>
      <c r="D682" s="22" t="s">
        <v>2</v>
      </c>
      <c r="E682" s="20">
        <v>1</v>
      </c>
      <c r="F682" s="17" t="s">
        <v>120</v>
      </c>
      <c r="G682" s="17" t="s">
        <v>207</v>
      </c>
      <c r="H682" s="17" t="s">
        <v>208</v>
      </c>
      <c r="I682" s="17" t="s">
        <v>209</v>
      </c>
      <c r="J682" s="27" t="s">
        <v>106</v>
      </c>
      <c r="K682" s="29">
        <v>106</v>
      </c>
      <c r="L682" s="31">
        <v>45013.249999940002</v>
      </c>
      <c r="M682" s="31">
        <v>14437.369999807001</v>
      </c>
      <c r="N682" s="31">
        <v>11127.949999951001</v>
      </c>
      <c r="O682" s="34">
        <f t="shared" si="92"/>
        <v>0.32073600550562875</v>
      </c>
      <c r="P682" s="34">
        <f t="shared" si="93"/>
        <v>0.7707740398770524</v>
      </c>
      <c r="Q682" s="34">
        <f t="shared" si="94"/>
        <v>0.67926399449437125</v>
      </c>
      <c r="R682" s="46">
        <f t="shared" si="95"/>
        <v>104.98066037689624</v>
      </c>
    </row>
    <row r="683" spans="2:18" ht="12.75" customHeight="1" x14ac:dyDescent="0.25">
      <c r="B683" s="17" t="s">
        <v>0</v>
      </c>
      <c r="C683" s="44" t="s">
        <v>20</v>
      </c>
      <c r="D683" s="22" t="s">
        <v>2</v>
      </c>
      <c r="E683" s="20">
        <v>1</v>
      </c>
      <c r="F683" s="17" t="s">
        <v>120</v>
      </c>
      <c r="G683" s="17" t="s">
        <v>207</v>
      </c>
      <c r="H683" s="17" t="s">
        <v>208</v>
      </c>
      <c r="I683" s="17" t="s">
        <v>209</v>
      </c>
      <c r="J683" s="27" t="s">
        <v>21</v>
      </c>
      <c r="K683" s="29">
        <v>122</v>
      </c>
      <c r="L683" s="31">
        <v>42379.48</v>
      </c>
      <c r="M683" s="31">
        <v>12908.470000015999</v>
      </c>
      <c r="N683" s="31">
        <v>10286.229999972</v>
      </c>
      <c r="O683" s="34">
        <f t="shared" si="92"/>
        <v>0.30459245842601179</v>
      </c>
      <c r="P683" s="34">
        <f t="shared" si="93"/>
        <v>0.79685896159337632</v>
      </c>
      <c r="Q683" s="34">
        <f t="shared" si="94"/>
        <v>0.69540754157398821</v>
      </c>
      <c r="R683" s="46">
        <f t="shared" si="95"/>
        <v>84.313360655508191</v>
      </c>
    </row>
    <row r="684" spans="2:18" ht="12.75" customHeight="1" x14ac:dyDescent="0.25">
      <c r="B684" s="17" t="s">
        <v>0</v>
      </c>
      <c r="C684" s="44" t="s">
        <v>155</v>
      </c>
      <c r="D684" s="22" t="s">
        <v>2</v>
      </c>
      <c r="E684" s="20">
        <v>1</v>
      </c>
      <c r="F684" s="17" t="s">
        <v>120</v>
      </c>
      <c r="G684" s="17" t="s">
        <v>207</v>
      </c>
      <c r="H684" s="17" t="s">
        <v>208</v>
      </c>
      <c r="I684" s="17" t="s">
        <v>209</v>
      </c>
      <c r="J684" s="27" t="s">
        <v>156</v>
      </c>
      <c r="K684" s="29">
        <v>101</v>
      </c>
      <c r="L684" s="31">
        <v>29780</v>
      </c>
      <c r="M684" s="31">
        <v>9153.5500000739994</v>
      </c>
      <c r="N684" s="31">
        <v>7235.179999981</v>
      </c>
      <c r="O684" s="34">
        <f t="shared" si="92"/>
        <v>0.30737239758475488</v>
      </c>
      <c r="P684" s="34">
        <f t="shared" si="93"/>
        <v>0.79042338763894981</v>
      </c>
      <c r="Q684" s="34">
        <f t="shared" si="94"/>
        <v>0.69262760241524512</v>
      </c>
      <c r="R684" s="46">
        <f t="shared" si="95"/>
        <v>71.635445544366334</v>
      </c>
    </row>
    <row r="685" spans="2:18" ht="12.75" customHeight="1" x14ac:dyDescent="0.25">
      <c r="B685" s="17" t="s">
        <v>0</v>
      </c>
      <c r="C685" s="44" t="s">
        <v>196</v>
      </c>
      <c r="D685" s="22" t="s">
        <v>2</v>
      </c>
      <c r="E685" s="20">
        <v>1</v>
      </c>
      <c r="F685" s="17" t="s">
        <v>120</v>
      </c>
      <c r="G685" s="17" t="s">
        <v>207</v>
      </c>
      <c r="H685" s="17" t="s">
        <v>208</v>
      </c>
      <c r="I685" s="17" t="s">
        <v>209</v>
      </c>
      <c r="J685" s="27" t="s">
        <v>197</v>
      </c>
      <c r="K685" s="29">
        <v>74</v>
      </c>
      <c r="L685" s="31">
        <v>22876.000000150001</v>
      </c>
      <c r="M685" s="31">
        <v>5890.860000011</v>
      </c>
      <c r="N685" s="31">
        <v>4732.3399999989997</v>
      </c>
      <c r="O685" s="34">
        <f t="shared" si="92"/>
        <v>0.25751267704023312</v>
      </c>
      <c r="P685" s="34">
        <f t="shared" si="93"/>
        <v>0.80333601545277988</v>
      </c>
      <c r="Q685" s="34">
        <f t="shared" si="94"/>
        <v>0.74248732295976683</v>
      </c>
      <c r="R685" s="46">
        <f t="shared" si="95"/>
        <v>63.950540540527022</v>
      </c>
    </row>
    <row r="686" spans="2:18" ht="12.75" customHeight="1" x14ac:dyDescent="0.25">
      <c r="B686" s="17" t="s">
        <v>0</v>
      </c>
      <c r="C686" s="44" t="s">
        <v>58</v>
      </c>
      <c r="D686" s="22" t="s">
        <v>9</v>
      </c>
      <c r="E686" s="20">
        <v>2</v>
      </c>
      <c r="F686" s="17" t="s">
        <v>120</v>
      </c>
      <c r="G686" s="17" t="s">
        <v>207</v>
      </c>
      <c r="H686" s="17" t="s">
        <v>208</v>
      </c>
      <c r="I686" s="17" t="s">
        <v>209</v>
      </c>
      <c r="J686" s="27" t="s">
        <v>59</v>
      </c>
      <c r="K686" s="29">
        <v>37</v>
      </c>
      <c r="L686" s="31">
        <v>9250</v>
      </c>
      <c r="M686" s="31">
        <v>4344.2299999400002</v>
      </c>
      <c r="N686" s="31">
        <v>3317.5600000080003</v>
      </c>
      <c r="O686" s="34">
        <f t="shared" si="92"/>
        <v>0.46964648648000001</v>
      </c>
      <c r="P686" s="34">
        <f t="shared" si="93"/>
        <v>0.76367043182654237</v>
      </c>
      <c r="Q686" s="34">
        <f t="shared" si="94"/>
        <v>0.53035351351999993</v>
      </c>
      <c r="R686" s="46">
        <f t="shared" si="95"/>
        <v>89.663783784000003</v>
      </c>
    </row>
    <row r="687" spans="2:18" ht="12.75" customHeight="1" thickBot="1" x14ac:dyDescent="0.3">
      <c r="B687" s="15" t="s">
        <v>0</v>
      </c>
      <c r="C687" s="50" t="s">
        <v>60</v>
      </c>
      <c r="D687" s="19" t="s">
        <v>2</v>
      </c>
      <c r="E687" s="16">
        <v>1</v>
      </c>
      <c r="F687" s="15" t="s">
        <v>120</v>
      </c>
      <c r="G687" s="15" t="s">
        <v>207</v>
      </c>
      <c r="H687" s="15" t="s">
        <v>208</v>
      </c>
      <c r="I687" s="15" t="s">
        <v>209</v>
      </c>
      <c r="J687" s="24" t="s">
        <v>61</v>
      </c>
      <c r="K687" s="26">
        <v>28</v>
      </c>
      <c r="L687" s="28">
        <v>12104</v>
      </c>
      <c r="M687" s="28">
        <v>3176.3799999600001</v>
      </c>
      <c r="N687" s="28">
        <v>2399.1500000400001</v>
      </c>
      <c r="O687" s="32">
        <f t="shared" si="92"/>
        <v>0.26242399206543293</v>
      </c>
      <c r="P687" s="32">
        <f t="shared" si="93"/>
        <v>0.75530950329312374</v>
      </c>
      <c r="Q687" s="32">
        <f t="shared" si="94"/>
        <v>0.73757600793456701</v>
      </c>
      <c r="R687" s="49">
        <f t="shared" si="95"/>
        <v>85.683928572857141</v>
      </c>
    </row>
    <row r="688" spans="2:18" ht="17.25" customHeight="1" x14ac:dyDescent="0.25">
      <c r="B688" s="48"/>
      <c r="C688" s="58"/>
      <c r="D688" s="51" t="s">
        <v>366</v>
      </c>
      <c r="E688" s="52"/>
      <c r="F688" s="52"/>
      <c r="G688" s="53"/>
      <c r="H688" s="53"/>
      <c r="I688" s="53"/>
      <c r="J688" s="54"/>
      <c r="K688" s="55">
        <f>SUM(K606:K687)</f>
        <v>6851823</v>
      </c>
      <c r="L688" s="56">
        <f>SUM(L606:L687)</f>
        <v>1959573703.5100188</v>
      </c>
      <c r="M688" s="56">
        <f>SUM(M606:M687)</f>
        <v>677242707.54016972</v>
      </c>
      <c r="N688" s="56">
        <f>SUM(N606:N687)</f>
        <v>533623972.09994793</v>
      </c>
      <c r="O688" s="57">
        <f>IFERROR(M688/L688,0)</f>
        <v>0.34560716258188301</v>
      </c>
      <c r="P688" s="57">
        <f>IFERROR(N688/M688,0)</f>
        <v>0.78793609168290202</v>
      </c>
      <c r="Q688" s="57">
        <f>IFERROR(1-(M688/L688),0)</f>
        <v>0.65439283741811693</v>
      </c>
      <c r="R688" s="59">
        <f>IFERROR(N688/K688,0)</f>
        <v>77.880583327962199</v>
      </c>
    </row>
    <row r="689" spans="2:18" ht="15.75" thickBot="1" x14ac:dyDescent="0.3">
      <c r="B689" s="60"/>
      <c r="C689" s="64"/>
      <c r="D689" s="62" t="s">
        <v>209</v>
      </c>
      <c r="E689" s="61"/>
      <c r="F689" s="61"/>
      <c r="G689" s="61"/>
      <c r="H689" s="61"/>
      <c r="I689" s="61"/>
      <c r="J689" s="61"/>
      <c r="K689" s="63"/>
      <c r="L689" s="63"/>
      <c r="M689" s="63"/>
      <c r="N689" s="63"/>
      <c r="O689" s="63"/>
      <c r="P689" s="63"/>
      <c r="Q689" s="63"/>
      <c r="R689" s="65"/>
    </row>
    <row r="690" spans="2:18" ht="15.75" thickBot="1" x14ac:dyDescent="0.3"/>
    <row r="691" spans="2:18" ht="15.75" x14ac:dyDescent="0.25">
      <c r="B691" s="1"/>
      <c r="C691" s="7" t="s">
        <v>348</v>
      </c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9"/>
    </row>
    <row r="692" spans="2:18" ht="18" x14ac:dyDescent="0.25">
      <c r="B692" s="2"/>
      <c r="C692" s="8" t="s">
        <v>212</v>
      </c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10"/>
    </row>
    <row r="693" spans="2:18" ht="15.75" thickBot="1" x14ac:dyDescent="0.3">
      <c r="B693" s="3"/>
      <c r="C693" s="11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12"/>
    </row>
    <row r="694" spans="2:18" ht="17.25" customHeight="1" thickBot="1" x14ac:dyDescent="0.3">
      <c r="B694" s="14" t="s">
        <v>349</v>
      </c>
      <c r="C694" s="18" t="s">
        <v>350</v>
      </c>
      <c r="D694" s="21" t="s">
        <v>351</v>
      </c>
      <c r="E694" s="23" t="s">
        <v>352</v>
      </c>
      <c r="F694" s="21" t="s">
        <v>353</v>
      </c>
      <c r="G694" s="23" t="s">
        <v>354</v>
      </c>
      <c r="H694" s="23" t="s">
        <v>355</v>
      </c>
      <c r="I694" s="23" t="s">
        <v>356</v>
      </c>
      <c r="J694" s="25" t="s">
        <v>357</v>
      </c>
      <c r="K694" s="25" t="s">
        <v>358</v>
      </c>
      <c r="L694" s="30" t="s">
        <v>359</v>
      </c>
      <c r="M694" s="30" t="s">
        <v>360</v>
      </c>
      <c r="N694" s="30" t="s">
        <v>361</v>
      </c>
      <c r="O694" s="33" t="s">
        <v>362</v>
      </c>
      <c r="P694" s="33" t="s">
        <v>363</v>
      </c>
      <c r="Q694" s="33" t="s">
        <v>364</v>
      </c>
      <c r="R694" s="35" t="s">
        <v>365</v>
      </c>
    </row>
    <row r="695" spans="2:18" ht="12.75" customHeight="1" x14ac:dyDescent="0.25">
      <c r="B695" s="17" t="s">
        <v>0</v>
      </c>
      <c r="C695" s="43" t="s">
        <v>46</v>
      </c>
      <c r="D695" s="37" t="s">
        <v>2</v>
      </c>
      <c r="E695" s="36">
        <v>1</v>
      </c>
      <c r="F695" s="38" t="s">
        <v>120</v>
      </c>
      <c r="G695" s="38" t="s">
        <v>210</v>
      </c>
      <c r="H695" s="38" t="s">
        <v>211</v>
      </c>
      <c r="I695" s="38" t="s">
        <v>212</v>
      </c>
      <c r="J695" s="39" t="s">
        <v>47</v>
      </c>
      <c r="K695" s="40">
        <v>603401</v>
      </c>
      <c r="L695" s="41">
        <v>118683337.30011715</v>
      </c>
      <c r="M695" s="41">
        <v>49889425.849993929</v>
      </c>
      <c r="N695" s="41">
        <v>39002871.849999301</v>
      </c>
      <c r="O695" s="42">
        <f t="shared" ref="O695:O726" si="96">IFERROR(M695/L695,0)</f>
        <v>0.42035745695149646</v>
      </c>
      <c r="P695" s="42">
        <f t="shared" ref="P695:P726" si="97">IFERROR(N695/M695,0)</f>
        <v>0.78178634420993331</v>
      </c>
      <c r="Q695" s="42">
        <f t="shared" ref="Q695:Q726" si="98">IFERROR(1-(M695/L695),0)</f>
        <v>0.57964254304850349</v>
      </c>
      <c r="R695" s="45">
        <f t="shared" ref="R695:R726" si="99">IFERROR(N695/K695,0)</f>
        <v>64.638394450786961</v>
      </c>
    </row>
    <row r="696" spans="2:18" ht="12.75" customHeight="1" x14ac:dyDescent="0.25">
      <c r="B696" s="17" t="s">
        <v>0</v>
      </c>
      <c r="C696" s="44" t="s">
        <v>46</v>
      </c>
      <c r="D696" s="22" t="s">
        <v>9</v>
      </c>
      <c r="E696" s="20">
        <v>2</v>
      </c>
      <c r="F696" s="17" t="s">
        <v>120</v>
      </c>
      <c r="G696" s="17" t="s">
        <v>210</v>
      </c>
      <c r="H696" s="17" t="s">
        <v>211</v>
      </c>
      <c r="I696" s="17" t="s">
        <v>212</v>
      </c>
      <c r="J696" s="27" t="s">
        <v>47</v>
      </c>
      <c r="K696" s="29">
        <v>551326</v>
      </c>
      <c r="L696" s="31">
        <v>116371961.12994915</v>
      </c>
      <c r="M696" s="31">
        <v>44316617.150008723</v>
      </c>
      <c r="N696" s="31">
        <v>34053381.029999241</v>
      </c>
      <c r="O696" s="34">
        <f t="shared" si="96"/>
        <v>0.38081868449842188</v>
      </c>
      <c r="P696" s="34">
        <f t="shared" si="97"/>
        <v>0.7684111112256351</v>
      </c>
      <c r="Q696" s="34">
        <f t="shared" si="98"/>
        <v>0.61918131550157818</v>
      </c>
      <c r="R696" s="46">
        <f t="shared" si="99"/>
        <v>61.766325241325895</v>
      </c>
    </row>
    <row r="697" spans="2:18" ht="12.75" customHeight="1" x14ac:dyDescent="0.25">
      <c r="B697" s="17" t="s">
        <v>0</v>
      </c>
      <c r="C697" s="44" t="s">
        <v>30</v>
      </c>
      <c r="D697" s="22" t="s">
        <v>2</v>
      </c>
      <c r="E697" s="20">
        <v>1</v>
      </c>
      <c r="F697" s="17" t="s">
        <v>120</v>
      </c>
      <c r="G697" s="17" t="s">
        <v>210</v>
      </c>
      <c r="H697" s="17" t="s">
        <v>211</v>
      </c>
      <c r="I697" s="17" t="s">
        <v>212</v>
      </c>
      <c r="J697" s="27" t="s">
        <v>31</v>
      </c>
      <c r="K697" s="29">
        <v>229976</v>
      </c>
      <c r="L697" s="31">
        <v>46898396.649966322</v>
      </c>
      <c r="M697" s="31">
        <v>22214736.029940635</v>
      </c>
      <c r="N697" s="31">
        <v>17322996.420002036</v>
      </c>
      <c r="O697" s="34">
        <f t="shared" si="96"/>
        <v>0.47367794246238026</v>
      </c>
      <c r="P697" s="34">
        <f t="shared" si="97"/>
        <v>0.77979753604339042</v>
      </c>
      <c r="Q697" s="34">
        <f t="shared" si="98"/>
        <v>0.52632205753761974</v>
      </c>
      <c r="R697" s="46">
        <f t="shared" si="99"/>
        <v>75.325235763740721</v>
      </c>
    </row>
    <row r="698" spans="2:18" ht="12.75" customHeight="1" x14ac:dyDescent="0.25">
      <c r="B698" s="17" t="s">
        <v>0</v>
      </c>
      <c r="C698" s="44" t="s">
        <v>54</v>
      </c>
      <c r="D698" s="22" t="s">
        <v>2</v>
      </c>
      <c r="E698" s="20">
        <v>1</v>
      </c>
      <c r="F698" s="17" t="s">
        <v>120</v>
      </c>
      <c r="G698" s="17" t="s">
        <v>210</v>
      </c>
      <c r="H698" s="17" t="s">
        <v>211</v>
      </c>
      <c r="I698" s="17" t="s">
        <v>212</v>
      </c>
      <c r="J698" s="27" t="s">
        <v>55</v>
      </c>
      <c r="K698" s="29">
        <v>129321</v>
      </c>
      <c r="L698" s="31">
        <v>24353519.349993691</v>
      </c>
      <c r="M698" s="31">
        <v>12257104.589979112</v>
      </c>
      <c r="N698" s="31">
        <v>9527932.3800084591</v>
      </c>
      <c r="O698" s="34">
        <f t="shared" si="96"/>
        <v>0.50329910900464114</v>
      </c>
      <c r="P698" s="34">
        <f t="shared" si="97"/>
        <v>0.77733956743732868</v>
      </c>
      <c r="Q698" s="34">
        <f t="shared" si="98"/>
        <v>0.49670089099535886</v>
      </c>
      <c r="R698" s="46">
        <f t="shared" si="99"/>
        <v>73.676606119721157</v>
      </c>
    </row>
    <row r="699" spans="2:18" ht="12.75" customHeight="1" x14ac:dyDescent="0.25">
      <c r="B699" s="17" t="s">
        <v>0</v>
      </c>
      <c r="C699" s="44" t="s">
        <v>54</v>
      </c>
      <c r="D699" s="22" t="s">
        <v>9</v>
      </c>
      <c r="E699" s="20">
        <v>2</v>
      </c>
      <c r="F699" s="17" t="s">
        <v>120</v>
      </c>
      <c r="G699" s="17" t="s">
        <v>210</v>
      </c>
      <c r="H699" s="17" t="s">
        <v>211</v>
      </c>
      <c r="I699" s="17" t="s">
        <v>212</v>
      </c>
      <c r="J699" s="27" t="s">
        <v>55</v>
      </c>
      <c r="K699" s="29">
        <v>122306</v>
      </c>
      <c r="L699" s="31">
        <v>21500875.49998989</v>
      </c>
      <c r="M699" s="31">
        <v>10883734.620034091</v>
      </c>
      <c r="N699" s="31">
        <v>8331568.4499927005</v>
      </c>
      <c r="O699" s="34">
        <f t="shared" si="96"/>
        <v>0.50619960196686919</v>
      </c>
      <c r="P699" s="34">
        <f t="shared" si="97"/>
        <v>0.76550639471275561</v>
      </c>
      <c r="Q699" s="34">
        <f t="shared" si="98"/>
        <v>0.49380039803313081</v>
      </c>
      <c r="R699" s="46">
        <f t="shared" si="99"/>
        <v>68.120684594318348</v>
      </c>
    </row>
    <row r="700" spans="2:18" ht="12.75" customHeight="1" x14ac:dyDescent="0.25">
      <c r="B700" s="17" t="s">
        <v>0</v>
      </c>
      <c r="C700" s="44" t="s">
        <v>50</v>
      </c>
      <c r="D700" s="22" t="s">
        <v>2</v>
      </c>
      <c r="E700" s="20">
        <v>1</v>
      </c>
      <c r="F700" s="17" t="s">
        <v>120</v>
      </c>
      <c r="G700" s="17" t="s">
        <v>210</v>
      </c>
      <c r="H700" s="17" t="s">
        <v>211</v>
      </c>
      <c r="I700" s="17" t="s">
        <v>212</v>
      </c>
      <c r="J700" s="27" t="s">
        <v>51</v>
      </c>
      <c r="K700" s="29">
        <v>98256</v>
      </c>
      <c r="L700" s="31">
        <v>20713985.400026944</v>
      </c>
      <c r="M700" s="31">
        <v>8345242.8399956226</v>
      </c>
      <c r="N700" s="31">
        <v>6554835.5599973453</v>
      </c>
      <c r="O700" s="34">
        <f t="shared" si="96"/>
        <v>0.40287963319626396</v>
      </c>
      <c r="P700" s="34">
        <f t="shared" si="97"/>
        <v>0.78545773750075598</v>
      </c>
      <c r="Q700" s="34">
        <f t="shared" si="98"/>
        <v>0.59712036680373604</v>
      </c>
      <c r="R700" s="46">
        <f t="shared" si="99"/>
        <v>66.711809558676777</v>
      </c>
    </row>
    <row r="701" spans="2:18" ht="12.75" customHeight="1" x14ac:dyDescent="0.25">
      <c r="B701" s="17" t="s">
        <v>0</v>
      </c>
      <c r="C701" s="44" t="s">
        <v>58</v>
      </c>
      <c r="D701" s="22" t="s">
        <v>2</v>
      </c>
      <c r="E701" s="20">
        <v>1</v>
      </c>
      <c r="F701" s="17" t="s">
        <v>120</v>
      </c>
      <c r="G701" s="17" t="s">
        <v>210</v>
      </c>
      <c r="H701" s="17" t="s">
        <v>211</v>
      </c>
      <c r="I701" s="17" t="s">
        <v>212</v>
      </c>
      <c r="J701" s="27" t="s">
        <v>59</v>
      </c>
      <c r="K701" s="29">
        <v>82240</v>
      </c>
      <c r="L701" s="31">
        <v>15829192.889965679</v>
      </c>
      <c r="M701" s="31">
        <v>7397898.6000059973</v>
      </c>
      <c r="N701" s="31">
        <v>5815495.4499925748</v>
      </c>
      <c r="O701" s="34">
        <f t="shared" si="96"/>
        <v>0.46735791593616982</v>
      </c>
      <c r="P701" s="34">
        <f t="shared" si="97"/>
        <v>0.78610099494846553</v>
      </c>
      <c r="Q701" s="34">
        <f t="shared" si="98"/>
        <v>0.53264208406383018</v>
      </c>
      <c r="R701" s="46">
        <f t="shared" si="99"/>
        <v>70.713709265473909</v>
      </c>
    </row>
    <row r="702" spans="2:18" ht="12.75" customHeight="1" x14ac:dyDescent="0.25">
      <c r="B702" s="17" t="s">
        <v>0</v>
      </c>
      <c r="C702" s="44" t="s">
        <v>30</v>
      </c>
      <c r="D702" s="22" t="s">
        <v>9</v>
      </c>
      <c r="E702" s="20">
        <v>2</v>
      </c>
      <c r="F702" s="17" t="s">
        <v>120</v>
      </c>
      <c r="G702" s="17" t="s">
        <v>210</v>
      </c>
      <c r="H702" s="17" t="s">
        <v>211</v>
      </c>
      <c r="I702" s="17" t="s">
        <v>212</v>
      </c>
      <c r="J702" s="27" t="s">
        <v>31</v>
      </c>
      <c r="K702" s="29">
        <v>75305</v>
      </c>
      <c r="L702" s="31">
        <v>14783583.409987278</v>
      </c>
      <c r="M702" s="31">
        <v>7415872.7599783437</v>
      </c>
      <c r="N702" s="31">
        <v>5672706.419999118</v>
      </c>
      <c r="O702" s="34">
        <f t="shared" si="96"/>
        <v>0.50162890513868486</v>
      </c>
      <c r="P702" s="34">
        <f t="shared" si="97"/>
        <v>0.76494117464006806</v>
      </c>
      <c r="Q702" s="34">
        <f t="shared" si="98"/>
        <v>0.49837109486131514</v>
      </c>
      <c r="R702" s="46">
        <f t="shared" si="99"/>
        <v>75.329744638458507</v>
      </c>
    </row>
    <row r="703" spans="2:18" ht="12.75" customHeight="1" x14ac:dyDescent="0.25">
      <c r="B703" s="17" t="s">
        <v>0</v>
      </c>
      <c r="C703" s="44" t="s">
        <v>50</v>
      </c>
      <c r="D703" s="22" t="s">
        <v>9</v>
      </c>
      <c r="E703" s="20">
        <v>2</v>
      </c>
      <c r="F703" s="17" t="s">
        <v>120</v>
      </c>
      <c r="G703" s="17" t="s">
        <v>210</v>
      </c>
      <c r="H703" s="17" t="s">
        <v>211</v>
      </c>
      <c r="I703" s="17" t="s">
        <v>212</v>
      </c>
      <c r="J703" s="27" t="s">
        <v>51</v>
      </c>
      <c r="K703" s="29">
        <v>65377</v>
      </c>
      <c r="L703" s="31">
        <v>11066201.119998803</v>
      </c>
      <c r="M703" s="31">
        <v>5277283.7899977975</v>
      </c>
      <c r="N703" s="31">
        <v>4082822.259990958</v>
      </c>
      <c r="O703" s="34">
        <f t="shared" si="96"/>
        <v>0.47688305433566602</v>
      </c>
      <c r="P703" s="34">
        <f t="shared" si="97"/>
        <v>0.77365978834211269</v>
      </c>
      <c r="Q703" s="34">
        <f t="shared" si="98"/>
        <v>0.52311694566433398</v>
      </c>
      <c r="R703" s="46">
        <f t="shared" si="99"/>
        <v>62.450437615536934</v>
      </c>
    </row>
    <row r="704" spans="2:18" ht="12.75" customHeight="1" x14ac:dyDescent="0.25">
      <c r="B704" s="17" t="s">
        <v>0</v>
      </c>
      <c r="C704" s="44" t="s">
        <v>127</v>
      </c>
      <c r="D704" s="22" t="s">
        <v>9</v>
      </c>
      <c r="E704" s="20">
        <v>2</v>
      </c>
      <c r="F704" s="17" t="s">
        <v>120</v>
      </c>
      <c r="G704" s="17" t="s">
        <v>210</v>
      </c>
      <c r="H704" s="17" t="s">
        <v>211</v>
      </c>
      <c r="I704" s="17" t="s">
        <v>212</v>
      </c>
      <c r="J704" s="27" t="s">
        <v>128</v>
      </c>
      <c r="K704" s="29">
        <v>22972</v>
      </c>
      <c r="L704" s="31">
        <v>3043124.3699998753</v>
      </c>
      <c r="M704" s="31">
        <v>2016635.83999299</v>
      </c>
      <c r="N704" s="31">
        <v>1534790.4500007809</v>
      </c>
      <c r="O704" s="34">
        <f t="shared" si="96"/>
        <v>0.66268597493866888</v>
      </c>
      <c r="P704" s="34">
        <f t="shared" si="97"/>
        <v>0.76106474930353119</v>
      </c>
      <c r="Q704" s="34">
        <f t="shared" si="98"/>
        <v>0.33731402506133112</v>
      </c>
      <c r="R704" s="46">
        <f t="shared" si="99"/>
        <v>66.81135512801589</v>
      </c>
    </row>
    <row r="705" spans="2:18" ht="12.75" customHeight="1" x14ac:dyDescent="0.25">
      <c r="B705" s="17" t="s">
        <v>0</v>
      </c>
      <c r="C705" s="44" t="s">
        <v>36</v>
      </c>
      <c r="D705" s="22" t="s">
        <v>9</v>
      </c>
      <c r="E705" s="20">
        <v>2</v>
      </c>
      <c r="F705" s="17" t="s">
        <v>120</v>
      </c>
      <c r="G705" s="17" t="s">
        <v>210</v>
      </c>
      <c r="H705" s="17" t="s">
        <v>211</v>
      </c>
      <c r="I705" s="17" t="s">
        <v>212</v>
      </c>
      <c r="J705" s="27" t="s">
        <v>37</v>
      </c>
      <c r="K705" s="29">
        <v>21086</v>
      </c>
      <c r="L705" s="31">
        <v>4189647.1099994294</v>
      </c>
      <c r="M705" s="31">
        <v>1821628.9599910611</v>
      </c>
      <c r="N705" s="31">
        <v>1431450.3900013587</v>
      </c>
      <c r="O705" s="34">
        <f t="shared" si="96"/>
        <v>0.43479293414554648</v>
      </c>
      <c r="P705" s="34">
        <f t="shared" si="97"/>
        <v>0.78580787934354257</v>
      </c>
      <c r="Q705" s="34">
        <f t="shared" si="98"/>
        <v>0.56520706585445346</v>
      </c>
      <c r="R705" s="46">
        <f t="shared" si="99"/>
        <v>67.886293749471619</v>
      </c>
    </row>
    <row r="706" spans="2:18" ht="12.75" customHeight="1" x14ac:dyDescent="0.25">
      <c r="B706" s="17" t="s">
        <v>0</v>
      </c>
      <c r="C706" s="44" t="s">
        <v>36</v>
      </c>
      <c r="D706" s="22" t="s">
        <v>2</v>
      </c>
      <c r="E706" s="20">
        <v>1</v>
      </c>
      <c r="F706" s="17" t="s">
        <v>120</v>
      </c>
      <c r="G706" s="17" t="s">
        <v>210</v>
      </c>
      <c r="H706" s="17" t="s">
        <v>211</v>
      </c>
      <c r="I706" s="17" t="s">
        <v>212</v>
      </c>
      <c r="J706" s="27" t="s">
        <v>37</v>
      </c>
      <c r="K706" s="29">
        <v>17357</v>
      </c>
      <c r="L706" s="31">
        <v>2937249.4200026654</v>
      </c>
      <c r="M706" s="31">
        <v>1465420.7899888309</v>
      </c>
      <c r="N706" s="31">
        <v>1150091.5999977463</v>
      </c>
      <c r="O706" s="34">
        <f t="shared" si="96"/>
        <v>0.4989092107770341</v>
      </c>
      <c r="P706" s="34">
        <f t="shared" si="97"/>
        <v>0.78482003794044164</v>
      </c>
      <c r="Q706" s="34">
        <f t="shared" si="98"/>
        <v>0.5010907892229659</v>
      </c>
      <c r="R706" s="46">
        <f t="shared" si="99"/>
        <v>66.260966756798197</v>
      </c>
    </row>
    <row r="707" spans="2:18" ht="12.75" customHeight="1" x14ac:dyDescent="0.25">
      <c r="B707" s="17" t="s">
        <v>0</v>
      </c>
      <c r="C707" s="44" t="s">
        <v>151</v>
      </c>
      <c r="D707" s="22" t="s">
        <v>2</v>
      </c>
      <c r="E707" s="20">
        <v>1</v>
      </c>
      <c r="F707" s="17" t="s">
        <v>120</v>
      </c>
      <c r="G707" s="17" t="s">
        <v>210</v>
      </c>
      <c r="H707" s="17" t="s">
        <v>211</v>
      </c>
      <c r="I707" s="17" t="s">
        <v>212</v>
      </c>
      <c r="J707" s="27" t="s">
        <v>152</v>
      </c>
      <c r="K707" s="29">
        <v>16120</v>
      </c>
      <c r="L707" s="31">
        <v>3505637.0099820797</v>
      </c>
      <c r="M707" s="31">
        <v>1452072.509999908</v>
      </c>
      <c r="N707" s="31">
        <v>1130845.5800059179</v>
      </c>
      <c r="O707" s="34">
        <f t="shared" si="96"/>
        <v>0.4142107428308246</v>
      </c>
      <c r="P707" s="34">
        <f t="shared" si="97"/>
        <v>0.77878037922912646</v>
      </c>
      <c r="Q707" s="34">
        <f t="shared" si="98"/>
        <v>0.5857892571691754</v>
      </c>
      <c r="R707" s="46">
        <f t="shared" si="99"/>
        <v>70.151710918481257</v>
      </c>
    </row>
    <row r="708" spans="2:18" ht="12.75" customHeight="1" x14ac:dyDescent="0.25">
      <c r="B708" s="17" t="s">
        <v>0</v>
      </c>
      <c r="C708" s="44" t="s">
        <v>137</v>
      </c>
      <c r="D708" s="22" t="s">
        <v>2</v>
      </c>
      <c r="E708" s="20">
        <v>1</v>
      </c>
      <c r="F708" s="17" t="s">
        <v>120</v>
      </c>
      <c r="G708" s="17" t="s">
        <v>210</v>
      </c>
      <c r="H708" s="17" t="s">
        <v>211</v>
      </c>
      <c r="I708" s="17" t="s">
        <v>212</v>
      </c>
      <c r="J708" s="27" t="s">
        <v>138</v>
      </c>
      <c r="K708" s="29">
        <v>11443</v>
      </c>
      <c r="L708" s="31">
        <v>2793738.3999999203</v>
      </c>
      <c r="M708" s="31">
        <v>1254579.7600119133</v>
      </c>
      <c r="N708" s="31">
        <v>978385.34999797517</v>
      </c>
      <c r="O708" s="34">
        <f t="shared" si="96"/>
        <v>0.44906844535334772</v>
      </c>
      <c r="P708" s="34">
        <f t="shared" si="97"/>
        <v>0.77985105545516265</v>
      </c>
      <c r="Q708" s="34">
        <f t="shared" si="98"/>
        <v>0.55093155464665222</v>
      </c>
      <c r="R708" s="46">
        <f t="shared" si="99"/>
        <v>85.500773398407333</v>
      </c>
    </row>
    <row r="709" spans="2:18" ht="12.75" customHeight="1" x14ac:dyDescent="0.25">
      <c r="B709" s="17" t="s">
        <v>0</v>
      </c>
      <c r="C709" s="44" t="s">
        <v>70</v>
      </c>
      <c r="D709" s="22" t="s">
        <v>9</v>
      </c>
      <c r="E709" s="20">
        <v>2</v>
      </c>
      <c r="F709" s="17" t="s">
        <v>120</v>
      </c>
      <c r="G709" s="17" t="s">
        <v>210</v>
      </c>
      <c r="H709" s="17" t="s">
        <v>211</v>
      </c>
      <c r="I709" s="17" t="s">
        <v>212</v>
      </c>
      <c r="J709" s="27" t="s">
        <v>71</v>
      </c>
      <c r="K709" s="29">
        <v>10270</v>
      </c>
      <c r="L709" s="31">
        <v>1817166.9800127228</v>
      </c>
      <c r="M709" s="31">
        <v>1148728.3600010939</v>
      </c>
      <c r="N709" s="31">
        <v>912882.66000111995</v>
      </c>
      <c r="O709" s="34">
        <f t="shared" si="96"/>
        <v>0.63215344139317964</v>
      </c>
      <c r="P709" s="34">
        <f t="shared" si="97"/>
        <v>0.79468975589690383</v>
      </c>
      <c r="Q709" s="34">
        <f t="shared" si="98"/>
        <v>0.36784655860682036</v>
      </c>
      <c r="R709" s="46">
        <f t="shared" si="99"/>
        <v>88.88828237596104</v>
      </c>
    </row>
    <row r="710" spans="2:18" ht="12.75" customHeight="1" x14ac:dyDescent="0.25">
      <c r="B710" s="17" t="s">
        <v>0</v>
      </c>
      <c r="C710" s="44" t="s">
        <v>62</v>
      </c>
      <c r="D710" s="22" t="s">
        <v>2</v>
      </c>
      <c r="E710" s="20">
        <v>1</v>
      </c>
      <c r="F710" s="17" t="s">
        <v>120</v>
      </c>
      <c r="G710" s="17" t="s">
        <v>210</v>
      </c>
      <c r="H710" s="17" t="s">
        <v>211</v>
      </c>
      <c r="I710" s="17" t="s">
        <v>212</v>
      </c>
      <c r="J710" s="27" t="s">
        <v>63</v>
      </c>
      <c r="K710" s="29">
        <v>10790</v>
      </c>
      <c r="L710" s="31">
        <v>2443596.5800058353</v>
      </c>
      <c r="M710" s="31">
        <v>1151655.189985083</v>
      </c>
      <c r="N710" s="31">
        <v>903452.80999893777</v>
      </c>
      <c r="O710" s="34">
        <f t="shared" si="96"/>
        <v>0.47129513906192028</v>
      </c>
      <c r="P710" s="34">
        <f t="shared" si="97"/>
        <v>0.78448203755382717</v>
      </c>
      <c r="Q710" s="34">
        <f t="shared" si="98"/>
        <v>0.52870486093807978</v>
      </c>
      <c r="R710" s="46">
        <f t="shared" si="99"/>
        <v>83.730566264961794</v>
      </c>
    </row>
    <row r="711" spans="2:18" ht="12.75" customHeight="1" x14ac:dyDescent="0.25">
      <c r="B711" s="17" t="s">
        <v>0</v>
      </c>
      <c r="C711" s="44" t="s">
        <v>135</v>
      </c>
      <c r="D711" s="22" t="s">
        <v>9</v>
      </c>
      <c r="E711" s="20">
        <v>2</v>
      </c>
      <c r="F711" s="17" t="s">
        <v>120</v>
      </c>
      <c r="G711" s="17" t="s">
        <v>210</v>
      </c>
      <c r="H711" s="17" t="s">
        <v>211</v>
      </c>
      <c r="I711" s="17" t="s">
        <v>212</v>
      </c>
      <c r="J711" s="27" t="s">
        <v>136</v>
      </c>
      <c r="K711" s="29">
        <v>12161</v>
      </c>
      <c r="L711" s="31">
        <v>2209351.969997189</v>
      </c>
      <c r="M711" s="31">
        <v>1069900.4099994679</v>
      </c>
      <c r="N711" s="31">
        <v>809700.67000290076</v>
      </c>
      <c r="O711" s="34">
        <f t="shared" si="96"/>
        <v>0.48425983027087766</v>
      </c>
      <c r="P711" s="34">
        <f t="shared" si="97"/>
        <v>0.75680003712056099</v>
      </c>
      <c r="Q711" s="34">
        <f t="shared" si="98"/>
        <v>0.5157401697291224</v>
      </c>
      <c r="R711" s="46">
        <f t="shared" si="99"/>
        <v>66.581750678636695</v>
      </c>
    </row>
    <row r="712" spans="2:18" ht="12.75" customHeight="1" x14ac:dyDescent="0.25">
      <c r="B712" s="17" t="s">
        <v>0</v>
      </c>
      <c r="C712" s="44" t="s">
        <v>103</v>
      </c>
      <c r="D712" s="22" t="s">
        <v>9</v>
      </c>
      <c r="E712" s="20">
        <v>2</v>
      </c>
      <c r="F712" s="17" t="s">
        <v>120</v>
      </c>
      <c r="G712" s="17" t="s">
        <v>210</v>
      </c>
      <c r="H712" s="17" t="s">
        <v>211</v>
      </c>
      <c r="I712" s="17" t="s">
        <v>212</v>
      </c>
      <c r="J712" s="27" t="s">
        <v>104</v>
      </c>
      <c r="K712" s="29">
        <v>16477</v>
      </c>
      <c r="L712" s="31">
        <v>1682165.2800015935</v>
      </c>
      <c r="M712" s="31">
        <v>992191.08999933419</v>
      </c>
      <c r="N712" s="31">
        <v>759127.38999894296</v>
      </c>
      <c r="O712" s="34">
        <f t="shared" si="96"/>
        <v>0.58982972826451052</v>
      </c>
      <c r="P712" s="34">
        <f t="shared" si="97"/>
        <v>0.76510200267919393</v>
      </c>
      <c r="Q712" s="34">
        <f t="shared" si="98"/>
        <v>0.41017027173548948</v>
      </c>
      <c r="R712" s="46">
        <f t="shared" si="99"/>
        <v>46.071942101046488</v>
      </c>
    </row>
    <row r="713" spans="2:18" ht="12.75" customHeight="1" x14ac:dyDescent="0.25">
      <c r="B713" s="17" t="s">
        <v>0</v>
      </c>
      <c r="C713" s="44" t="s">
        <v>44</v>
      </c>
      <c r="D713" s="22" t="s">
        <v>2</v>
      </c>
      <c r="E713" s="20">
        <v>1</v>
      </c>
      <c r="F713" s="17" t="s">
        <v>120</v>
      </c>
      <c r="G713" s="17" t="s">
        <v>210</v>
      </c>
      <c r="H713" s="17" t="s">
        <v>211</v>
      </c>
      <c r="I713" s="17" t="s">
        <v>212</v>
      </c>
      <c r="J713" s="27" t="s">
        <v>45</v>
      </c>
      <c r="K713" s="29">
        <v>14397</v>
      </c>
      <c r="L713" s="31">
        <v>2054876.259999725</v>
      </c>
      <c r="M713" s="31">
        <v>935070.84000147006</v>
      </c>
      <c r="N713" s="31">
        <v>725940.29000192881</v>
      </c>
      <c r="O713" s="34">
        <f t="shared" si="96"/>
        <v>0.4550497069841058</v>
      </c>
      <c r="P713" s="34">
        <f t="shared" si="97"/>
        <v>0.77634790750269522</v>
      </c>
      <c r="Q713" s="34">
        <f t="shared" si="98"/>
        <v>0.54495029301589426</v>
      </c>
      <c r="R713" s="46">
        <f t="shared" si="99"/>
        <v>50.423024935884477</v>
      </c>
    </row>
    <row r="714" spans="2:18" ht="12.75" customHeight="1" x14ac:dyDescent="0.25">
      <c r="B714" s="17" t="s">
        <v>0</v>
      </c>
      <c r="C714" s="44" t="s">
        <v>127</v>
      </c>
      <c r="D714" s="22" t="s">
        <v>2</v>
      </c>
      <c r="E714" s="20">
        <v>1</v>
      </c>
      <c r="F714" s="17" t="s">
        <v>120</v>
      </c>
      <c r="G714" s="17" t="s">
        <v>210</v>
      </c>
      <c r="H714" s="17" t="s">
        <v>211</v>
      </c>
      <c r="I714" s="17" t="s">
        <v>212</v>
      </c>
      <c r="J714" s="27" t="s">
        <v>128</v>
      </c>
      <c r="K714" s="29">
        <v>11641</v>
      </c>
      <c r="L714" s="31">
        <v>1907157.20000186</v>
      </c>
      <c r="M714" s="31">
        <v>875730.85999793687</v>
      </c>
      <c r="N714" s="31">
        <v>666252.69999756792</v>
      </c>
      <c r="O714" s="34">
        <f t="shared" si="96"/>
        <v>0.45918126727942654</v>
      </c>
      <c r="P714" s="34">
        <f t="shared" si="97"/>
        <v>0.76079618799677506</v>
      </c>
      <c r="Q714" s="34">
        <f t="shared" si="98"/>
        <v>0.54081873272057346</v>
      </c>
      <c r="R714" s="46">
        <f t="shared" si="99"/>
        <v>57.233287518045522</v>
      </c>
    </row>
    <row r="715" spans="2:18" ht="12.75" customHeight="1" x14ac:dyDescent="0.25">
      <c r="B715" s="17" t="s">
        <v>0</v>
      </c>
      <c r="C715" s="44" t="s">
        <v>135</v>
      </c>
      <c r="D715" s="22" t="s">
        <v>2</v>
      </c>
      <c r="E715" s="20">
        <v>1</v>
      </c>
      <c r="F715" s="17" t="s">
        <v>120</v>
      </c>
      <c r="G715" s="17" t="s">
        <v>210</v>
      </c>
      <c r="H715" s="17" t="s">
        <v>211</v>
      </c>
      <c r="I715" s="17" t="s">
        <v>212</v>
      </c>
      <c r="J715" s="27" t="s">
        <v>136</v>
      </c>
      <c r="K715" s="29">
        <v>9179</v>
      </c>
      <c r="L715" s="31">
        <v>1793673.8600008511</v>
      </c>
      <c r="M715" s="31">
        <v>832034.05999831436</v>
      </c>
      <c r="N715" s="31">
        <v>645498.78000088991</v>
      </c>
      <c r="O715" s="34">
        <f t="shared" si="96"/>
        <v>0.46387143089542465</v>
      </c>
      <c r="P715" s="34">
        <f t="shared" si="97"/>
        <v>0.77580812016541445</v>
      </c>
      <c r="Q715" s="34">
        <f t="shared" si="98"/>
        <v>0.5361285691045754</v>
      </c>
      <c r="R715" s="46">
        <f t="shared" si="99"/>
        <v>70.323431746474554</v>
      </c>
    </row>
    <row r="716" spans="2:18" ht="12.75" customHeight="1" x14ac:dyDescent="0.25">
      <c r="B716" s="17" t="s">
        <v>0</v>
      </c>
      <c r="C716" s="44" t="s">
        <v>137</v>
      </c>
      <c r="D716" s="22" t="s">
        <v>9</v>
      </c>
      <c r="E716" s="20">
        <v>2</v>
      </c>
      <c r="F716" s="17" t="s">
        <v>120</v>
      </c>
      <c r="G716" s="17" t="s">
        <v>210</v>
      </c>
      <c r="H716" s="17" t="s">
        <v>211</v>
      </c>
      <c r="I716" s="17" t="s">
        <v>212</v>
      </c>
      <c r="J716" s="27" t="s">
        <v>138</v>
      </c>
      <c r="K716" s="29">
        <v>8399</v>
      </c>
      <c r="L716" s="31">
        <v>1777659.3999967601</v>
      </c>
      <c r="M716" s="31">
        <v>830557.76999759884</v>
      </c>
      <c r="N716" s="31">
        <v>623311.24999933003</v>
      </c>
      <c r="O716" s="34">
        <f t="shared" si="96"/>
        <v>0.46721985662670396</v>
      </c>
      <c r="P716" s="34">
        <f t="shared" si="97"/>
        <v>0.75047308268650836</v>
      </c>
      <c r="Q716" s="34">
        <f t="shared" si="98"/>
        <v>0.53278014337329604</v>
      </c>
      <c r="R716" s="46">
        <f t="shared" si="99"/>
        <v>74.212555065999524</v>
      </c>
    </row>
    <row r="717" spans="2:18" ht="12.75" customHeight="1" x14ac:dyDescent="0.25">
      <c r="B717" s="17" t="s">
        <v>0</v>
      </c>
      <c r="C717" s="44" t="s">
        <v>153</v>
      </c>
      <c r="D717" s="22" t="s">
        <v>2</v>
      </c>
      <c r="E717" s="20">
        <v>1</v>
      </c>
      <c r="F717" s="17" t="s">
        <v>120</v>
      </c>
      <c r="G717" s="17" t="s">
        <v>210</v>
      </c>
      <c r="H717" s="17" t="s">
        <v>211</v>
      </c>
      <c r="I717" s="17" t="s">
        <v>212</v>
      </c>
      <c r="J717" s="27" t="s">
        <v>154</v>
      </c>
      <c r="K717" s="29">
        <v>6890</v>
      </c>
      <c r="L717" s="31">
        <v>1281904</v>
      </c>
      <c r="M717" s="31">
        <v>722884.11000517209</v>
      </c>
      <c r="N717" s="31">
        <v>566884.89000203996</v>
      </c>
      <c r="O717" s="34">
        <f t="shared" si="96"/>
        <v>0.5639143882889609</v>
      </c>
      <c r="P717" s="34">
        <f t="shared" si="97"/>
        <v>0.78419885311628168</v>
      </c>
      <c r="Q717" s="34">
        <f t="shared" si="98"/>
        <v>0.4360856117110391</v>
      </c>
      <c r="R717" s="46">
        <f t="shared" si="99"/>
        <v>82.276471698409281</v>
      </c>
    </row>
    <row r="718" spans="2:18" ht="12.75" customHeight="1" x14ac:dyDescent="0.25">
      <c r="B718" s="17" t="s">
        <v>0</v>
      </c>
      <c r="C718" s="44" t="s">
        <v>28</v>
      </c>
      <c r="D718" s="22" t="s">
        <v>2</v>
      </c>
      <c r="E718" s="20">
        <v>1</v>
      </c>
      <c r="F718" s="17" t="s">
        <v>120</v>
      </c>
      <c r="G718" s="17" t="s">
        <v>210</v>
      </c>
      <c r="H718" s="17" t="s">
        <v>211</v>
      </c>
      <c r="I718" s="17" t="s">
        <v>212</v>
      </c>
      <c r="J718" s="27" t="s">
        <v>29</v>
      </c>
      <c r="K718" s="29">
        <v>7039</v>
      </c>
      <c r="L718" s="31">
        <v>1525290.12000047</v>
      </c>
      <c r="M718" s="31">
        <v>717241.63000372692</v>
      </c>
      <c r="N718" s="31">
        <v>557986.04999619897</v>
      </c>
      <c r="O718" s="34">
        <f t="shared" si="96"/>
        <v>0.47023292198569144</v>
      </c>
      <c r="P718" s="34">
        <f t="shared" si="97"/>
        <v>0.77796104778984954</v>
      </c>
      <c r="Q718" s="34">
        <f t="shared" si="98"/>
        <v>0.52976707801430856</v>
      </c>
      <c r="R718" s="46">
        <f t="shared" si="99"/>
        <v>79.270642136127151</v>
      </c>
    </row>
    <row r="719" spans="2:18" ht="12.75" customHeight="1" x14ac:dyDescent="0.25">
      <c r="B719" s="17" t="s">
        <v>0</v>
      </c>
      <c r="C719" s="44" t="s">
        <v>70</v>
      </c>
      <c r="D719" s="22" t="s">
        <v>2</v>
      </c>
      <c r="E719" s="20">
        <v>1</v>
      </c>
      <c r="F719" s="17" t="s">
        <v>120</v>
      </c>
      <c r="G719" s="17" t="s">
        <v>210</v>
      </c>
      <c r="H719" s="17" t="s">
        <v>211</v>
      </c>
      <c r="I719" s="17" t="s">
        <v>212</v>
      </c>
      <c r="J719" s="27" t="s">
        <v>71</v>
      </c>
      <c r="K719" s="29">
        <v>7020</v>
      </c>
      <c r="L719" s="31">
        <v>1295644.8800014041</v>
      </c>
      <c r="M719" s="31">
        <v>587645.51000169397</v>
      </c>
      <c r="N719" s="31">
        <v>456869.12999948207</v>
      </c>
      <c r="O719" s="34">
        <f t="shared" si="96"/>
        <v>0.45355445699060465</v>
      </c>
      <c r="P719" s="34">
        <f t="shared" si="97"/>
        <v>0.77745702506629388</v>
      </c>
      <c r="Q719" s="34">
        <f t="shared" si="98"/>
        <v>0.5464455430093953</v>
      </c>
      <c r="R719" s="46">
        <f t="shared" si="99"/>
        <v>65.081072649498864</v>
      </c>
    </row>
    <row r="720" spans="2:18" ht="12.75" customHeight="1" x14ac:dyDescent="0.25">
      <c r="B720" s="17" t="s">
        <v>0</v>
      </c>
      <c r="C720" s="44" t="s">
        <v>16</v>
      </c>
      <c r="D720" s="22" t="s">
        <v>2</v>
      </c>
      <c r="E720" s="20">
        <v>1</v>
      </c>
      <c r="F720" s="17" t="s">
        <v>120</v>
      </c>
      <c r="G720" s="17" t="s">
        <v>210</v>
      </c>
      <c r="H720" s="17" t="s">
        <v>211</v>
      </c>
      <c r="I720" s="17" t="s">
        <v>212</v>
      </c>
      <c r="J720" s="27" t="s">
        <v>17</v>
      </c>
      <c r="K720" s="29">
        <v>5172</v>
      </c>
      <c r="L720" s="31">
        <v>1392570.7000019001</v>
      </c>
      <c r="M720" s="31">
        <v>513303.77000136999</v>
      </c>
      <c r="N720" s="31">
        <v>400720.90000181703</v>
      </c>
      <c r="O720" s="34">
        <f t="shared" si="96"/>
        <v>0.36860158697915274</v>
      </c>
      <c r="P720" s="34">
        <f t="shared" si="97"/>
        <v>0.7806700893717331</v>
      </c>
      <c r="Q720" s="34">
        <f t="shared" si="98"/>
        <v>0.6313984130208472</v>
      </c>
      <c r="R720" s="46">
        <f t="shared" si="99"/>
        <v>77.478905646136312</v>
      </c>
    </row>
    <row r="721" spans="2:18" ht="12.75" customHeight="1" x14ac:dyDescent="0.25">
      <c r="B721" s="17" t="s">
        <v>0</v>
      </c>
      <c r="C721" s="44" t="s">
        <v>170</v>
      </c>
      <c r="D721" s="22" t="s">
        <v>9</v>
      </c>
      <c r="E721" s="20">
        <v>2</v>
      </c>
      <c r="F721" s="17" t="s">
        <v>120</v>
      </c>
      <c r="G721" s="17" t="s">
        <v>210</v>
      </c>
      <c r="H721" s="17" t="s">
        <v>211</v>
      </c>
      <c r="I721" s="17" t="s">
        <v>212</v>
      </c>
      <c r="J721" s="27" t="s">
        <v>171</v>
      </c>
      <c r="K721" s="29">
        <v>2719</v>
      </c>
      <c r="L721" s="31">
        <v>426831.74000435998</v>
      </c>
      <c r="M721" s="31">
        <v>407414.74001001997</v>
      </c>
      <c r="N721" s="31">
        <v>328251.98999505804</v>
      </c>
      <c r="O721" s="34">
        <f t="shared" si="96"/>
        <v>0.95450900630271385</v>
      </c>
      <c r="P721" s="34">
        <f t="shared" si="97"/>
        <v>0.80569492892423333</v>
      </c>
      <c r="Q721" s="34">
        <f t="shared" si="98"/>
        <v>4.5490993697286153E-2</v>
      </c>
      <c r="R721" s="46">
        <f t="shared" si="99"/>
        <v>120.72526296250756</v>
      </c>
    </row>
    <row r="722" spans="2:18" ht="12.75" customHeight="1" x14ac:dyDescent="0.25">
      <c r="B722" s="17" t="s">
        <v>0</v>
      </c>
      <c r="C722" s="44" t="s">
        <v>110</v>
      </c>
      <c r="D722" s="22" t="s">
        <v>2</v>
      </c>
      <c r="E722" s="20">
        <v>1</v>
      </c>
      <c r="F722" s="17" t="s">
        <v>120</v>
      </c>
      <c r="G722" s="17" t="s">
        <v>210</v>
      </c>
      <c r="H722" s="17" t="s">
        <v>211</v>
      </c>
      <c r="I722" s="17" t="s">
        <v>212</v>
      </c>
      <c r="J722" s="27" t="s">
        <v>111</v>
      </c>
      <c r="K722" s="29">
        <v>4776</v>
      </c>
      <c r="L722" s="31">
        <v>1151477.06</v>
      </c>
      <c r="M722" s="31">
        <v>401740.19999743701</v>
      </c>
      <c r="N722" s="31">
        <v>317868.50999861001</v>
      </c>
      <c r="O722" s="34">
        <f t="shared" si="96"/>
        <v>0.34889118850308404</v>
      </c>
      <c r="P722" s="34">
        <f t="shared" si="97"/>
        <v>0.7912290330931232</v>
      </c>
      <c r="Q722" s="34">
        <f t="shared" si="98"/>
        <v>0.65110881149691591</v>
      </c>
      <c r="R722" s="46">
        <f t="shared" si="99"/>
        <v>66.555383165538103</v>
      </c>
    </row>
    <row r="723" spans="2:18" ht="12.75" customHeight="1" x14ac:dyDescent="0.25">
      <c r="B723" s="17" t="s">
        <v>0</v>
      </c>
      <c r="C723" s="44" t="s">
        <v>28</v>
      </c>
      <c r="D723" s="22" t="s">
        <v>9</v>
      </c>
      <c r="E723" s="20">
        <v>2</v>
      </c>
      <c r="F723" s="17" t="s">
        <v>120</v>
      </c>
      <c r="G723" s="17" t="s">
        <v>210</v>
      </c>
      <c r="H723" s="17" t="s">
        <v>211</v>
      </c>
      <c r="I723" s="17" t="s">
        <v>212</v>
      </c>
      <c r="J723" s="27" t="s">
        <v>29</v>
      </c>
      <c r="K723" s="29">
        <v>4052</v>
      </c>
      <c r="L723" s="31">
        <v>804856.76999721397</v>
      </c>
      <c r="M723" s="31">
        <v>409301.50000011805</v>
      </c>
      <c r="N723" s="31">
        <v>315203.46999996703</v>
      </c>
      <c r="O723" s="34">
        <f t="shared" si="96"/>
        <v>0.50853955046130117</v>
      </c>
      <c r="P723" s="34">
        <f t="shared" si="97"/>
        <v>0.77010094026011666</v>
      </c>
      <c r="Q723" s="34">
        <f t="shared" si="98"/>
        <v>0.49146044953869883</v>
      </c>
      <c r="R723" s="46">
        <f t="shared" si="99"/>
        <v>77.789602665342301</v>
      </c>
    </row>
    <row r="724" spans="2:18" ht="12.75" customHeight="1" x14ac:dyDescent="0.25">
      <c r="B724" s="17" t="s">
        <v>0</v>
      </c>
      <c r="C724" s="44" t="s">
        <v>68</v>
      </c>
      <c r="D724" s="22" t="s">
        <v>9</v>
      </c>
      <c r="E724" s="20">
        <v>2</v>
      </c>
      <c r="F724" s="17" t="s">
        <v>120</v>
      </c>
      <c r="G724" s="17" t="s">
        <v>210</v>
      </c>
      <c r="H724" s="17" t="s">
        <v>211</v>
      </c>
      <c r="I724" s="17" t="s">
        <v>212</v>
      </c>
      <c r="J724" s="27" t="s">
        <v>69</v>
      </c>
      <c r="K724" s="29">
        <v>3855</v>
      </c>
      <c r="L724" s="31">
        <v>745176.93000010005</v>
      </c>
      <c r="M724" s="31">
        <v>360484.10000389401</v>
      </c>
      <c r="N724" s="31">
        <v>283899.31999727199</v>
      </c>
      <c r="O724" s="34">
        <f t="shared" si="96"/>
        <v>0.4837563879008514</v>
      </c>
      <c r="P724" s="34">
        <f t="shared" si="97"/>
        <v>0.78755018596993676</v>
      </c>
      <c r="Q724" s="34">
        <f t="shared" si="98"/>
        <v>0.5162436120991486</v>
      </c>
      <c r="R724" s="46">
        <f t="shared" si="99"/>
        <v>73.644440985025156</v>
      </c>
    </row>
    <row r="725" spans="2:18" ht="12.75" customHeight="1" x14ac:dyDescent="0.25">
      <c r="B725" s="17" t="s">
        <v>0</v>
      </c>
      <c r="C725" s="44" t="s">
        <v>62</v>
      </c>
      <c r="D725" s="22" t="s">
        <v>9</v>
      </c>
      <c r="E725" s="20">
        <v>2</v>
      </c>
      <c r="F725" s="17" t="s">
        <v>120</v>
      </c>
      <c r="G725" s="17" t="s">
        <v>210</v>
      </c>
      <c r="H725" s="17" t="s">
        <v>211</v>
      </c>
      <c r="I725" s="17" t="s">
        <v>212</v>
      </c>
      <c r="J725" s="27" t="s">
        <v>63</v>
      </c>
      <c r="K725" s="29">
        <v>3394</v>
      </c>
      <c r="L725" s="31">
        <v>685832.13999922003</v>
      </c>
      <c r="M725" s="31">
        <v>339280.57999847108</v>
      </c>
      <c r="N725" s="31">
        <v>260690.1199996841</v>
      </c>
      <c r="O725" s="34">
        <f t="shared" si="96"/>
        <v>0.49469915480901339</v>
      </c>
      <c r="P725" s="34">
        <f t="shared" si="97"/>
        <v>0.76836145470176587</v>
      </c>
      <c r="Q725" s="34">
        <f t="shared" si="98"/>
        <v>0.50530084519098661</v>
      </c>
      <c r="R725" s="46">
        <f t="shared" si="99"/>
        <v>76.809110194367733</v>
      </c>
    </row>
    <row r="726" spans="2:18" ht="12.75" customHeight="1" x14ac:dyDescent="0.25">
      <c r="B726" s="17" t="s">
        <v>0</v>
      </c>
      <c r="C726" s="44" t="s">
        <v>110</v>
      </c>
      <c r="D726" s="22" t="s">
        <v>9</v>
      </c>
      <c r="E726" s="20">
        <v>2</v>
      </c>
      <c r="F726" s="17" t="s">
        <v>120</v>
      </c>
      <c r="G726" s="17" t="s">
        <v>210</v>
      </c>
      <c r="H726" s="17" t="s">
        <v>211</v>
      </c>
      <c r="I726" s="17" t="s">
        <v>212</v>
      </c>
      <c r="J726" s="27" t="s">
        <v>111</v>
      </c>
      <c r="K726" s="29">
        <v>2589</v>
      </c>
      <c r="L726" s="31">
        <v>369112.12000108702</v>
      </c>
      <c r="M726" s="31">
        <v>320545.93000054691</v>
      </c>
      <c r="N726" s="31">
        <v>257394.570001165</v>
      </c>
      <c r="O726" s="34">
        <f t="shared" si="96"/>
        <v>0.86842428799033455</v>
      </c>
      <c r="P726" s="34">
        <f t="shared" si="97"/>
        <v>0.8029881084458812</v>
      </c>
      <c r="Q726" s="34">
        <f t="shared" si="98"/>
        <v>0.13157571200966545</v>
      </c>
      <c r="R726" s="46">
        <f t="shared" si="99"/>
        <v>99.4185283897895</v>
      </c>
    </row>
    <row r="727" spans="2:18" ht="12.75" customHeight="1" x14ac:dyDescent="0.25">
      <c r="B727" s="17" t="s">
        <v>0</v>
      </c>
      <c r="C727" s="44" t="s">
        <v>18</v>
      </c>
      <c r="D727" s="22" t="s">
        <v>9</v>
      </c>
      <c r="E727" s="20">
        <v>2</v>
      </c>
      <c r="F727" s="17" t="s">
        <v>120</v>
      </c>
      <c r="G727" s="17" t="s">
        <v>210</v>
      </c>
      <c r="H727" s="17" t="s">
        <v>211</v>
      </c>
      <c r="I727" s="17" t="s">
        <v>212</v>
      </c>
      <c r="J727" s="27" t="s">
        <v>19</v>
      </c>
      <c r="K727" s="29">
        <v>3037</v>
      </c>
      <c r="L727" s="31">
        <v>508350</v>
      </c>
      <c r="M727" s="31">
        <v>315611.16999741999</v>
      </c>
      <c r="N727" s="31">
        <v>248273.80000010403</v>
      </c>
      <c r="O727" s="34">
        <f t="shared" ref="O727:O758" si="100">IFERROR(M727/L727,0)</f>
        <v>0.6208540769104357</v>
      </c>
      <c r="P727" s="34">
        <f t="shared" ref="P727:P758" si="101">IFERROR(N727/M727,0)</f>
        <v>0.78664452846245458</v>
      </c>
      <c r="Q727" s="34">
        <f t="shared" ref="Q727:Q758" si="102">IFERROR(1-(M727/L727),0)</f>
        <v>0.3791459230895643</v>
      </c>
      <c r="R727" s="46">
        <f t="shared" ref="R727:R758" si="103">IFERROR(N727/K727,0)</f>
        <v>81.749687191341465</v>
      </c>
    </row>
    <row r="728" spans="2:18" ht="12.75" customHeight="1" x14ac:dyDescent="0.25">
      <c r="B728" s="17" t="s">
        <v>0</v>
      </c>
      <c r="C728" s="44" t="s">
        <v>16</v>
      </c>
      <c r="D728" s="22" t="s">
        <v>9</v>
      </c>
      <c r="E728" s="20">
        <v>2</v>
      </c>
      <c r="F728" s="17" t="s">
        <v>120</v>
      </c>
      <c r="G728" s="17" t="s">
        <v>210</v>
      </c>
      <c r="H728" s="17" t="s">
        <v>211</v>
      </c>
      <c r="I728" s="17" t="s">
        <v>212</v>
      </c>
      <c r="J728" s="27" t="s">
        <v>17</v>
      </c>
      <c r="K728" s="29">
        <v>2791</v>
      </c>
      <c r="L728" s="31">
        <v>559025.89999984007</v>
      </c>
      <c r="M728" s="31">
        <v>283175.11000659398</v>
      </c>
      <c r="N728" s="31">
        <v>223490.870000289</v>
      </c>
      <c r="O728" s="34">
        <f t="shared" si="100"/>
        <v>0.50655096661295118</v>
      </c>
      <c r="P728" s="34">
        <f t="shared" si="101"/>
        <v>0.78923204089188781</v>
      </c>
      <c r="Q728" s="34">
        <f t="shared" si="102"/>
        <v>0.49344903338704882</v>
      </c>
      <c r="R728" s="46">
        <f t="shared" si="103"/>
        <v>80.075553565134001</v>
      </c>
    </row>
    <row r="729" spans="2:18" ht="12.75" customHeight="1" x14ac:dyDescent="0.25">
      <c r="B729" s="17" t="s">
        <v>0</v>
      </c>
      <c r="C729" s="44" t="s">
        <v>103</v>
      </c>
      <c r="D729" s="22" t="s">
        <v>2</v>
      </c>
      <c r="E729" s="20">
        <v>1</v>
      </c>
      <c r="F729" s="17" t="s">
        <v>120</v>
      </c>
      <c r="G729" s="17" t="s">
        <v>210</v>
      </c>
      <c r="H729" s="17" t="s">
        <v>211</v>
      </c>
      <c r="I729" s="17" t="s">
        <v>212</v>
      </c>
      <c r="J729" s="27" t="s">
        <v>104</v>
      </c>
      <c r="K729" s="29">
        <v>4307</v>
      </c>
      <c r="L729" s="31">
        <v>520196.10999967001</v>
      </c>
      <c r="M729" s="31">
        <v>260512.87999973999</v>
      </c>
      <c r="N729" s="31">
        <v>200578.12000029805</v>
      </c>
      <c r="O729" s="34">
        <f t="shared" si="100"/>
        <v>0.50079743964234036</v>
      </c>
      <c r="P729" s="34">
        <f t="shared" si="101"/>
        <v>0.76993552104025809</v>
      </c>
      <c r="Q729" s="34">
        <f t="shared" si="102"/>
        <v>0.49920256035765964</v>
      </c>
      <c r="R729" s="46">
        <f t="shared" si="103"/>
        <v>46.570262363663353</v>
      </c>
    </row>
    <row r="730" spans="2:18" ht="12.75" customHeight="1" x14ac:dyDescent="0.25">
      <c r="B730" s="17" t="s">
        <v>0</v>
      </c>
      <c r="C730" s="44" t="s">
        <v>74</v>
      </c>
      <c r="D730" s="22" t="s">
        <v>9</v>
      </c>
      <c r="E730" s="20">
        <v>2</v>
      </c>
      <c r="F730" s="17" t="s">
        <v>120</v>
      </c>
      <c r="G730" s="17" t="s">
        <v>210</v>
      </c>
      <c r="H730" s="17" t="s">
        <v>211</v>
      </c>
      <c r="I730" s="17" t="s">
        <v>212</v>
      </c>
      <c r="J730" s="27" t="s">
        <v>75</v>
      </c>
      <c r="K730" s="29">
        <v>2163</v>
      </c>
      <c r="L730" s="31">
        <v>302119.88999920001</v>
      </c>
      <c r="M730" s="31">
        <v>228542.66999829098</v>
      </c>
      <c r="N730" s="31">
        <v>183044.09999953699</v>
      </c>
      <c r="O730" s="34">
        <f t="shared" si="100"/>
        <v>0.75646350195247369</v>
      </c>
      <c r="P730" s="34">
        <f t="shared" si="101"/>
        <v>0.80091870809466692</v>
      </c>
      <c r="Q730" s="34">
        <f t="shared" si="102"/>
        <v>0.24353649804752631</v>
      </c>
      <c r="R730" s="46">
        <f t="shared" si="103"/>
        <v>84.62510402197735</v>
      </c>
    </row>
    <row r="731" spans="2:18" ht="12.75" customHeight="1" x14ac:dyDescent="0.25">
      <c r="B731" s="17" t="s">
        <v>0</v>
      </c>
      <c r="C731" s="44" t="s">
        <v>24</v>
      </c>
      <c r="D731" s="22" t="s">
        <v>2</v>
      </c>
      <c r="E731" s="20">
        <v>1</v>
      </c>
      <c r="F731" s="17" t="s">
        <v>120</v>
      </c>
      <c r="G731" s="17" t="s">
        <v>210</v>
      </c>
      <c r="H731" s="17" t="s">
        <v>211</v>
      </c>
      <c r="I731" s="17" t="s">
        <v>212</v>
      </c>
      <c r="J731" s="27" t="s">
        <v>25</v>
      </c>
      <c r="K731" s="29">
        <v>2272</v>
      </c>
      <c r="L731" s="31">
        <v>503463.50000141008</v>
      </c>
      <c r="M731" s="31">
        <v>222718.15999819702</v>
      </c>
      <c r="N731" s="31">
        <v>175023.819999456</v>
      </c>
      <c r="O731" s="34">
        <f t="shared" si="100"/>
        <v>0.44237200908819257</v>
      </c>
      <c r="P731" s="34">
        <f t="shared" si="101"/>
        <v>0.7858533852869154</v>
      </c>
      <c r="Q731" s="34">
        <f t="shared" si="102"/>
        <v>0.55762799091180737</v>
      </c>
      <c r="R731" s="46">
        <f t="shared" si="103"/>
        <v>77.035132042014084</v>
      </c>
    </row>
    <row r="732" spans="2:18" ht="12.75" customHeight="1" x14ac:dyDescent="0.25">
      <c r="B732" s="17" t="s">
        <v>0</v>
      </c>
      <c r="C732" s="44" t="s">
        <v>24</v>
      </c>
      <c r="D732" s="22" t="s">
        <v>9</v>
      </c>
      <c r="E732" s="20">
        <v>2</v>
      </c>
      <c r="F732" s="17" t="s">
        <v>120</v>
      </c>
      <c r="G732" s="17" t="s">
        <v>210</v>
      </c>
      <c r="H732" s="17" t="s">
        <v>211</v>
      </c>
      <c r="I732" s="17" t="s">
        <v>212</v>
      </c>
      <c r="J732" s="27" t="s">
        <v>25</v>
      </c>
      <c r="K732" s="29">
        <v>2119</v>
      </c>
      <c r="L732" s="31">
        <v>499270.13000682008</v>
      </c>
      <c r="M732" s="31">
        <v>210829.57999645502</v>
      </c>
      <c r="N732" s="31">
        <v>165139.339999483</v>
      </c>
      <c r="O732" s="34">
        <f t="shared" si="100"/>
        <v>0.42227557253139714</v>
      </c>
      <c r="P732" s="34">
        <f t="shared" si="101"/>
        <v>0.78328354115328469</v>
      </c>
      <c r="Q732" s="34">
        <f t="shared" si="102"/>
        <v>0.57772442746860286</v>
      </c>
      <c r="R732" s="46">
        <f t="shared" si="103"/>
        <v>77.932675790223215</v>
      </c>
    </row>
    <row r="733" spans="2:18" ht="12.75" customHeight="1" x14ac:dyDescent="0.25">
      <c r="B733" s="17" t="s">
        <v>0</v>
      </c>
      <c r="C733" s="44" t="s">
        <v>166</v>
      </c>
      <c r="D733" s="22" t="s">
        <v>2</v>
      </c>
      <c r="E733" s="20">
        <v>1</v>
      </c>
      <c r="F733" s="17" t="s">
        <v>120</v>
      </c>
      <c r="G733" s="17" t="s">
        <v>210</v>
      </c>
      <c r="H733" s="17" t="s">
        <v>211</v>
      </c>
      <c r="I733" s="17" t="s">
        <v>212</v>
      </c>
      <c r="J733" s="27" t="s">
        <v>167</v>
      </c>
      <c r="K733" s="29">
        <v>1827</v>
      </c>
      <c r="L733" s="31">
        <v>189140</v>
      </c>
      <c r="M733" s="31">
        <v>157159.46999962899</v>
      </c>
      <c r="N733" s="31">
        <v>113774.59999963202</v>
      </c>
      <c r="O733" s="34">
        <f t="shared" si="100"/>
        <v>0.83091609389673782</v>
      </c>
      <c r="P733" s="34">
        <f t="shared" si="101"/>
        <v>0.72394364781136389</v>
      </c>
      <c r="Q733" s="34">
        <f t="shared" si="102"/>
        <v>0.16908390610326218</v>
      </c>
      <c r="R733" s="46">
        <f t="shared" si="103"/>
        <v>62.274001094489336</v>
      </c>
    </row>
    <row r="734" spans="2:18" ht="12.75" customHeight="1" x14ac:dyDescent="0.25">
      <c r="B734" s="17" t="s">
        <v>0</v>
      </c>
      <c r="C734" s="44" t="s">
        <v>145</v>
      </c>
      <c r="D734" s="22" t="s">
        <v>2</v>
      </c>
      <c r="E734" s="20">
        <v>1</v>
      </c>
      <c r="F734" s="17" t="s">
        <v>120</v>
      </c>
      <c r="G734" s="17" t="s">
        <v>210</v>
      </c>
      <c r="H734" s="17" t="s">
        <v>211</v>
      </c>
      <c r="I734" s="17" t="s">
        <v>212</v>
      </c>
      <c r="J734" s="27" t="s">
        <v>146</v>
      </c>
      <c r="K734" s="29">
        <v>2957</v>
      </c>
      <c r="L734" s="31">
        <v>345944.92999999993</v>
      </c>
      <c r="M734" s="31">
        <v>157717.21000252198</v>
      </c>
      <c r="N734" s="31">
        <v>112876.01000129301</v>
      </c>
      <c r="O734" s="34">
        <f t="shared" si="100"/>
        <v>0.45590264902139777</v>
      </c>
      <c r="P734" s="34">
        <f t="shared" si="101"/>
        <v>0.71568606875234508</v>
      </c>
      <c r="Q734" s="34">
        <f t="shared" si="102"/>
        <v>0.54409735097860223</v>
      </c>
      <c r="R734" s="46">
        <f t="shared" si="103"/>
        <v>38.172475482344609</v>
      </c>
    </row>
    <row r="735" spans="2:18" ht="12.75" customHeight="1" x14ac:dyDescent="0.25">
      <c r="B735" s="17" t="s">
        <v>0</v>
      </c>
      <c r="C735" s="44" t="s">
        <v>58</v>
      </c>
      <c r="D735" s="22" t="s">
        <v>9</v>
      </c>
      <c r="E735" s="20">
        <v>2</v>
      </c>
      <c r="F735" s="17" t="s">
        <v>120</v>
      </c>
      <c r="G735" s="17" t="s">
        <v>210</v>
      </c>
      <c r="H735" s="17" t="s">
        <v>211</v>
      </c>
      <c r="I735" s="17" t="s">
        <v>212</v>
      </c>
      <c r="J735" s="27" t="s">
        <v>59</v>
      </c>
      <c r="K735" s="29">
        <v>1848</v>
      </c>
      <c r="L735" s="31">
        <v>300992.94999963598</v>
      </c>
      <c r="M735" s="31">
        <v>140693.35999999801</v>
      </c>
      <c r="N735" s="31">
        <v>108873.390000513</v>
      </c>
      <c r="O735" s="34">
        <f t="shared" si="100"/>
        <v>0.46743074879384439</v>
      </c>
      <c r="P735" s="34">
        <f t="shared" si="101"/>
        <v>0.77383460030035922</v>
      </c>
      <c r="Q735" s="34">
        <f t="shared" si="102"/>
        <v>0.53256925120615561</v>
      </c>
      <c r="R735" s="46">
        <f t="shared" si="103"/>
        <v>58.914172078199677</v>
      </c>
    </row>
    <row r="736" spans="2:18" ht="12.75" customHeight="1" x14ac:dyDescent="0.25">
      <c r="B736" s="17" t="s">
        <v>0</v>
      </c>
      <c r="C736" s="44" t="s">
        <v>180</v>
      </c>
      <c r="D736" s="22" t="s">
        <v>9</v>
      </c>
      <c r="E736" s="20">
        <v>2</v>
      </c>
      <c r="F736" s="17" t="s">
        <v>120</v>
      </c>
      <c r="G736" s="17" t="s">
        <v>210</v>
      </c>
      <c r="H736" s="17" t="s">
        <v>211</v>
      </c>
      <c r="I736" s="17" t="s">
        <v>212</v>
      </c>
      <c r="J736" s="27" t="s">
        <v>181</v>
      </c>
      <c r="K736" s="29">
        <v>1236</v>
      </c>
      <c r="L736" s="31">
        <v>154834.94000263797</v>
      </c>
      <c r="M736" s="31">
        <v>135819.8799994</v>
      </c>
      <c r="N736" s="31">
        <v>107437.239999162</v>
      </c>
      <c r="O736" s="34">
        <f t="shared" si="100"/>
        <v>0.87719141427048697</v>
      </c>
      <c r="P736" s="34">
        <f t="shared" si="101"/>
        <v>0.79102735181062311</v>
      </c>
      <c r="Q736" s="34">
        <f t="shared" si="102"/>
        <v>0.12280858572951303</v>
      </c>
      <c r="R736" s="46">
        <f t="shared" si="103"/>
        <v>86.923333332655346</v>
      </c>
    </row>
    <row r="737" spans="2:18" ht="12.75" customHeight="1" x14ac:dyDescent="0.25">
      <c r="B737" s="17" t="s">
        <v>0</v>
      </c>
      <c r="C737" s="44" t="s">
        <v>7</v>
      </c>
      <c r="D737" s="22" t="s">
        <v>2</v>
      </c>
      <c r="E737" s="20">
        <v>1</v>
      </c>
      <c r="F737" s="17" t="s">
        <v>120</v>
      </c>
      <c r="G737" s="17" t="s">
        <v>210</v>
      </c>
      <c r="H737" s="17" t="s">
        <v>211</v>
      </c>
      <c r="I737" s="17" t="s">
        <v>212</v>
      </c>
      <c r="J737" s="27" t="s">
        <v>8</v>
      </c>
      <c r="K737" s="29">
        <v>1206</v>
      </c>
      <c r="L737" s="31">
        <v>242631.98000157997</v>
      </c>
      <c r="M737" s="31">
        <v>128592.80999662</v>
      </c>
      <c r="N737" s="31">
        <v>100657.58999978399</v>
      </c>
      <c r="O737" s="34">
        <f t="shared" si="100"/>
        <v>0.52999118251346189</v>
      </c>
      <c r="P737" s="34">
        <f t="shared" si="101"/>
        <v>0.78276219333281327</v>
      </c>
      <c r="Q737" s="34">
        <f t="shared" si="102"/>
        <v>0.47000881748653811</v>
      </c>
      <c r="R737" s="46">
        <f t="shared" si="103"/>
        <v>83.464004974945269</v>
      </c>
    </row>
    <row r="738" spans="2:18" ht="12.75" customHeight="1" x14ac:dyDescent="0.25">
      <c r="B738" s="17" t="s">
        <v>0</v>
      </c>
      <c r="C738" s="44" t="s">
        <v>68</v>
      </c>
      <c r="D738" s="22" t="s">
        <v>2</v>
      </c>
      <c r="E738" s="20">
        <v>1</v>
      </c>
      <c r="F738" s="17" t="s">
        <v>120</v>
      </c>
      <c r="G738" s="17" t="s">
        <v>210</v>
      </c>
      <c r="H738" s="17" t="s">
        <v>211</v>
      </c>
      <c r="I738" s="17" t="s">
        <v>212</v>
      </c>
      <c r="J738" s="27" t="s">
        <v>69</v>
      </c>
      <c r="K738" s="29">
        <v>1261</v>
      </c>
      <c r="L738" s="31">
        <v>283966.77999999997</v>
      </c>
      <c r="M738" s="31">
        <v>117113.340000542</v>
      </c>
      <c r="N738" s="31">
        <v>92873.199999810007</v>
      </c>
      <c r="O738" s="34">
        <f t="shared" si="100"/>
        <v>0.41241915691878467</v>
      </c>
      <c r="P738" s="34">
        <f t="shared" si="101"/>
        <v>0.79301982164781737</v>
      </c>
      <c r="Q738" s="34">
        <f t="shared" si="102"/>
        <v>0.58758084308121528</v>
      </c>
      <c r="R738" s="46">
        <f t="shared" si="103"/>
        <v>73.650436161625706</v>
      </c>
    </row>
    <row r="739" spans="2:18" ht="12.75" customHeight="1" x14ac:dyDescent="0.25">
      <c r="B739" s="17" t="s">
        <v>0</v>
      </c>
      <c r="C739" s="44" t="s">
        <v>166</v>
      </c>
      <c r="D739" s="22" t="s">
        <v>9</v>
      </c>
      <c r="E739" s="20">
        <v>2</v>
      </c>
      <c r="F739" s="17" t="s">
        <v>120</v>
      </c>
      <c r="G739" s="17" t="s">
        <v>210</v>
      </c>
      <c r="H739" s="17" t="s">
        <v>211</v>
      </c>
      <c r="I739" s="17" t="s">
        <v>212</v>
      </c>
      <c r="J739" s="27" t="s">
        <v>167</v>
      </c>
      <c r="K739" s="29">
        <v>1559</v>
      </c>
      <c r="L739" s="31">
        <v>129555</v>
      </c>
      <c r="M739" s="31">
        <v>111612.10000007402</v>
      </c>
      <c r="N739" s="31">
        <v>88141.179999939006</v>
      </c>
      <c r="O739" s="34">
        <f t="shared" si="100"/>
        <v>0.86150360850661123</v>
      </c>
      <c r="P739" s="34">
        <f t="shared" si="101"/>
        <v>0.78970989704414263</v>
      </c>
      <c r="Q739" s="34">
        <f t="shared" si="102"/>
        <v>0.13849639149338877</v>
      </c>
      <c r="R739" s="46">
        <f t="shared" si="103"/>
        <v>56.536998075650423</v>
      </c>
    </row>
    <row r="740" spans="2:18" ht="12.75" customHeight="1" x14ac:dyDescent="0.25">
      <c r="B740" s="17" t="s">
        <v>0</v>
      </c>
      <c r="C740" s="44" t="s">
        <v>64</v>
      </c>
      <c r="D740" s="22" t="s">
        <v>9</v>
      </c>
      <c r="E740" s="20">
        <v>2</v>
      </c>
      <c r="F740" s="17" t="s">
        <v>120</v>
      </c>
      <c r="G740" s="17" t="s">
        <v>210</v>
      </c>
      <c r="H740" s="17" t="s">
        <v>211</v>
      </c>
      <c r="I740" s="17" t="s">
        <v>212</v>
      </c>
      <c r="J740" s="27" t="s">
        <v>65</v>
      </c>
      <c r="K740" s="29">
        <v>713</v>
      </c>
      <c r="L740" s="31">
        <v>89702.689998801012</v>
      </c>
      <c r="M740" s="31">
        <v>85200.339999960008</v>
      </c>
      <c r="N740" s="31">
        <v>68672.899999786998</v>
      </c>
      <c r="O740" s="34">
        <f t="shared" si="100"/>
        <v>0.9498080826907066</v>
      </c>
      <c r="P740" s="34">
        <f t="shared" si="101"/>
        <v>0.80601673655080752</v>
      </c>
      <c r="Q740" s="34">
        <f t="shared" si="102"/>
        <v>5.0191917309293399E-2</v>
      </c>
      <c r="R740" s="46">
        <f t="shared" si="103"/>
        <v>96.315427769687233</v>
      </c>
    </row>
    <row r="741" spans="2:18" ht="12.75" customHeight="1" x14ac:dyDescent="0.25">
      <c r="B741" s="17" t="s">
        <v>0</v>
      </c>
      <c r="C741" s="44" t="s">
        <v>90</v>
      </c>
      <c r="D741" s="22" t="s">
        <v>9</v>
      </c>
      <c r="E741" s="20">
        <v>2</v>
      </c>
      <c r="F741" s="17" t="s">
        <v>120</v>
      </c>
      <c r="G741" s="17" t="s">
        <v>210</v>
      </c>
      <c r="H741" s="17" t="s">
        <v>211</v>
      </c>
      <c r="I741" s="17" t="s">
        <v>212</v>
      </c>
      <c r="J741" s="27" t="s">
        <v>91</v>
      </c>
      <c r="K741" s="29">
        <v>829</v>
      </c>
      <c r="L741" s="31">
        <v>97303</v>
      </c>
      <c r="M741" s="31">
        <v>80679.060000533995</v>
      </c>
      <c r="N741" s="31">
        <v>63600.120000067996</v>
      </c>
      <c r="O741" s="34">
        <f t="shared" si="100"/>
        <v>0.82915285243552606</v>
      </c>
      <c r="P741" s="34">
        <f t="shared" si="101"/>
        <v>0.78831012656378296</v>
      </c>
      <c r="Q741" s="34">
        <f t="shared" si="102"/>
        <v>0.17084714756447394</v>
      </c>
      <c r="R741" s="46">
        <f t="shared" si="103"/>
        <v>76.719083232892643</v>
      </c>
    </row>
    <row r="742" spans="2:18" ht="12.75" customHeight="1" x14ac:dyDescent="0.25">
      <c r="B742" s="17" t="s">
        <v>0</v>
      </c>
      <c r="C742" s="44" t="s">
        <v>139</v>
      </c>
      <c r="D742" s="22" t="s">
        <v>9</v>
      </c>
      <c r="E742" s="20">
        <v>2</v>
      </c>
      <c r="F742" s="17" t="s">
        <v>120</v>
      </c>
      <c r="G742" s="17" t="s">
        <v>210</v>
      </c>
      <c r="H742" s="17" t="s">
        <v>211</v>
      </c>
      <c r="I742" s="17" t="s">
        <v>212</v>
      </c>
      <c r="J742" s="27" t="s">
        <v>140</v>
      </c>
      <c r="K742" s="29">
        <v>1009</v>
      </c>
      <c r="L742" s="31">
        <v>174405.99999926001</v>
      </c>
      <c r="M742" s="31">
        <v>76223.590000384997</v>
      </c>
      <c r="N742" s="31">
        <v>59670.380000081001</v>
      </c>
      <c r="O742" s="34">
        <f t="shared" si="100"/>
        <v>0.43704683325521143</v>
      </c>
      <c r="P742" s="34">
        <f t="shared" si="101"/>
        <v>0.78283350337841096</v>
      </c>
      <c r="Q742" s="34">
        <f t="shared" si="102"/>
        <v>0.56295316674478857</v>
      </c>
      <c r="R742" s="46">
        <f t="shared" si="103"/>
        <v>59.138136769158571</v>
      </c>
    </row>
    <row r="743" spans="2:18" ht="12.75" customHeight="1" x14ac:dyDescent="0.25">
      <c r="B743" s="17" t="s">
        <v>0</v>
      </c>
      <c r="C743" s="44" t="s">
        <v>14</v>
      </c>
      <c r="D743" s="22" t="s">
        <v>2</v>
      </c>
      <c r="E743" s="20">
        <v>1</v>
      </c>
      <c r="F743" s="17" t="s">
        <v>120</v>
      </c>
      <c r="G743" s="17" t="s">
        <v>210</v>
      </c>
      <c r="H743" s="17" t="s">
        <v>211</v>
      </c>
      <c r="I743" s="17" t="s">
        <v>212</v>
      </c>
      <c r="J743" s="27" t="s">
        <v>15</v>
      </c>
      <c r="K743" s="29">
        <v>589</v>
      </c>
      <c r="L743" s="31">
        <v>152266</v>
      </c>
      <c r="M743" s="31">
        <v>64850.130000490004</v>
      </c>
      <c r="N743" s="31">
        <v>50990.970000055997</v>
      </c>
      <c r="O743" s="34">
        <f t="shared" si="100"/>
        <v>0.42590026664186359</v>
      </c>
      <c r="P743" s="34">
        <f t="shared" si="101"/>
        <v>0.78628940296142369</v>
      </c>
      <c r="Q743" s="34">
        <f t="shared" si="102"/>
        <v>0.57409973335813635</v>
      </c>
      <c r="R743" s="46">
        <f t="shared" si="103"/>
        <v>86.572105263252965</v>
      </c>
    </row>
    <row r="744" spans="2:18" ht="12.75" customHeight="1" x14ac:dyDescent="0.25">
      <c r="B744" s="17" t="s">
        <v>0</v>
      </c>
      <c r="C744" s="44" t="s">
        <v>153</v>
      </c>
      <c r="D744" s="22" t="s">
        <v>9</v>
      </c>
      <c r="E744" s="20">
        <v>2</v>
      </c>
      <c r="F744" s="17" t="s">
        <v>120</v>
      </c>
      <c r="G744" s="17" t="s">
        <v>210</v>
      </c>
      <c r="H744" s="17" t="s">
        <v>211</v>
      </c>
      <c r="I744" s="17" t="s">
        <v>212</v>
      </c>
      <c r="J744" s="27" t="s">
        <v>154</v>
      </c>
      <c r="K744" s="29">
        <v>548</v>
      </c>
      <c r="L744" s="31">
        <v>107475</v>
      </c>
      <c r="M744" s="31">
        <v>59492.550000944997</v>
      </c>
      <c r="N744" s="31">
        <v>45245.330000070004</v>
      </c>
      <c r="O744" s="34">
        <f t="shared" si="100"/>
        <v>0.55354780182316821</v>
      </c>
      <c r="P744" s="34">
        <f t="shared" si="101"/>
        <v>0.76052093916551422</v>
      </c>
      <c r="Q744" s="34">
        <f t="shared" si="102"/>
        <v>0.44645219817683179</v>
      </c>
      <c r="R744" s="46">
        <f t="shared" si="103"/>
        <v>82.564470803047456</v>
      </c>
    </row>
    <row r="745" spans="2:18" ht="12.75" customHeight="1" x14ac:dyDescent="0.25">
      <c r="B745" s="17" t="s">
        <v>0</v>
      </c>
      <c r="C745" s="44" t="s">
        <v>74</v>
      </c>
      <c r="D745" s="22" t="s">
        <v>2</v>
      </c>
      <c r="E745" s="20">
        <v>1</v>
      </c>
      <c r="F745" s="17" t="s">
        <v>120</v>
      </c>
      <c r="G745" s="17" t="s">
        <v>210</v>
      </c>
      <c r="H745" s="17" t="s">
        <v>211</v>
      </c>
      <c r="I745" s="17" t="s">
        <v>212</v>
      </c>
      <c r="J745" s="27" t="s">
        <v>75</v>
      </c>
      <c r="K745" s="29">
        <v>524</v>
      </c>
      <c r="L745" s="31">
        <v>105626.6</v>
      </c>
      <c r="M745" s="31">
        <v>49313.209999522005</v>
      </c>
      <c r="N745" s="31">
        <v>39303.029999809005</v>
      </c>
      <c r="O745" s="34">
        <f t="shared" si="100"/>
        <v>0.46686355519842543</v>
      </c>
      <c r="P745" s="34">
        <f t="shared" si="101"/>
        <v>0.79700814447467461</v>
      </c>
      <c r="Q745" s="34">
        <f t="shared" si="102"/>
        <v>0.53313644480157452</v>
      </c>
      <c r="R745" s="46">
        <f t="shared" si="103"/>
        <v>75.005782442383591</v>
      </c>
    </row>
    <row r="746" spans="2:18" ht="12.75" customHeight="1" x14ac:dyDescent="0.25">
      <c r="B746" s="17" t="s">
        <v>0</v>
      </c>
      <c r="C746" s="44" t="s">
        <v>90</v>
      </c>
      <c r="D746" s="22" t="s">
        <v>2</v>
      </c>
      <c r="E746" s="20">
        <v>1</v>
      </c>
      <c r="F746" s="17" t="s">
        <v>120</v>
      </c>
      <c r="G746" s="17" t="s">
        <v>210</v>
      </c>
      <c r="H746" s="17" t="s">
        <v>211</v>
      </c>
      <c r="I746" s="17" t="s">
        <v>212</v>
      </c>
      <c r="J746" s="27" t="s">
        <v>91</v>
      </c>
      <c r="K746" s="29">
        <v>464</v>
      </c>
      <c r="L746" s="31">
        <v>88867</v>
      </c>
      <c r="M746" s="31">
        <v>41432.470000166999</v>
      </c>
      <c r="N746" s="31">
        <v>32611</v>
      </c>
      <c r="O746" s="34">
        <f t="shared" si="100"/>
        <v>0.46623009666318205</v>
      </c>
      <c r="P746" s="34">
        <f t="shared" si="101"/>
        <v>0.7870880012673287</v>
      </c>
      <c r="Q746" s="34">
        <f t="shared" si="102"/>
        <v>0.53376990333681795</v>
      </c>
      <c r="R746" s="46">
        <f t="shared" si="103"/>
        <v>70.28232758620689</v>
      </c>
    </row>
    <row r="747" spans="2:18" ht="12.75" customHeight="1" x14ac:dyDescent="0.25">
      <c r="B747" s="17" t="s">
        <v>0</v>
      </c>
      <c r="C747" s="44" t="s">
        <v>139</v>
      </c>
      <c r="D747" s="22" t="s">
        <v>2</v>
      </c>
      <c r="E747" s="20">
        <v>1</v>
      </c>
      <c r="F747" s="17" t="s">
        <v>120</v>
      </c>
      <c r="G747" s="17" t="s">
        <v>210</v>
      </c>
      <c r="H747" s="17" t="s">
        <v>211</v>
      </c>
      <c r="I747" s="17" t="s">
        <v>212</v>
      </c>
      <c r="J747" s="27" t="s">
        <v>140</v>
      </c>
      <c r="K747" s="29">
        <v>393</v>
      </c>
      <c r="L747" s="31">
        <v>68426.999999759995</v>
      </c>
      <c r="M747" s="31">
        <v>41511.280000336992</v>
      </c>
      <c r="N747" s="31">
        <v>32289.149999989</v>
      </c>
      <c r="O747" s="34">
        <f t="shared" si="100"/>
        <v>0.60665059114797659</v>
      </c>
      <c r="P747" s="34">
        <f t="shared" si="101"/>
        <v>0.7778403845828622</v>
      </c>
      <c r="Q747" s="34">
        <f t="shared" si="102"/>
        <v>0.39334940885202341</v>
      </c>
      <c r="R747" s="46">
        <f t="shared" si="103"/>
        <v>82.160687022872779</v>
      </c>
    </row>
    <row r="748" spans="2:18" ht="12.75" customHeight="1" x14ac:dyDescent="0.25">
      <c r="B748" s="17" t="s">
        <v>0</v>
      </c>
      <c r="C748" s="44" t="s">
        <v>12</v>
      </c>
      <c r="D748" s="22" t="s">
        <v>9</v>
      </c>
      <c r="E748" s="20">
        <v>2</v>
      </c>
      <c r="F748" s="17" t="s">
        <v>120</v>
      </c>
      <c r="G748" s="17" t="s">
        <v>210</v>
      </c>
      <c r="H748" s="17" t="s">
        <v>211</v>
      </c>
      <c r="I748" s="17" t="s">
        <v>212</v>
      </c>
      <c r="J748" s="27" t="s">
        <v>13</v>
      </c>
      <c r="K748" s="29">
        <v>365</v>
      </c>
      <c r="L748" s="31">
        <v>147676.28</v>
      </c>
      <c r="M748" s="31">
        <v>40732.419999399994</v>
      </c>
      <c r="N748" s="31">
        <v>31646.370000086998</v>
      </c>
      <c r="O748" s="34">
        <f t="shared" si="100"/>
        <v>0.2758223595515813</v>
      </c>
      <c r="P748" s="34">
        <f t="shared" si="101"/>
        <v>0.7769332143917097</v>
      </c>
      <c r="Q748" s="34">
        <f t="shared" si="102"/>
        <v>0.7241776404484187</v>
      </c>
      <c r="R748" s="46">
        <f t="shared" si="103"/>
        <v>86.702383561882186</v>
      </c>
    </row>
    <row r="749" spans="2:18" ht="12.75" customHeight="1" x14ac:dyDescent="0.25">
      <c r="B749" s="17" t="s">
        <v>0</v>
      </c>
      <c r="C749" s="44" t="s">
        <v>38</v>
      </c>
      <c r="D749" s="22" t="s">
        <v>2</v>
      </c>
      <c r="E749" s="20">
        <v>1</v>
      </c>
      <c r="F749" s="17" t="s">
        <v>120</v>
      </c>
      <c r="G749" s="17" t="s">
        <v>210</v>
      </c>
      <c r="H749" s="17" t="s">
        <v>211</v>
      </c>
      <c r="I749" s="17" t="s">
        <v>212</v>
      </c>
      <c r="J749" s="27" t="s">
        <v>39</v>
      </c>
      <c r="K749" s="29">
        <v>503</v>
      </c>
      <c r="L749" s="31">
        <v>70579.819999700005</v>
      </c>
      <c r="M749" s="31">
        <v>36611.280000019993</v>
      </c>
      <c r="N749" s="31">
        <v>28649.229999891002</v>
      </c>
      <c r="O749" s="34">
        <f t="shared" si="100"/>
        <v>0.51872164026736833</v>
      </c>
      <c r="P749" s="34">
        <f t="shared" si="101"/>
        <v>0.78252467545181037</v>
      </c>
      <c r="Q749" s="34">
        <f t="shared" si="102"/>
        <v>0.48127835973263167</v>
      </c>
      <c r="R749" s="46">
        <f t="shared" si="103"/>
        <v>56.956719681691851</v>
      </c>
    </row>
    <row r="750" spans="2:18" ht="12.75" customHeight="1" x14ac:dyDescent="0.25">
      <c r="B750" s="17" t="s">
        <v>0</v>
      </c>
      <c r="C750" s="44" t="s">
        <v>44</v>
      </c>
      <c r="D750" s="22" t="s">
        <v>9</v>
      </c>
      <c r="E750" s="20">
        <v>2</v>
      </c>
      <c r="F750" s="17" t="s">
        <v>120</v>
      </c>
      <c r="G750" s="17" t="s">
        <v>210</v>
      </c>
      <c r="H750" s="17" t="s">
        <v>211</v>
      </c>
      <c r="I750" s="17" t="s">
        <v>212</v>
      </c>
      <c r="J750" s="27" t="s">
        <v>45</v>
      </c>
      <c r="K750" s="29">
        <v>422</v>
      </c>
      <c r="L750" s="31">
        <v>50877.75</v>
      </c>
      <c r="M750" s="31">
        <v>26306.869999710998</v>
      </c>
      <c r="N750" s="31">
        <v>20732.140000097002</v>
      </c>
      <c r="O750" s="34">
        <f t="shared" si="100"/>
        <v>0.51706040459161418</v>
      </c>
      <c r="P750" s="34">
        <f t="shared" si="101"/>
        <v>0.78808843470640033</v>
      </c>
      <c r="Q750" s="34">
        <f t="shared" si="102"/>
        <v>0.48293959540838582</v>
      </c>
      <c r="R750" s="46">
        <f t="shared" si="103"/>
        <v>49.128293839092422</v>
      </c>
    </row>
    <row r="751" spans="2:18" ht="12.75" customHeight="1" x14ac:dyDescent="0.25">
      <c r="B751" s="17" t="s">
        <v>0</v>
      </c>
      <c r="C751" s="44" t="s">
        <v>114</v>
      </c>
      <c r="D751" s="22" t="s">
        <v>2</v>
      </c>
      <c r="E751" s="20">
        <v>1</v>
      </c>
      <c r="F751" s="17" t="s">
        <v>120</v>
      </c>
      <c r="G751" s="17" t="s">
        <v>210</v>
      </c>
      <c r="H751" s="17" t="s">
        <v>211</v>
      </c>
      <c r="I751" s="17" t="s">
        <v>212</v>
      </c>
      <c r="J751" s="27" t="s">
        <v>118</v>
      </c>
      <c r="K751" s="29">
        <v>236</v>
      </c>
      <c r="L751" s="31">
        <v>38044.060000099998</v>
      </c>
      <c r="M751" s="31">
        <v>26718.899999280005</v>
      </c>
      <c r="N751" s="31">
        <v>20479.599999760001</v>
      </c>
      <c r="O751" s="34">
        <f t="shared" si="100"/>
        <v>0.70231463201376965</v>
      </c>
      <c r="P751" s="34">
        <f t="shared" si="101"/>
        <v>0.7664836501619402</v>
      </c>
      <c r="Q751" s="34">
        <f t="shared" si="102"/>
        <v>0.29768536798623035</v>
      </c>
      <c r="R751" s="46">
        <f t="shared" si="103"/>
        <v>86.777966100677972</v>
      </c>
    </row>
    <row r="752" spans="2:18" ht="12.75" customHeight="1" x14ac:dyDescent="0.25">
      <c r="B752" s="17" t="s">
        <v>0</v>
      </c>
      <c r="C752" s="44" t="s">
        <v>66</v>
      </c>
      <c r="D752" s="22" t="s">
        <v>9</v>
      </c>
      <c r="E752" s="20">
        <v>2</v>
      </c>
      <c r="F752" s="17" t="s">
        <v>120</v>
      </c>
      <c r="G752" s="17" t="s">
        <v>210</v>
      </c>
      <c r="H752" s="17" t="s">
        <v>211</v>
      </c>
      <c r="I752" s="17" t="s">
        <v>212</v>
      </c>
      <c r="J752" s="27" t="s">
        <v>67</v>
      </c>
      <c r="K752" s="29">
        <v>317</v>
      </c>
      <c r="L752" s="31">
        <v>37499.85</v>
      </c>
      <c r="M752" s="31">
        <v>24123.989999833</v>
      </c>
      <c r="N752" s="31">
        <v>17964.819999995001</v>
      </c>
      <c r="O752" s="34">
        <f t="shared" si="100"/>
        <v>0.64330897323143965</v>
      </c>
      <c r="P752" s="34">
        <f t="shared" si="101"/>
        <v>0.74468692783073465</v>
      </c>
      <c r="Q752" s="34">
        <f t="shared" si="102"/>
        <v>0.35669102676856035</v>
      </c>
      <c r="R752" s="46">
        <f t="shared" si="103"/>
        <v>56.671356466861205</v>
      </c>
    </row>
    <row r="753" spans="2:18" ht="12.75" customHeight="1" x14ac:dyDescent="0.25">
      <c r="B753" s="17" t="s">
        <v>0</v>
      </c>
      <c r="C753" s="44" t="s">
        <v>22</v>
      </c>
      <c r="D753" s="22" t="s">
        <v>9</v>
      </c>
      <c r="E753" s="20">
        <v>2</v>
      </c>
      <c r="F753" s="17" t="s">
        <v>120</v>
      </c>
      <c r="G753" s="17" t="s">
        <v>210</v>
      </c>
      <c r="H753" s="17" t="s">
        <v>211</v>
      </c>
      <c r="I753" s="17" t="s">
        <v>212</v>
      </c>
      <c r="J753" s="27" t="s">
        <v>23</v>
      </c>
      <c r="K753" s="29">
        <v>140</v>
      </c>
      <c r="L753" s="31">
        <v>37057.999999880005</v>
      </c>
      <c r="M753" s="31">
        <v>18198.610000036002</v>
      </c>
      <c r="N753" s="31">
        <v>14529.640000308002</v>
      </c>
      <c r="O753" s="34">
        <f t="shared" si="100"/>
        <v>0.49108451616641291</v>
      </c>
      <c r="P753" s="34">
        <f t="shared" si="101"/>
        <v>0.79839284430400226</v>
      </c>
      <c r="Q753" s="34">
        <f t="shared" si="102"/>
        <v>0.50891548383358709</v>
      </c>
      <c r="R753" s="46">
        <f t="shared" si="103"/>
        <v>103.78314285934287</v>
      </c>
    </row>
    <row r="754" spans="2:18" ht="12.75" customHeight="1" x14ac:dyDescent="0.25">
      <c r="B754" s="17" t="s">
        <v>0</v>
      </c>
      <c r="C754" s="44" t="s">
        <v>20</v>
      </c>
      <c r="D754" s="22" t="s">
        <v>2</v>
      </c>
      <c r="E754" s="20">
        <v>1</v>
      </c>
      <c r="F754" s="17" t="s">
        <v>120</v>
      </c>
      <c r="G754" s="17" t="s">
        <v>210</v>
      </c>
      <c r="H754" s="17" t="s">
        <v>211</v>
      </c>
      <c r="I754" s="17" t="s">
        <v>212</v>
      </c>
      <c r="J754" s="27" t="s">
        <v>21</v>
      </c>
      <c r="K754" s="29">
        <v>444</v>
      </c>
      <c r="L754" s="31">
        <v>159628.99999973999</v>
      </c>
      <c r="M754" s="31">
        <v>20555.699999984001</v>
      </c>
      <c r="N754" s="31">
        <v>14459.380000065999</v>
      </c>
      <c r="O754" s="34">
        <f t="shared" si="100"/>
        <v>0.12877171441290419</v>
      </c>
      <c r="P754" s="34">
        <f t="shared" si="101"/>
        <v>0.70342435431910633</v>
      </c>
      <c r="Q754" s="34">
        <f t="shared" si="102"/>
        <v>0.87122828558709586</v>
      </c>
      <c r="R754" s="46">
        <f t="shared" si="103"/>
        <v>32.566171171319816</v>
      </c>
    </row>
    <row r="755" spans="2:18" ht="12.75" customHeight="1" x14ac:dyDescent="0.25">
      <c r="B755" s="17" t="s">
        <v>0</v>
      </c>
      <c r="C755" s="44" t="s">
        <v>7</v>
      </c>
      <c r="D755" s="22" t="s">
        <v>9</v>
      </c>
      <c r="E755" s="20">
        <v>2</v>
      </c>
      <c r="F755" s="17" t="s">
        <v>120</v>
      </c>
      <c r="G755" s="17" t="s">
        <v>210</v>
      </c>
      <c r="H755" s="17" t="s">
        <v>211</v>
      </c>
      <c r="I755" s="17" t="s">
        <v>212</v>
      </c>
      <c r="J755" s="27" t="s">
        <v>8</v>
      </c>
      <c r="K755" s="29">
        <v>234</v>
      </c>
      <c r="L755" s="31">
        <v>36420</v>
      </c>
      <c r="M755" s="31">
        <v>17631.400000056001</v>
      </c>
      <c r="N755" s="31">
        <v>12492.449999928</v>
      </c>
      <c r="O755" s="34">
        <f t="shared" si="100"/>
        <v>0.48411312465831963</v>
      </c>
      <c r="P755" s="34">
        <f t="shared" si="101"/>
        <v>0.7085342060124733</v>
      </c>
      <c r="Q755" s="34">
        <f t="shared" si="102"/>
        <v>0.51588687534168032</v>
      </c>
      <c r="R755" s="46">
        <f t="shared" si="103"/>
        <v>53.386538461230771</v>
      </c>
    </row>
    <row r="756" spans="2:18" ht="12.75" customHeight="1" x14ac:dyDescent="0.25">
      <c r="B756" s="17" t="s">
        <v>0</v>
      </c>
      <c r="C756" s="44" t="s">
        <v>96</v>
      </c>
      <c r="D756" s="22" t="s">
        <v>9</v>
      </c>
      <c r="E756" s="20">
        <v>2</v>
      </c>
      <c r="F756" s="17" t="s">
        <v>120</v>
      </c>
      <c r="G756" s="17" t="s">
        <v>210</v>
      </c>
      <c r="H756" s="17" t="s">
        <v>211</v>
      </c>
      <c r="I756" s="17" t="s">
        <v>212</v>
      </c>
      <c r="J756" s="27" t="s">
        <v>97</v>
      </c>
      <c r="K756" s="29">
        <v>362</v>
      </c>
      <c r="L756" s="31">
        <v>14656.500000082</v>
      </c>
      <c r="M756" s="31">
        <v>13806.710000026</v>
      </c>
      <c r="N756" s="31">
        <v>10862.810000022</v>
      </c>
      <c r="O756" s="34">
        <f t="shared" si="100"/>
        <v>0.94201958175203859</v>
      </c>
      <c r="P756" s="34">
        <f t="shared" si="101"/>
        <v>0.78677758857841906</v>
      </c>
      <c r="Q756" s="34">
        <f t="shared" si="102"/>
        <v>5.7980418247961407E-2</v>
      </c>
      <c r="R756" s="46">
        <f t="shared" si="103"/>
        <v>30.007762431</v>
      </c>
    </row>
    <row r="757" spans="2:18" ht="12.75" customHeight="1" x14ac:dyDescent="0.25">
      <c r="B757" s="17" t="s">
        <v>0</v>
      </c>
      <c r="C757" s="44" t="s">
        <v>105</v>
      </c>
      <c r="D757" s="22" t="s">
        <v>9</v>
      </c>
      <c r="E757" s="20">
        <v>2</v>
      </c>
      <c r="F757" s="17" t="s">
        <v>120</v>
      </c>
      <c r="G757" s="17" t="s">
        <v>210</v>
      </c>
      <c r="H757" s="17" t="s">
        <v>211</v>
      </c>
      <c r="I757" s="17" t="s">
        <v>212</v>
      </c>
      <c r="J757" s="27" t="s">
        <v>106</v>
      </c>
      <c r="K757" s="29">
        <v>156</v>
      </c>
      <c r="L757" s="31">
        <v>26978.16</v>
      </c>
      <c r="M757" s="31">
        <v>11057.640000064999</v>
      </c>
      <c r="N757" s="31">
        <v>8809.9400000159985</v>
      </c>
      <c r="O757" s="34">
        <f t="shared" si="100"/>
        <v>0.40987376455862812</v>
      </c>
      <c r="P757" s="34">
        <f t="shared" si="101"/>
        <v>0.79672877756593741</v>
      </c>
      <c r="Q757" s="34">
        <f t="shared" si="102"/>
        <v>0.59012623544137188</v>
      </c>
      <c r="R757" s="46">
        <f t="shared" si="103"/>
        <v>56.473974359076912</v>
      </c>
    </row>
    <row r="758" spans="2:18" ht="12.75" customHeight="1" x14ac:dyDescent="0.25">
      <c r="B758" s="17" t="s">
        <v>0</v>
      </c>
      <c r="C758" s="44" t="s">
        <v>157</v>
      </c>
      <c r="D758" s="22" t="s">
        <v>2</v>
      </c>
      <c r="E758" s="20">
        <v>1</v>
      </c>
      <c r="F758" s="17" t="s">
        <v>120</v>
      </c>
      <c r="G758" s="17" t="s">
        <v>210</v>
      </c>
      <c r="H758" s="17" t="s">
        <v>211</v>
      </c>
      <c r="I758" s="17" t="s">
        <v>212</v>
      </c>
      <c r="J758" s="27" t="s">
        <v>158</v>
      </c>
      <c r="K758" s="29">
        <v>84</v>
      </c>
      <c r="L758" s="31">
        <v>11088</v>
      </c>
      <c r="M758" s="31">
        <v>8595.9199998000004</v>
      </c>
      <c r="N758" s="31">
        <v>6516.0200000280001</v>
      </c>
      <c r="O758" s="34">
        <f t="shared" si="100"/>
        <v>0.77524531022727272</v>
      </c>
      <c r="P758" s="34">
        <f t="shared" si="101"/>
        <v>0.75803637076422381</v>
      </c>
      <c r="Q758" s="34">
        <f t="shared" si="102"/>
        <v>0.22475468977272728</v>
      </c>
      <c r="R758" s="46">
        <f t="shared" si="103"/>
        <v>77.571666667000002</v>
      </c>
    </row>
    <row r="759" spans="2:18" ht="12.75" customHeight="1" x14ac:dyDescent="0.25">
      <c r="B759" s="17" t="s">
        <v>0</v>
      </c>
      <c r="C759" s="44" t="s">
        <v>151</v>
      </c>
      <c r="D759" s="22" t="s">
        <v>9</v>
      </c>
      <c r="E759" s="20">
        <v>2</v>
      </c>
      <c r="F759" s="17" t="s">
        <v>120</v>
      </c>
      <c r="G759" s="17" t="s">
        <v>210</v>
      </c>
      <c r="H759" s="17" t="s">
        <v>211</v>
      </c>
      <c r="I759" s="17" t="s">
        <v>212</v>
      </c>
      <c r="J759" s="27" t="s">
        <v>152</v>
      </c>
      <c r="K759" s="29">
        <v>64</v>
      </c>
      <c r="L759" s="31">
        <v>19456</v>
      </c>
      <c r="M759" s="31">
        <v>6565.56</v>
      </c>
      <c r="N759" s="31">
        <v>5149.13</v>
      </c>
      <c r="O759" s="34">
        <f t="shared" ref="O759:O767" si="104">IFERROR(M759/L759,0)</f>
        <v>0.33745682565789475</v>
      </c>
      <c r="P759" s="34">
        <f t="shared" ref="P759:P767" si="105">IFERROR(N759/M759,0)</f>
        <v>0.78426364240064816</v>
      </c>
      <c r="Q759" s="34">
        <f t="shared" ref="Q759:Q767" si="106">IFERROR(1-(M759/L759),0)</f>
        <v>0.6625431743421053</v>
      </c>
      <c r="R759" s="46">
        <f t="shared" ref="R759:R767" si="107">IFERROR(N759/K759,0)</f>
        <v>80.455156250000002</v>
      </c>
    </row>
    <row r="760" spans="2:18" ht="12.75" customHeight="1" x14ac:dyDescent="0.25">
      <c r="B760" s="17" t="s">
        <v>0</v>
      </c>
      <c r="C760" s="44" t="s">
        <v>94</v>
      </c>
      <c r="D760" s="22" t="s">
        <v>2</v>
      </c>
      <c r="E760" s="20">
        <v>1</v>
      </c>
      <c r="F760" s="17" t="s">
        <v>120</v>
      </c>
      <c r="G760" s="17" t="s">
        <v>210</v>
      </c>
      <c r="H760" s="17" t="s">
        <v>211</v>
      </c>
      <c r="I760" s="17" t="s">
        <v>212</v>
      </c>
      <c r="J760" s="27" t="s">
        <v>95</v>
      </c>
      <c r="K760" s="29">
        <v>54</v>
      </c>
      <c r="L760" s="31">
        <v>32967</v>
      </c>
      <c r="M760" s="31">
        <v>5235.2900000089994</v>
      </c>
      <c r="N760" s="31">
        <v>4171.250000004</v>
      </c>
      <c r="O760" s="34">
        <f t="shared" si="104"/>
        <v>0.15880395547089513</v>
      </c>
      <c r="P760" s="34">
        <f t="shared" si="105"/>
        <v>0.79675624463913741</v>
      </c>
      <c r="Q760" s="34">
        <f t="shared" si="106"/>
        <v>0.8411960445291049</v>
      </c>
      <c r="R760" s="46">
        <f t="shared" si="107"/>
        <v>77.245370370444448</v>
      </c>
    </row>
    <row r="761" spans="2:18" ht="12.75" customHeight="1" x14ac:dyDescent="0.25">
      <c r="B761" s="17" t="s">
        <v>0</v>
      </c>
      <c r="C761" s="44" t="s">
        <v>105</v>
      </c>
      <c r="D761" s="22" t="s">
        <v>2</v>
      </c>
      <c r="E761" s="20">
        <v>1</v>
      </c>
      <c r="F761" s="17" t="s">
        <v>120</v>
      </c>
      <c r="G761" s="17" t="s">
        <v>210</v>
      </c>
      <c r="H761" s="17" t="s">
        <v>211</v>
      </c>
      <c r="I761" s="17" t="s">
        <v>212</v>
      </c>
      <c r="J761" s="27" t="s">
        <v>106</v>
      </c>
      <c r="K761" s="29">
        <v>63</v>
      </c>
      <c r="L761" s="31">
        <v>11899.02</v>
      </c>
      <c r="M761" s="31">
        <v>4891.1500000520009</v>
      </c>
      <c r="N761" s="31">
        <v>3896.9899999539994</v>
      </c>
      <c r="O761" s="34">
        <f t="shared" si="104"/>
        <v>0.41105485998443575</v>
      </c>
      <c r="P761" s="34">
        <f t="shared" si="105"/>
        <v>0.79674309720874803</v>
      </c>
      <c r="Q761" s="34">
        <f t="shared" si="106"/>
        <v>0.58894514001556431</v>
      </c>
      <c r="R761" s="46">
        <f t="shared" si="107"/>
        <v>61.856984126253955</v>
      </c>
    </row>
    <row r="762" spans="2:18" ht="12.75" customHeight="1" x14ac:dyDescent="0.25">
      <c r="B762" s="17" t="s">
        <v>0</v>
      </c>
      <c r="C762" s="44" t="s">
        <v>170</v>
      </c>
      <c r="D762" s="22" t="s">
        <v>2</v>
      </c>
      <c r="E762" s="20">
        <v>1</v>
      </c>
      <c r="F762" s="17" t="s">
        <v>120</v>
      </c>
      <c r="G762" s="17" t="s">
        <v>210</v>
      </c>
      <c r="H762" s="17" t="s">
        <v>211</v>
      </c>
      <c r="I762" s="17" t="s">
        <v>212</v>
      </c>
      <c r="J762" s="27" t="s">
        <v>171</v>
      </c>
      <c r="K762" s="29">
        <v>49</v>
      </c>
      <c r="L762" s="31">
        <v>9185.0499999999993</v>
      </c>
      <c r="M762" s="31">
        <v>3480.4700000000003</v>
      </c>
      <c r="N762" s="31">
        <v>2772.9100000000003</v>
      </c>
      <c r="O762" s="34">
        <f t="shared" si="104"/>
        <v>0.37892771405708192</v>
      </c>
      <c r="P762" s="34">
        <f t="shared" si="105"/>
        <v>0.79670561734478396</v>
      </c>
      <c r="Q762" s="34">
        <f t="shared" si="106"/>
        <v>0.62107228594291808</v>
      </c>
      <c r="R762" s="46">
        <f t="shared" si="107"/>
        <v>56.59</v>
      </c>
    </row>
    <row r="763" spans="2:18" ht="12.75" customHeight="1" x14ac:dyDescent="0.25">
      <c r="B763" s="17" t="s">
        <v>0</v>
      </c>
      <c r="C763" s="44" t="s">
        <v>26</v>
      </c>
      <c r="D763" s="22" t="s">
        <v>9</v>
      </c>
      <c r="E763" s="20">
        <v>2</v>
      </c>
      <c r="F763" s="17" t="s">
        <v>120</v>
      </c>
      <c r="G763" s="17" t="s">
        <v>210</v>
      </c>
      <c r="H763" s="17" t="s">
        <v>211</v>
      </c>
      <c r="I763" s="17" t="s">
        <v>212</v>
      </c>
      <c r="J763" s="27" t="s">
        <v>27</v>
      </c>
      <c r="K763" s="29">
        <v>24</v>
      </c>
      <c r="L763" s="31">
        <v>7896</v>
      </c>
      <c r="M763" s="31">
        <v>3133.6900000799997</v>
      </c>
      <c r="N763" s="31">
        <v>2496.7999999200001</v>
      </c>
      <c r="O763" s="34">
        <f t="shared" si="104"/>
        <v>0.39687056738601817</v>
      </c>
      <c r="P763" s="34">
        <f t="shared" si="105"/>
        <v>0.79676036872066458</v>
      </c>
      <c r="Q763" s="34">
        <f t="shared" si="106"/>
        <v>0.60312943261398178</v>
      </c>
      <c r="R763" s="46">
        <f t="shared" si="107"/>
        <v>104.03333333</v>
      </c>
    </row>
    <row r="764" spans="2:18" ht="12.75" customHeight="1" x14ac:dyDescent="0.25">
      <c r="B764" s="17" t="s">
        <v>0</v>
      </c>
      <c r="C764" s="44" t="s">
        <v>22</v>
      </c>
      <c r="D764" s="22" t="s">
        <v>2</v>
      </c>
      <c r="E764" s="20">
        <v>1</v>
      </c>
      <c r="F764" s="17" t="s">
        <v>120</v>
      </c>
      <c r="G764" s="17" t="s">
        <v>210</v>
      </c>
      <c r="H764" s="17" t="s">
        <v>211</v>
      </c>
      <c r="I764" s="17" t="s">
        <v>212</v>
      </c>
      <c r="J764" s="27" t="s">
        <v>23</v>
      </c>
      <c r="K764" s="29">
        <v>16</v>
      </c>
      <c r="L764" s="31">
        <v>2784</v>
      </c>
      <c r="M764" s="31">
        <v>2093.1799999999998</v>
      </c>
      <c r="N764" s="31">
        <v>1671.29</v>
      </c>
      <c r="O764" s="34">
        <f t="shared" si="104"/>
        <v>0.75186063218390797</v>
      </c>
      <c r="P764" s="34">
        <f t="shared" si="105"/>
        <v>0.79844542753131609</v>
      </c>
      <c r="Q764" s="34">
        <f t="shared" si="106"/>
        <v>0.24813936781609203</v>
      </c>
      <c r="R764" s="46">
        <f t="shared" si="107"/>
        <v>104.455625</v>
      </c>
    </row>
    <row r="765" spans="2:18" ht="12.75" customHeight="1" x14ac:dyDescent="0.25">
      <c r="B765" s="17" t="s">
        <v>0</v>
      </c>
      <c r="C765" s="44" t="s">
        <v>82</v>
      </c>
      <c r="D765" s="22" t="s">
        <v>9</v>
      </c>
      <c r="E765" s="20">
        <v>2</v>
      </c>
      <c r="F765" s="17" t="s">
        <v>120</v>
      </c>
      <c r="G765" s="17" t="s">
        <v>210</v>
      </c>
      <c r="H765" s="17" t="s">
        <v>211</v>
      </c>
      <c r="I765" s="17" t="s">
        <v>212</v>
      </c>
      <c r="J765" s="27" t="s">
        <v>83</v>
      </c>
      <c r="K765" s="29">
        <v>19</v>
      </c>
      <c r="L765" s="31">
        <v>2056.94</v>
      </c>
      <c r="M765" s="31">
        <v>1947.62000001</v>
      </c>
      <c r="N765" s="31">
        <v>1551.73</v>
      </c>
      <c r="O765" s="34">
        <f t="shared" si="104"/>
        <v>0.94685309246259008</v>
      </c>
      <c r="P765" s="34">
        <f t="shared" si="105"/>
        <v>0.79673139523728076</v>
      </c>
      <c r="Q765" s="34">
        <f t="shared" si="106"/>
        <v>5.3146907537409915E-2</v>
      </c>
      <c r="R765" s="46">
        <f t="shared" si="107"/>
        <v>81.67</v>
      </c>
    </row>
    <row r="766" spans="2:18" ht="12.75" customHeight="1" x14ac:dyDescent="0.25">
      <c r="B766" s="17" t="s">
        <v>0</v>
      </c>
      <c r="C766" s="44" t="s">
        <v>14</v>
      </c>
      <c r="D766" s="22" t="s">
        <v>9</v>
      </c>
      <c r="E766" s="20">
        <v>2</v>
      </c>
      <c r="F766" s="17" t="s">
        <v>120</v>
      </c>
      <c r="G766" s="17" t="s">
        <v>210</v>
      </c>
      <c r="H766" s="17" t="s">
        <v>211</v>
      </c>
      <c r="I766" s="17" t="s">
        <v>212</v>
      </c>
      <c r="J766" s="27" t="s">
        <v>15</v>
      </c>
      <c r="K766" s="29">
        <v>12</v>
      </c>
      <c r="L766" s="31">
        <v>3300</v>
      </c>
      <c r="M766" s="31">
        <v>1612.1999999999998</v>
      </c>
      <c r="N766" s="31">
        <v>1301.6399999999999</v>
      </c>
      <c r="O766" s="34">
        <f t="shared" si="104"/>
        <v>0.48854545454545451</v>
      </c>
      <c r="P766" s="34">
        <f t="shared" si="105"/>
        <v>0.80736881280238182</v>
      </c>
      <c r="Q766" s="34">
        <f t="shared" si="106"/>
        <v>0.51145454545454549</v>
      </c>
      <c r="R766" s="46">
        <f t="shared" si="107"/>
        <v>108.46999999999998</v>
      </c>
    </row>
    <row r="767" spans="2:18" ht="12.75" customHeight="1" thickBot="1" x14ac:dyDescent="0.3">
      <c r="B767" s="15" t="s">
        <v>0</v>
      </c>
      <c r="C767" s="50" t="s">
        <v>56</v>
      </c>
      <c r="D767" s="19" t="s">
        <v>2</v>
      </c>
      <c r="E767" s="16">
        <v>1</v>
      </c>
      <c r="F767" s="15" t="s">
        <v>120</v>
      </c>
      <c r="G767" s="15" t="s">
        <v>210</v>
      </c>
      <c r="H767" s="15" t="s">
        <v>211</v>
      </c>
      <c r="I767" s="15" t="s">
        <v>212</v>
      </c>
      <c r="J767" s="24" t="s">
        <v>57</v>
      </c>
      <c r="K767" s="26">
        <v>17</v>
      </c>
      <c r="L767" s="28">
        <v>3808</v>
      </c>
      <c r="M767" s="28">
        <v>1262.0700000050001</v>
      </c>
      <c r="N767" s="28">
        <v>946.18999999799996</v>
      </c>
      <c r="O767" s="32">
        <f t="shared" si="104"/>
        <v>0.33142594537946429</v>
      </c>
      <c r="P767" s="32">
        <f t="shared" si="105"/>
        <v>0.74971277345492038</v>
      </c>
      <c r="Q767" s="32">
        <f t="shared" si="106"/>
        <v>0.66857405462053565</v>
      </c>
      <c r="R767" s="49">
        <f t="shared" si="107"/>
        <v>55.658235294000001</v>
      </c>
    </row>
    <row r="768" spans="2:18" ht="17.25" customHeight="1" x14ac:dyDescent="0.25">
      <c r="B768" s="48"/>
      <c r="C768" s="58"/>
      <c r="D768" s="51" t="s">
        <v>366</v>
      </c>
      <c r="E768" s="52"/>
      <c r="F768" s="52"/>
      <c r="G768" s="53"/>
      <c r="H768" s="53"/>
      <c r="I768" s="53"/>
      <c r="J768" s="54"/>
      <c r="K768" s="55">
        <f>SUM(K695:K767)</f>
        <v>2224539</v>
      </c>
      <c r="L768" s="56">
        <f>SUM(L695:L767)</f>
        <v>438182217.88000929</v>
      </c>
      <c r="M768" s="56">
        <f>SUM(M695:M767)</f>
        <v>191867325.77991802</v>
      </c>
      <c r="N768" s="56">
        <f>SUM(N695:N767)</f>
        <v>148905775.15997782</v>
      </c>
      <c r="O768" s="57">
        <f>IFERROR(M768/L768,0)</f>
        <v>0.43787109095435378</v>
      </c>
      <c r="P768" s="57">
        <f>IFERROR(N768/M768,0)</f>
        <v>0.77608719751887634</v>
      </c>
      <c r="Q768" s="57">
        <f>IFERROR(1-(M768/L768),0)</f>
        <v>0.56212890904564627</v>
      </c>
      <c r="R768" s="59">
        <f>IFERROR(N768/K768,0)</f>
        <v>66.937812805249905</v>
      </c>
    </row>
    <row r="769" spans="2:18" ht="15.75" thickBot="1" x14ac:dyDescent="0.3">
      <c r="B769" s="60"/>
      <c r="C769" s="64"/>
      <c r="D769" s="62" t="s">
        <v>212</v>
      </c>
      <c r="E769" s="61"/>
      <c r="F769" s="61"/>
      <c r="G769" s="61"/>
      <c r="H769" s="61"/>
      <c r="I769" s="61"/>
      <c r="J769" s="61"/>
      <c r="K769" s="63"/>
      <c r="L769" s="63"/>
      <c r="M769" s="63"/>
      <c r="N769" s="63"/>
      <c r="O769" s="63"/>
      <c r="P769" s="63"/>
      <c r="Q769" s="63"/>
      <c r="R769" s="65"/>
    </row>
    <row r="770" spans="2:18" ht="15.75" thickBot="1" x14ac:dyDescent="0.3"/>
    <row r="771" spans="2:18" ht="15.75" x14ac:dyDescent="0.25">
      <c r="B771" s="1"/>
      <c r="C771" s="7" t="s">
        <v>348</v>
      </c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9"/>
    </row>
    <row r="772" spans="2:18" ht="18" x14ac:dyDescent="0.25">
      <c r="B772" s="2"/>
      <c r="C772" s="8" t="s">
        <v>215</v>
      </c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10"/>
    </row>
    <row r="773" spans="2:18" ht="15.75" thickBot="1" x14ac:dyDescent="0.3">
      <c r="B773" s="3"/>
      <c r="C773" s="11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12"/>
    </row>
    <row r="774" spans="2:18" ht="17.25" customHeight="1" thickBot="1" x14ac:dyDescent="0.3">
      <c r="B774" s="14" t="s">
        <v>349</v>
      </c>
      <c r="C774" s="18" t="s">
        <v>350</v>
      </c>
      <c r="D774" s="21" t="s">
        <v>351</v>
      </c>
      <c r="E774" s="23" t="s">
        <v>352</v>
      </c>
      <c r="F774" s="21" t="s">
        <v>353</v>
      </c>
      <c r="G774" s="23" t="s">
        <v>354</v>
      </c>
      <c r="H774" s="23" t="s">
        <v>355</v>
      </c>
      <c r="I774" s="23" t="s">
        <v>356</v>
      </c>
      <c r="J774" s="25" t="s">
        <v>357</v>
      </c>
      <c r="K774" s="25" t="s">
        <v>358</v>
      </c>
      <c r="L774" s="30" t="s">
        <v>359</v>
      </c>
      <c r="M774" s="30" t="s">
        <v>360</v>
      </c>
      <c r="N774" s="30" t="s">
        <v>361</v>
      </c>
      <c r="O774" s="33" t="s">
        <v>362</v>
      </c>
      <c r="P774" s="33" t="s">
        <v>363</v>
      </c>
      <c r="Q774" s="33" t="s">
        <v>364</v>
      </c>
      <c r="R774" s="35" t="s">
        <v>365</v>
      </c>
    </row>
    <row r="775" spans="2:18" ht="12.75" customHeight="1" x14ac:dyDescent="0.25">
      <c r="B775" s="17" t="s">
        <v>0</v>
      </c>
      <c r="C775" s="43" t="s">
        <v>30</v>
      </c>
      <c r="D775" s="37" t="s">
        <v>2</v>
      </c>
      <c r="E775" s="36">
        <v>1</v>
      </c>
      <c r="F775" s="38" t="s">
        <v>120</v>
      </c>
      <c r="G775" s="38" t="s">
        <v>213</v>
      </c>
      <c r="H775" s="38" t="s">
        <v>214</v>
      </c>
      <c r="I775" s="38" t="s">
        <v>215</v>
      </c>
      <c r="J775" s="39" t="s">
        <v>31</v>
      </c>
      <c r="K775" s="40">
        <v>2518</v>
      </c>
      <c r="L775" s="41">
        <v>1106986.92999985</v>
      </c>
      <c r="M775" s="41">
        <v>429771.76000012108</v>
      </c>
      <c r="N775" s="41">
        <v>331374.21999831108</v>
      </c>
      <c r="O775" s="42">
        <f t="shared" ref="O775:O792" si="108">IFERROR(M775/L775,0)</f>
        <v>0.38823562261948236</v>
      </c>
      <c r="P775" s="42">
        <f t="shared" ref="P775:P792" si="109">IFERROR(N775/M775,0)</f>
        <v>0.77104698549345752</v>
      </c>
      <c r="Q775" s="42">
        <f t="shared" ref="Q775:Q792" si="110">IFERROR(1-(M775/L775),0)</f>
        <v>0.6117643773805177</v>
      </c>
      <c r="R775" s="45">
        <f t="shared" ref="R775:R792" si="111">IFERROR(N775/K775,0)</f>
        <v>131.60215250131498</v>
      </c>
    </row>
    <row r="776" spans="2:18" ht="12.75" customHeight="1" x14ac:dyDescent="0.25">
      <c r="B776" s="17" t="s">
        <v>0</v>
      </c>
      <c r="C776" s="44" t="s">
        <v>62</v>
      </c>
      <c r="D776" s="22" t="s">
        <v>2</v>
      </c>
      <c r="E776" s="20">
        <v>1</v>
      </c>
      <c r="F776" s="17" t="s">
        <v>120</v>
      </c>
      <c r="G776" s="17" t="s">
        <v>213</v>
      </c>
      <c r="H776" s="17" t="s">
        <v>214</v>
      </c>
      <c r="I776" s="17" t="s">
        <v>215</v>
      </c>
      <c r="J776" s="27" t="s">
        <v>63</v>
      </c>
      <c r="K776" s="29">
        <v>407</v>
      </c>
      <c r="L776" s="31">
        <v>226038.12999983999</v>
      </c>
      <c r="M776" s="31">
        <v>71952.600000290011</v>
      </c>
      <c r="N776" s="31">
        <v>55834.739999930003</v>
      </c>
      <c r="O776" s="34">
        <f t="shared" si="108"/>
        <v>0.31832063024207885</v>
      </c>
      <c r="P776" s="34">
        <f t="shared" si="109"/>
        <v>0.77599336229274485</v>
      </c>
      <c r="Q776" s="34">
        <f t="shared" si="110"/>
        <v>0.68167936975792109</v>
      </c>
      <c r="R776" s="46">
        <f t="shared" si="111"/>
        <v>137.18609336592138</v>
      </c>
    </row>
    <row r="777" spans="2:18" ht="12.75" customHeight="1" x14ac:dyDescent="0.25">
      <c r="B777" s="17" t="s">
        <v>0</v>
      </c>
      <c r="C777" s="44" t="s">
        <v>54</v>
      </c>
      <c r="D777" s="22" t="s">
        <v>2</v>
      </c>
      <c r="E777" s="20">
        <v>1</v>
      </c>
      <c r="F777" s="17" t="s">
        <v>120</v>
      </c>
      <c r="G777" s="17" t="s">
        <v>213</v>
      </c>
      <c r="H777" s="17" t="s">
        <v>214</v>
      </c>
      <c r="I777" s="17" t="s">
        <v>215</v>
      </c>
      <c r="J777" s="27" t="s">
        <v>55</v>
      </c>
      <c r="K777" s="29">
        <v>345</v>
      </c>
      <c r="L777" s="31">
        <v>142109.12999986002</v>
      </c>
      <c r="M777" s="31">
        <v>58606.690000245995</v>
      </c>
      <c r="N777" s="31">
        <v>45539.94999999</v>
      </c>
      <c r="O777" s="34">
        <f t="shared" si="108"/>
        <v>0.41240622611864364</v>
      </c>
      <c r="P777" s="34">
        <f t="shared" si="109"/>
        <v>0.77704354229523709</v>
      </c>
      <c r="Q777" s="34">
        <f t="shared" si="110"/>
        <v>0.58759377388135636</v>
      </c>
      <c r="R777" s="46">
        <f t="shared" si="111"/>
        <v>131.99985507243477</v>
      </c>
    </row>
    <row r="778" spans="2:18" ht="12.75" customHeight="1" x14ac:dyDescent="0.25">
      <c r="B778" s="17" t="s">
        <v>0</v>
      </c>
      <c r="C778" s="44" t="s">
        <v>50</v>
      </c>
      <c r="D778" s="22" t="s">
        <v>2</v>
      </c>
      <c r="E778" s="20">
        <v>1</v>
      </c>
      <c r="F778" s="17" t="s">
        <v>120</v>
      </c>
      <c r="G778" s="17" t="s">
        <v>213</v>
      </c>
      <c r="H778" s="17" t="s">
        <v>214</v>
      </c>
      <c r="I778" s="17" t="s">
        <v>215</v>
      </c>
      <c r="J778" s="27" t="s">
        <v>51</v>
      </c>
      <c r="K778" s="29">
        <v>183</v>
      </c>
      <c r="L778" s="31">
        <v>147997.24</v>
      </c>
      <c r="M778" s="31">
        <v>30378.880000040004</v>
      </c>
      <c r="N778" s="31">
        <v>23731.720000149995</v>
      </c>
      <c r="O778" s="34">
        <f t="shared" si="108"/>
        <v>0.20526653064638237</v>
      </c>
      <c r="P778" s="34">
        <f t="shared" si="109"/>
        <v>0.7811914066653789</v>
      </c>
      <c r="Q778" s="34">
        <f t="shared" si="110"/>
        <v>0.79473346935361766</v>
      </c>
      <c r="R778" s="46">
        <f t="shared" si="111"/>
        <v>129.68153005546446</v>
      </c>
    </row>
    <row r="779" spans="2:18" ht="12.75" customHeight="1" x14ac:dyDescent="0.25">
      <c r="B779" s="17" t="s">
        <v>0</v>
      </c>
      <c r="C779" s="44" t="s">
        <v>46</v>
      </c>
      <c r="D779" s="22" t="s">
        <v>2</v>
      </c>
      <c r="E779" s="20">
        <v>1</v>
      </c>
      <c r="F779" s="17" t="s">
        <v>120</v>
      </c>
      <c r="G779" s="17" t="s">
        <v>213</v>
      </c>
      <c r="H779" s="17" t="s">
        <v>214</v>
      </c>
      <c r="I779" s="17" t="s">
        <v>215</v>
      </c>
      <c r="J779" s="27" t="s">
        <v>47</v>
      </c>
      <c r="K779" s="29">
        <v>199</v>
      </c>
      <c r="L779" s="31">
        <v>144564.00000001999</v>
      </c>
      <c r="M779" s="31">
        <v>29826.129999870001</v>
      </c>
      <c r="N779" s="31">
        <v>22958.170000007995</v>
      </c>
      <c r="O779" s="34">
        <f t="shared" si="108"/>
        <v>0.20631782463037737</v>
      </c>
      <c r="P779" s="34">
        <f t="shared" si="109"/>
        <v>0.76973345184601749</v>
      </c>
      <c r="Q779" s="34">
        <f t="shared" si="110"/>
        <v>0.7936821753696226</v>
      </c>
      <c r="R779" s="46">
        <f t="shared" si="111"/>
        <v>115.36768844225124</v>
      </c>
    </row>
    <row r="780" spans="2:18" ht="12.75" customHeight="1" x14ac:dyDescent="0.25">
      <c r="B780" s="17" t="s">
        <v>0</v>
      </c>
      <c r="C780" s="44" t="s">
        <v>14</v>
      </c>
      <c r="D780" s="22" t="s">
        <v>2</v>
      </c>
      <c r="E780" s="20">
        <v>1</v>
      </c>
      <c r="F780" s="17" t="s">
        <v>120</v>
      </c>
      <c r="G780" s="17" t="s">
        <v>213</v>
      </c>
      <c r="H780" s="17" t="s">
        <v>214</v>
      </c>
      <c r="I780" s="17" t="s">
        <v>215</v>
      </c>
      <c r="J780" s="27" t="s">
        <v>15</v>
      </c>
      <c r="K780" s="29">
        <v>107</v>
      </c>
      <c r="L780" s="31">
        <v>35741</v>
      </c>
      <c r="M780" s="31">
        <v>13607.429999959</v>
      </c>
      <c r="N780" s="31">
        <v>10611.750000012002</v>
      </c>
      <c r="O780" s="34">
        <f t="shared" si="108"/>
        <v>0.3807232590011192</v>
      </c>
      <c r="P780" s="34">
        <f t="shared" si="109"/>
        <v>0.77984968506499575</v>
      </c>
      <c r="Q780" s="34">
        <f t="shared" si="110"/>
        <v>0.61927674099888086</v>
      </c>
      <c r="R780" s="46">
        <f t="shared" si="111"/>
        <v>99.175233644971982</v>
      </c>
    </row>
    <row r="781" spans="2:18" ht="12.75" customHeight="1" x14ac:dyDescent="0.25">
      <c r="B781" s="17" t="s">
        <v>0</v>
      </c>
      <c r="C781" s="44" t="s">
        <v>28</v>
      </c>
      <c r="D781" s="22" t="s">
        <v>2</v>
      </c>
      <c r="E781" s="20">
        <v>1</v>
      </c>
      <c r="F781" s="17" t="s">
        <v>120</v>
      </c>
      <c r="G781" s="17" t="s">
        <v>213</v>
      </c>
      <c r="H781" s="17" t="s">
        <v>214</v>
      </c>
      <c r="I781" s="17" t="s">
        <v>215</v>
      </c>
      <c r="J781" s="27" t="s">
        <v>29</v>
      </c>
      <c r="K781" s="29">
        <v>69</v>
      </c>
      <c r="L781" s="31">
        <v>27741</v>
      </c>
      <c r="M781" s="31">
        <v>11277.100000039998</v>
      </c>
      <c r="N781" s="31">
        <v>8953.4100000399994</v>
      </c>
      <c r="O781" s="34">
        <f t="shared" si="108"/>
        <v>0.40651382430481953</v>
      </c>
      <c r="P781" s="34">
        <f t="shared" si="109"/>
        <v>0.79394613863566366</v>
      </c>
      <c r="Q781" s="34">
        <f t="shared" si="110"/>
        <v>0.59348617569518047</v>
      </c>
      <c r="R781" s="46">
        <f t="shared" si="111"/>
        <v>129.75956521797102</v>
      </c>
    </row>
    <row r="782" spans="2:18" ht="12.75" customHeight="1" x14ac:dyDescent="0.25">
      <c r="B782" s="17" t="s">
        <v>0</v>
      </c>
      <c r="C782" s="44" t="s">
        <v>32</v>
      </c>
      <c r="D782" s="22" t="s">
        <v>2</v>
      </c>
      <c r="E782" s="20">
        <v>1</v>
      </c>
      <c r="F782" s="17" t="s">
        <v>120</v>
      </c>
      <c r="G782" s="17" t="s">
        <v>213</v>
      </c>
      <c r="H782" s="17" t="s">
        <v>214</v>
      </c>
      <c r="I782" s="17" t="s">
        <v>215</v>
      </c>
      <c r="J782" s="27" t="s">
        <v>33</v>
      </c>
      <c r="K782" s="29">
        <v>58</v>
      </c>
      <c r="L782" s="31">
        <v>25829</v>
      </c>
      <c r="M782" s="31">
        <v>8903.0900001240007</v>
      </c>
      <c r="N782" s="31">
        <v>7118.4799999839997</v>
      </c>
      <c r="O782" s="34">
        <f t="shared" si="108"/>
        <v>0.34469356150543967</v>
      </c>
      <c r="P782" s="34">
        <f t="shared" si="109"/>
        <v>0.79955161633599736</v>
      </c>
      <c r="Q782" s="34">
        <f t="shared" si="110"/>
        <v>0.65530643849456038</v>
      </c>
      <c r="R782" s="46">
        <f t="shared" si="111"/>
        <v>122.73241379282759</v>
      </c>
    </row>
    <row r="783" spans="2:18" ht="12.75" customHeight="1" x14ac:dyDescent="0.25">
      <c r="B783" s="17" t="s">
        <v>0</v>
      </c>
      <c r="C783" s="44" t="s">
        <v>12</v>
      </c>
      <c r="D783" s="22" t="s">
        <v>2</v>
      </c>
      <c r="E783" s="20">
        <v>1</v>
      </c>
      <c r="F783" s="17" t="s">
        <v>120</v>
      </c>
      <c r="G783" s="17" t="s">
        <v>213</v>
      </c>
      <c r="H783" s="17" t="s">
        <v>214</v>
      </c>
      <c r="I783" s="17" t="s">
        <v>215</v>
      </c>
      <c r="J783" s="27" t="s">
        <v>13</v>
      </c>
      <c r="K783" s="29">
        <v>64</v>
      </c>
      <c r="L783" s="31">
        <v>25612</v>
      </c>
      <c r="M783" s="31">
        <v>8108.9799999979996</v>
      </c>
      <c r="N783" s="31">
        <v>6432.71</v>
      </c>
      <c r="O783" s="34">
        <f t="shared" si="108"/>
        <v>0.3166086209588474</v>
      </c>
      <c r="P783" s="34">
        <f t="shared" si="109"/>
        <v>0.79328226238091437</v>
      </c>
      <c r="Q783" s="34">
        <f t="shared" si="110"/>
        <v>0.68339137904115255</v>
      </c>
      <c r="R783" s="46">
        <f t="shared" si="111"/>
        <v>100.51109375</v>
      </c>
    </row>
    <row r="784" spans="2:18" ht="12.75" customHeight="1" x14ac:dyDescent="0.25">
      <c r="B784" s="17" t="s">
        <v>0</v>
      </c>
      <c r="C784" s="44" t="s">
        <v>145</v>
      </c>
      <c r="D784" s="22" t="s">
        <v>2</v>
      </c>
      <c r="E784" s="20">
        <v>1</v>
      </c>
      <c r="F784" s="17" t="s">
        <v>120</v>
      </c>
      <c r="G784" s="17" t="s">
        <v>213</v>
      </c>
      <c r="H784" s="17" t="s">
        <v>214</v>
      </c>
      <c r="I784" s="17" t="s">
        <v>215</v>
      </c>
      <c r="J784" s="27" t="s">
        <v>146</v>
      </c>
      <c r="K784" s="29">
        <v>45</v>
      </c>
      <c r="L784" s="31">
        <v>25583</v>
      </c>
      <c r="M784" s="31">
        <v>7418.53</v>
      </c>
      <c r="N784" s="31">
        <v>5729.07</v>
      </c>
      <c r="O784" s="34">
        <f t="shared" si="108"/>
        <v>0.28997889223312356</v>
      </c>
      <c r="P784" s="34">
        <f t="shared" si="109"/>
        <v>0.77226485570591474</v>
      </c>
      <c r="Q784" s="34">
        <f t="shared" si="110"/>
        <v>0.71002110776687644</v>
      </c>
      <c r="R784" s="46">
        <f t="shared" si="111"/>
        <v>127.31266666666666</v>
      </c>
    </row>
    <row r="785" spans="2:18" ht="12.75" customHeight="1" x14ac:dyDescent="0.25">
      <c r="B785" s="17" t="s">
        <v>0</v>
      </c>
      <c r="C785" s="44" t="s">
        <v>24</v>
      </c>
      <c r="D785" s="22" t="s">
        <v>2</v>
      </c>
      <c r="E785" s="20">
        <v>1</v>
      </c>
      <c r="F785" s="17" t="s">
        <v>120</v>
      </c>
      <c r="G785" s="17" t="s">
        <v>213</v>
      </c>
      <c r="H785" s="17" t="s">
        <v>214</v>
      </c>
      <c r="I785" s="17" t="s">
        <v>215</v>
      </c>
      <c r="J785" s="27" t="s">
        <v>25</v>
      </c>
      <c r="K785" s="29">
        <v>27</v>
      </c>
      <c r="L785" s="31">
        <v>9920</v>
      </c>
      <c r="M785" s="31">
        <v>4222.4300000200001</v>
      </c>
      <c r="N785" s="31">
        <v>3222.0300000500001</v>
      </c>
      <c r="O785" s="34">
        <f t="shared" si="108"/>
        <v>0.42564818548588712</v>
      </c>
      <c r="P785" s="34">
        <f t="shared" si="109"/>
        <v>0.76307481711591163</v>
      </c>
      <c r="Q785" s="34">
        <f t="shared" si="110"/>
        <v>0.57435181451411288</v>
      </c>
      <c r="R785" s="46">
        <f t="shared" si="111"/>
        <v>119.3344444462963</v>
      </c>
    </row>
    <row r="786" spans="2:18" ht="12.75" customHeight="1" x14ac:dyDescent="0.25">
      <c r="B786" s="17" t="s">
        <v>0</v>
      </c>
      <c r="C786" s="44" t="s">
        <v>66</v>
      </c>
      <c r="D786" s="22" t="s">
        <v>2</v>
      </c>
      <c r="E786" s="20">
        <v>1</v>
      </c>
      <c r="F786" s="17" t="s">
        <v>120</v>
      </c>
      <c r="G786" s="17" t="s">
        <v>213</v>
      </c>
      <c r="H786" s="17" t="s">
        <v>214</v>
      </c>
      <c r="I786" s="17" t="s">
        <v>215</v>
      </c>
      <c r="J786" s="27" t="s">
        <v>67</v>
      </c>
      <c r="K786" s="29">
        <v>21</v>
      </c>
      <c r="L786" s="31">
        <v>12600</v>
      </c>
      <c r="M786" s="31">
        <v>4381.9299999300001</v>
      </c>
      <c r="N786" s="31">
        <v>3163.23</v>
      </c>
      <c r="O786" s="34">
        <f t="shared" si="108"/>
        <v>0.34777222221666665</v>
      </c>
      <c r="P786" s="34">
        <f t="shared" si="109"/>
        <v>0.72188054123423506</v>
      </c>
      <c r="Q786" s="34">
        <f t="shared" si="110"/>
        <v>0.65222777778333341</v>
      </c>
      <c r="R786" s="46">
        <f t="shared" si="111"/>
        <v>150.63</v>
      </c>
    </row>
    <row r="787" spans="2:18" ht="12.75" customHeight="1" x14ac:dyDescent="0.25">
      <c r="B787" s="17" t="s">
        <v>0</v>
      </c>
      <c r="C787" s="44" t="s">
        <v>127</v>
      </c>
      <c r="D787" s="22" t="s">
        <v>2</v>
      </c>
      <c r="E787" s="20">
        <v>1</v>
      </c>
      <c r="F787" s="17" t="s">
        <v>120</v>
      </c>
      <c r="G787" s="17" t="s">
        <v>213</v>
      </c>
      <c r="H787" s="17" t="s">
        <v>214</v>
      </c>
      <c r="I787" s="17" t="s">
        <v>215</v>
      </c>
      <c r="J787" s="27" t="s">
        <v>128</v>
      </c>
      <c r="K787" s="29">
        <v>28</v>
      </c>
      <c r="L787" s="31">
        <v>5310.2</v>
      </c>
      <c r="M787" s="31">
        <v>2425.08</v>
      </c>
      <c r="N787" s="31">
        <v>1894.2000000000003</v>
      </c>
      <c r="O787" s="34">
        <f t="shared" si="108"/>
        <v>0.45668336409174798</v>
      </c>
      <c r="P787" s="34">
        <f t="shared" si="109"/>
        <v>0.78108763422237626</v>
      </c>
      <c r="Q787" s="34">
        <f t="shared" si="110"/>
        <v>0.54331663590825197</v>
      </c>
      <c r="R787" s="46">
        <f t="shared" si="111"/>
        <v>67.650000000000006</v>
      </c>
    </row>
    <row r="788" spans="2:18" ht="12.75" customHeight="1" x14ac:dyDescent="0.25">
      <c r="B788" s="17" t="s">
        <v>0</v>
      </c>
      <c r="C788" s="44" t="s">
        <v>151</v>
      </c>
      <c r="D788" s="22" t="s">
        <v>2</v>
      </c>
      <c r="E788" s="20">
        <v>1</v>
      </c>
      <c r="F788" s="17" t="s">
        <v>120</v>
      </c>
      <c r="G788" s="17" t="s">
        <v>213</v>
      </c>
      <c r="H788" s="17" t="s">
        <v>214</v>
      </c>
      <c r="I788" s="17" t="s">
        <v>215</v>
      </c>
      <c r="J788" s="27" t="s">
        <v>152</v>
      </c>
      <c r="K788" s="29">
        <v>15</v>
      </c>
      <c r="L788" s="31">
        <v>4470</v>
      </c>
      <c r="M788" s="31">
        <v>2356.9499999999998</v>
      </c>
      <c r="N788" s="31">
        <v>1893</v>
      </c>
      <c r="O788" s="34">
        <f t="shared" si="108"/>
        <v>0.52728187919463088</v>
      </c>
      <c r="P788" s="34">
        <f t="shared" si="109"/>
        <v>0.80315662190542869</v>
      </c>
      <c r="Q788" s="34">
        <f t="shared" si="110"/>
        <v>0.47271812080536912</v>
      </c>
      <c r="R788" s="46">
        <f t="shared" si="111"/>
        <v>126.2</v>
      </c>
    </row>
    <row r="789" spans="2:18" ht="12.75" customHeight="1" x14ac:dyDescent="0.25">
      <c r="B789" s="17" t="s">
        <v>0</v>
      </c>
      <c r="C789" s="44" t="s">
        <v>44</v>
      </c>
      <c r="D789" s="22" t="s">
        <v>2</v>
      </c>
      <c r="E789" s="20">
        <v>1</v>
      </c>
      <c r="F789" s="17" t="s">
        <v>120</v>
      </c>
      <c r="G789" s="17" t="s">
        <v>213</v>
      </c>
      <c r="H789" s="17" t="s">
        <v>214</v>
      </c>
      <c r="I789" s="17" t="s">
        <v>215</v>
      </c>
      <c r="J789" s="27" t="s">
        <v>45</v>
      </c>
      <c r="K789" s="29">
        <v>11</v>
      </c>
      <c r="L789" s="31">
        <v>6886</v>
      </c>
      <c r="M789" s="31">
        <v>1921.6700000300002</v>
      </c>
      <c r="N789" s="31">
        <v>1541.0199999700001</v>
      </c>
      <c r="O789" s="34">
        <f t="shared" si="108"/>
        <v>0.27906912576677317</v>
      </c>
      <c r="P789" s="34">
        <f t="shared" si="109"/>
        <v>0.80191708250945393</v>
      </c>
      <c r="Q789" s="34">
        <f t="shared" si="110"/>
        <v>0.72093087423322677</v>
      </c>
      <c r="R789" s="46">
        <f t="shared" si="111"/>
        <v>140.09272727000001</v>
      </c>
    </row>
    <row r="790" spans="2:18" ht="12.75" customHeight="1" x14ac:dyDescent="0.25">
      <c r="B790" s="17" t="s">
        <v>0</v>
      </c>
      <c r="C790" s="44" t="s">
        <v>38</v>
      </c>
      <c r="D790" s="22" t="s">
        <v>2</v>
      </c>
      <c r="E790" s="20">
        <v>1</v>
      </c>
      <c r="F790" s="17" t="s">
        <v>120</v>
      </c>
      <c r="G790" s="17" t="s">
        <v>213</v>
      </c>
      <c r="H790" s="17" t="s">
        <v>214</v>
      </c>
      <c r="I790" s="17" t="s">
        <v>215</v>
      </c>
      <c r="J790" s="27" t="s">
        <v>39</v>
      </c>
      <c r="K790" s="29">
        <v>22</v>
      </c>
      <c r="L790" s="31">
        <v>5500</v>
      </c>
      <c r="M790" s="31">
        <v>2009.5299999939998</v>
      </c>
      <c r="N790" s="31">
        <v>1512.479999998</v>
      </c>
      <c r="O790" s="34">
        <f t="shared" si="108"/>
        <v>0.36536909090799996</v>
      </c>
      <c r="P790" s="34">
        <f t="shared" si="109"/>
        <v>0.75265360557071359</v>
      </c>
      <c r="Q790" s="34">
        <f t="shared" si="110"/>
        <v>0.63463090909200004</v>
      </c>
      <c r="R790" s="46">
        <f t="shared" si="111"/>
        <v>68.749090909000003</v>
      </c>
    </row>
    <row r="791" spans="2:18" ht="12.75" customHeight="1" x14ac:dyDescent="0.25">
      <c r="B791" s="17" t="s">
        <v>0</v>
      </c>
      <c r="C791" s="44" t="s">
        <v>48</v>
      </c>
      <c r="D791" s="22" t="s">
        <v>2</v>
      </c>
      <c r="E791" s="20">
        <v>1</v>
      </c>
      <c r="F791" s="17" t="s">
        <v>120</v>
      </c>
      <c r="G791" s="17" t="s">
        <v>213</v>
      </c>
      <c r="H791" s="17" t="s">
        <v>214</v>
      </c>
      <c r="I791" s="17" t="s">
        <v>215</v>
      </c>
      <c r="J791" s="27" t="s">
        <v>49</v>
      </c>
      <c r="K791" s="29">
        <v>12</v>
      </c>
      <c r="L791" s="31">
        <v>4392</v>
      </c>
      <c r="M791" s="31">
        <v>1211.04</v>
      </c>
      <c r="N791" s="31">
        <v>971.40000000000009</v>
      </c>
      <c r="O791" s="34">
        <f t="shared" si="108"/>
        <v>0.27573770491803279</v>
      </c>
      <c r="P791" s="34">
        <f t="shared" si="109"/>
        <v>0.80212049147839881</v>
      </c>
      <c r="Q791" s="34">
        <f t="shared" si="110"/>
        <v>0.72426229508196727</v>
      </c>
      <c r="R791" s="46">
        <f t="shared" si="111"/>
        <v>80.95</v>
      </c>
    </row>
    <row r="792" spans="2:18" ht="12.75" customHeight="1" thickBot="1" x14ac:dyDescent="0.3">
      <c r="B792" s="15" t="s">
        <v>0</v>
      </c>
      <c r="C792" s="50" t="s">
        <v>182</v>
      </c>
      <c r="D792" s="19" t="s">
        <v>2</v>
      </c>
      <c r="E792" s="16">
        <v>1</v>
      </c>
      <c r="F792" s="15" t="s">
        <v>120</v>
      </c>
      <c r="G792" s="15" t="s">
        <v>213</v>
      </c>
      <c r="H792" s="15" t="s">
        <v>214</v>
      </c>
      <c r="I792" s="15" t="s">
        <v>215</v>
      </c>
      <c r="J792" s="24" t="s">
        <v>183</v>
      </c>
      <c r="K792" s="26">
        <v>13</v>
      </c>
      <c r="L792" s="28">
        <v>4919.2</v>
      </c>
      <c r="M792" s="28">
        <v>1211.3699999959999</v>
      </c>
      <c r="N792" s="28">
        <v>890.86999999400007</v>
      </c>
      <c r="O792" s="32">
        <f t="shared" si="108"/>
        <v>0.24625345584566596</v>
      </c>
      <c r="P792" s="32">
        <f t="shared" si="109"/>
        <v>0.73542352872940708</v>
      </c>
      <c r="Q792" s="32">
        <f t="shared" si="110"/>
        <v>0.75374654415433406</v>
      </c>
      <c r="R792" s="49">
        <f t="shared" si="111"/>
        <v>68.528461538000002</v>
      </c>
    </row>
    <row r="793" spans="2:18" ht="17.25" customHeight="1" x14ac:dyDescent="0.25">
      <c r="B793" s="48"/>
      <c r="C793" s="58"/>
      <c r="D793" s="51" t="s">
        <v>366</v>
      </c>
      <c r="E793" s="52"/>
      <c r="F793" s="52"/>
      <c r="G793" s="53"/>
      <c r="H793" s="53"/>
      <c r="I793" s="53"/>
      <c r="J793" s="54"/>
      <c r="K793" s="55">
        <f>SUM(K775:K792)</f>
        <v>4144</v>
      </c>
      <c r="L793" s="56">
        <f>SUM(L775:L792)</f>
        <v>1962198.8299995698</v>
      </c>
      <c r="M793" s="56">
        <f>SUM(M775:M792)</f>
        <v>689591.19000065792</v>
      </c>
      <c r="N793" s="56">
        <f>SUM(N775:N792)</f>
        <v>533372.44999843719</v>
      </c>
      <c r="O793" s="57">
        <f>IFERROR(M793/L793,0)</f>
        <v>0.35143797838306179</v>
      </c>
      <c r="P793" s="57">
        <f>IFERROR(N793/M793,0)</f>
        <v>0.77346181002969061</v>
      </c>
      <c r="Q793" s="57">
        <f>IFERROR(1-(M793/L793),0)</f>
        <v>0.64856202161693821</v>
      </c>
      <c r="R793" s="59">
        <f>IFERROR(N793/K793,0)</f>
        <v>128.70956804981591</v>
      </c>
    </row>
    <row r="794" spans="2:18" ht="15.75" thickBot="1" x14ac:dyDescent="0.3">
      <c r="B794" s="60"/>
      <c r="C794" s="64"/>
      <c r="D794" s="62" t="s">
        <v>215</v>
      </c>
      <c r="E794" s="61"/>
      <c r="F794" s="61"/>
      <c r="G794" s="61"/>
      <c r="H794" s="61"/>
      <c r="I794" s="61"/>
      <c r="J794" s="61"/>
      <c r="K794" s="63"/>
      <c r="L794" s="63"/>
      <c r="M794" s="63"/>
      <c r="N794" s="63"/>
      <c r="O794" s="63"/>
      <c r="P794" s="63"/>
      <c r="Q794" s="63"/>
      <c r="R794" s="65"/>
    </row>
    <row r="795" spans="2:18" ht="15.75" thickBot="1" x14ac:dyDescent="0.3"/>
    <row r="796" spans="2:18" ht="15.75" x14ac:dyDescent="0.25">
      <c r="B796" s="1"/>
      <c r="C796" s="7" t="s">
        <v>348</v>
      </c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9"/>
    </row>
    <row r="797" spans="2:18" ht="18" x14ac:dyDescent="0.25">
      <c r="B797" s="2"/>
      <c r="C797" s="8" t="s">
        <v>218</v>
      </c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10"/>
    </row>
    <row r="798" spans="2:18" ht="15.75" thickBot="1" x14ac:dyDescent="0.3">
      <c r="B798" s="3"/>
      <c r="C798" s="11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12"/>
    </row>
    <row r="799" spans="2:18" ht="17.25" customHeight="1" thickBot="1" x14ac:dyDescent="0.3">
      <c r="B799" s="14" t="s">
        <v>349</v>
      </c>
      <c r="C799" s="18" t="s">
        <v>350</v>
      </c>
      <c r="D799" s="21" t="s">
        <v>351</v>
      </c>
      <c r="E799" s="23" t="s">
        <v>352</v>
      </c>
      <c r="F799" s="21" t="s">
        <v>353</v>
      </c>
      <c r="G799" s="23" t="s">
        <v>354</v>
      </c>
      <c r="H799" s="23" t="s">
        <v>355</v>
      </c>
      <c r="I799" s="23" t="s">
        <v>356</v>
      </c>
      <c r="J799" s="25" t="s">
        <v>357</v>
      </c>
      <c r="K799" s="25" t="s">
        <v>358</v>
      </c>
      <c r="L799" s="30" t="s">
        <v>359</v>
      </c>
      <c r="M799" s="30" t="s">
        <v>360</v>
      </c>
      <c r="N799" s="30" t="s">
        <v>361</v>
      </c>
      <c r="O799" s="33" t="s">
        <v>362</v>
      </c>
      <c r="P799" s="33" t="s">
        <v>363</v>
      </c>
      <c r="Q799" s="33" t="s">
        <v>364</v>
      </c>
      <c r="R799" s="35" t="s">
        <v>365</v>
      </c>
    </row>
    <row r="800" spans="2:18" ht="12.75" customHeight="1" x14ac:dyDescent="0.25">
      <c r="B800" s="17" t="s">
        <v>0</v>
      </c>
      <c r="C800" s="43" t="s">
        <v>54</v>
      </c>
      <c r="D800" s="37" t="s">
        <v>9</v>
      </c>
      <c r="E800" s="36">
        <v>2</v>
      </c>
      <c r="F800" s="38" t="s">
        <v>120</v>
      </c>
      <c r="G800" s="38" t="s">
        <v>216</v>
      </c>
      <c r="H800" s="38" t="s">
        <v>217</v>
      </c>
      <c r="I800" s="38" t="s">
        <v>218</v>
      </c>
      <c r="J800" s="39" t="s">
        <v>55</v>
      </c>
      <c r="K800" s="40">
        <v>2224254</v>
      </c>
      <c r="L800" s="41">
        <v>498838016.01002926</v>
      </c>
      <c r="M800" s="41">
        <v>243772721.87002599</v>
      </c>
      <c r="N800" s="41">
        <v>174824063.36998522</v>
      </c>
      <c r="O800" s="42">
        <f t="shared" ref="O800:O831" si="112">IFERROR(M800/L800,0)</f>
        <v>0.48868112302235778</v>
      </c>
      <c r="P800" s="42">
        <f t="shared" ref="P800:P831" si="113">IFERROR(N800/M800,0)</f>
        <v>0.71716007446968322</v>
      </c>
      <c r="Q800" s="42">
        <f t="shared" ref="Q800:Q831" si="114">IFERROR(1-(M800/L800),0)</f>
        <v>0.51131887697764222</v>
      </c>
      <c r="R800" s="45">
        <f t="shared" ref="R800:R831" si="115">IFERROR(N800/K800,0)</f>
        <v>78.598965482352838</v>
      </c>
    </row>
    <row r="801" spans="2:18" ht="12.75" customHeight="1" x14ac:dyDescent="0.25">
      <c r="B801" s="17" t="s">
        <v>0</v>
      </c>
      <c r="C801" s="44" t="s">
        <v>30</v>
      </c>
      <c r="D801" s="22" t="s">
        <v>9</v>
      </c>
      <c r="E801" s="20">
        <v>2</v>
      </c>
      <c r="F801" s="17" t="s">
        <v>120</v>
      </c>
      <c r="G801" s="17" t="s">
        <v>216</v>
      </c>
      <c r="H801" s="17" t="s">
        <v>217</v>
      </c>
      <c r="I801" s="17" t="s">
        <v>218</v>
      </c>
      <c r="J801" s="27" t="s">
        <v>31</v>
      </c>
      <c r="K801" s="29">
        <v>1760329</v>
      </c>
      <c r="L801" s="31">
        <v>394107441.90999043</v>
      </c>
      <c r="M801" s="31">
        <v>196245843.4099046</v>
      </c>
      <c r="N801" s="31">
        <v>143976122.98000127</v>
      </c>
      <c r="O801" s="34">
        <f t="shared" si="112"/>
        <v>0.49795010837355586</v>
      </c>
      <c r="P801" s="34">
        <f t="shared" si="113"/>
        <v>0.73365183424177816</v>
      </c>
      <c r="Q801" s="34">
        <f t="shared" si="114"/>
        <v>0.5020498916264442</v>
      </c>
      <c r="R801" s="46">
        <f t="shared" si="115"/>
        <v>81.789326302072666</v>
      </c>
    </row>
    <row r="802" spans="2:18" ht="12.75" customHeight="1" x14ac:dyDescent="0.25">
      <c r="B802" s="17" t="s">
        <v>0</v>
      </c>
      <c r="C802" s="44" t="s">
        <v>46</v>
      </c>
      <c r="D802" s="22" t="s">
        <v>9</v>
      </c>
      <c r="E802" s="20">
        <v>2</v>
      </c>
      <c r="F802" s="17" t="s">
        <v>120</v>
      </c>
      <c r="G802" s="17" t="s">
        <v>216</v>
      </c>
      <c r="H802" s="17" t="s">
        <v>217</v>
      </c>
      <c r="I802" s="17" t="s">
        <v>218</v>
      </c>
      <c r="J802" s="27" t="s">
        <v>47</v>
      </c>
      <c r="K802" s="29">
        <v>1738023</v>
      </c>
      <c r="L802" s="31">
        <v>422932681.5699321</v>
      </c>
      <c r="M802" s="31">
        <v>161991949.18001649</v>
      </c>
      <c r="N802" s="31">
        <v>114656319.13998137</v>
      </c>
      <c r="O802" s="34">
        <f t="shared" si="112"/>
        <v>0.38302064663979163</v>
      </c>
      <c r="P802" s="34">
        <f t="shared" si="113"/>
        <v>0.70779023105998595</v>
      </c>
      <c r="Q802" s="34">
        <f t="shared" si="114"/>
        <v>0.61697935336020837</v>
      </c>
      <c r="R802" s="46">
        <f t="shared" si="115"/>
        <v>65.969391164548099</v>
      </c>
    </row>
    <row r="803" spans="2:18" ht="12.75" customHeight="1" x14ac:dyDescent="0.25">
      <c r="B803" s="17" t="s">
        <v>0</v>
      </c>
      <c r="C803" s="44" t="s">
        <v>14</v>
      </c>
      <c r="D803" s="22" t="s">
        <v>9</v>
      </c>
      <c r="E803" s="20">
        <v>2</v>
      </c>
      <c r="F803" s="17" t="s">
        <v>120</v>
      </c>
      <c r="G803" s="17" t="s">
        <v>216</v>
      </c>
      <c r="H803" s="17" t="s">
        <v>217</v>
      </c>
      <c r="I803" s="17" t="s">
        <v>218</v>
      </c>
      <c r="J803" s="27" t="s">
        <v>15</v>
      </c>
      <c r="K803" s="29">
        <v>824932</v>
      </c>
      <c r="L803" s="31">
        <v>208697626.5800361</v>
      </c>
      <c r="M803" s="31">
        <v>100581751.57000639</v>
      </c>
      <c r="N803" s="31">
        <v>71559369.430022612</v>
      </c>
      <c r="O803" s="34">
        <f t="shared" si="112"/>
        <v>0.48194966669366035</v>
      </c>
      <c r="P803" s="34">
        <f t="shared" si="113"/>
        <v>0.7114547948612352</v>
      </c>
      <c r="Q803" s="34">
        <f t="shared" si="114"/>
        <v>0.51805033330633965</v>
      </c>
      <c r="R803" s="46">
        <f t="shared" si="115"/>
        <v>86.745779567312951</v>
      </c>
    </row>
    <row r="804" spans="2:18" ht="12.75" customHeight="1" x14ac:dyDescent="0.25">
      <c r="B804" s="17" t="s">
        <v>0</v>
      </c>
      <c r="C804" s="44" t="s">
        <v>50</v>
      </c>
      <c r="D804" s="22" t="s">
        <v>9</v>
      </c>
      <c r="E804" s="20">
        <v>2</v>
      </c>
      <c r="F804" s="17" t="s">
        <v>120</v>
      </c>
      <c r="G804" s="17" t="s">
        <v>216</v>
      </c>
      <c r="H804" s="17" t="s">
        <v>217</v>
      </c>
      <c r="I804" s="17" t="s">
        <v>218</v>
      </c>
      <c r="J804" s="27" t="s">
        <v>51</v>
      </c>
      <c r="K804" s="29">
        <v>932361</v>
      </c>
      <c r="L804" s="31">
        <v>231306600.63002685</v>
      </c>
      <c r="M804" s="31">
        <v>84627833.750002161</v>
      </c>
      <c r="N804" s="31">
        <v>59371240.269986108</v>
      </c>
      <c r="O804" s="34">
        <f t="shared" si="112"/>
        <v>0.36586865017900522</v>
      </c>
      <c r="P804" s="34">
        <f t="shared" si="113"/>
        <v>0.70155689492624629</v>
      </c>
      <c r="Q804" s="34">
        <f t="shared" si="114"/>
        <v>0.63413134982099484</v>
      </c>
      <c r="R804" s="46">
        <f t="shared" si="115"/>
        <v>63.678382375481284</v>
      </c>
    </row>
    <row r="805" spans="2:18" ht="12.75" customHeight="1" x14ac:dyDescent="0.25">
      <c r="B805" s="17" t="s">
        <v>0</v>
      </c>
      <c r="C805" s="44" t="s">
        <v>82</v>
      </c>
      <c r="D805" s="22" t="s">
        <v>9</v>
      </c>
      <c r="E805" s="20">
        <v>2</v>
      </c>
      <c r="F805" s="17" t="s">
        <v>120</v>
      </c>
      <c r="G805" s="17" t="s">
        <v>216</v>
      </c>
      <c r="H805" s="17" t="s">
        <v>217</v>
      </c>
      <c r="I805" s="17" t="s">
        <v>218</v>
      </c>
      <c r="J805" s="27" t="s">
        <v>83</v>
      </c>
      <c r="K805" s="29">
        <v>755622</v>
      </c>
      <c r="L805" s="31">
        <v>147805563.69003671</v>
      </c>
      <c r="M805" s="31">
        <v>73961804.340003163</v>
      </c>
      <c r="N805" s="31">
        <v>50282390.619999826</v>
      </c>
      <c r="O805" s="34">
        <f t="shared" si="112"/>
        <v>0.50039932525888253</v>
      </c>
      <c r="P805" s="34">
        <f t="shared" si="113"/>
        <v>0.67984267107453422</v>
      </c>
      <c r="Q805" s="34">
        <f t="shared" si="114"/>
        <v>0.49960067474111747</v>
      </c>
      <c r="R805" s="46">
        <f t="shared" si="115"/>
        <v>66.544370889148041</v>
      </c>
    </row>
    <row r="806" spans="2:18" ht="12.75" customHeight="1" x14ac:dyDescent="0.25">
      <c r="B806" s="17" t="s">
        <v>0</v>
      </c>
      <c r="C806" s="44" t="s">
        <v>90</v>
      </c>
      <c r="D806" s="22" t="s">
        <v>9</v>
      </c>
      <c r="E806" s="20">
        <v>2</v>
      </c>
      <c r="F806" s="17" t="s">
        <v>120</v>
      </c>
      <c r="G806" s="17" t="s">
        <v>216</v>
      </c>
      <c r="H806" s="17" t="s">
        <v>217</v>
      </c>
      <c r="I806" s="17" t="s">
        <v>218</v>
      </c>
      <c r="J806" s="27" t="s">
        <v>91</v>
      </c>
      <c r="K806" s="29">
        <v>577759</v>
      </c>
      <c r="L806" s="31">
        <v>157570381.03999421</v>
      </c>
      <c r="M806" s="31">
        <v>63793578.659986161</v>
      </c>
      <c r="N806" s="31">
        <v>45678712.059992827</v>
      </c>
      <c r="O806" s="34">
        <f t="shared" si="112"/>
        <v>0.4048576784477928</v>
      </c>
      <c r="P806" s="34">
        <f t="shared" si="113"/>
        <v>0.71603934156846905</v>
      </c>
      <c r="Q806" s="34">
        <f t="shared" si="114"/>
        <v>0.59514232155220714</v>
      </c>
      <c r="R806" s="46">
        <f t="shared" si="115"/>
        <v>79.061878845665461</v>
      </c>
    </row>
    <row r="807" spans="2:18" ht="12.75" customHeight="1" x14ac:dyDescent="0.25">
      <c r="B807" s="17" t="s">
        <v>0</v>
      </c>
      <c r="C807" s="44" t="s">
        <v>56</v>
      </c>
      <c r="D807" s="22" t="s">
        <v>9</v>
      </c>
      <c r="E807" s="20">
        <v>2</v>
      </c>
      <c r="F807" s="17" t="s">
        <v>120</v>
      </c>
      <c r="G807" s="17" t="s">
        <v>216</v>
      </c>
      <c r="H807" s="17" t="s">
        <v>217</v>
      </c>
      <c r="I807" s="17" t="s">
        <v>218</v>
      </c>
      <c r="J807" s="27" t="s">
        <v>57</v>
      </c>
      <c r="K807" s="29">
        <v>419190</v>
      </c>
      <c r="L807" s="31">
        <v>107834779.70003562</v>
      </c>
      <c r="M807" s="31">
        <v>48508094.039945558</v>
      </c>
      <c r="N807" s="31">
        <v>34500125.430014685</v>
      </c>
      <c r="O807" s="34">
        <f t="shared" si="112"/>
        <v>0.44983718773183096</v>
      </c>
      <c r="P807" s="34">
        <f t="shared" si="113"/>
        <v>0.71122409801556918</v>
      </c>
      <c r="Q807" s="34">
        <f t="shared" si="114"/>
        <v>0.55016281226816899</v>
      </c>
      <c r="R807" s="46">
        <f t="shared" si="115"/>
        <v>82.301880841658161</v>
      </c>
    </row>
    <row r="808" spans="2:18" ht="12.75" customHeight="1" x14ac:dyDescent="0.25">
      <c r="B808" s="17" t="s">
        <v>0</v>
      </c>
      <c r="C808" s="44" t="s">
        <v>66</v>
      </c>
      <c r="D808" s="22" t="s">
        <v>9</v>
      </c>
      <c r="E808" s="20">
        <v>2</v>
      </c>
      <c r="F808" s="17" t="s">
        <v>120</v>
      </c>
      <c r="G808" s="17" t="s">
        <v>216</v>
      </c>
      <c r="H808" s="17" t="s">
        <v>217</v>
      </c>
      <c r="I808" s="17" t="s">
        <v>218</v>
      </c>
      <c r="J808" s="27" t="s">
        <v>67</v>
      </c>
      <c r="K808" s="29">
        <v>312792</v>
      </c>
      <c r="L808" s="31">
        <v>95222761.420025229</v>
      </c>
      <c r="M808" s="31">
        <v>42261160.379991792</v>
      </c>
      <c r="N808" s="31">
        <v>30544799.679998063</v>
      </c>
      <c r="O808" s="34">
        <f t="shared" si="112"/>
        <v>0.44381364024488712</v>
      </c>
      <c r="P808" s="34">
        <f t="shared" si="113"/>
        <v>0.72276292002761133</v>
      </c>
      <c r="Q808" s="34">
        <f t="shared" si="114"/>
        <v>0.55618635975511288</v>
      </c>
      <c r="R808" s="46">
        <f t="shared" si="115"/>
        <v>97.652112841754459</v>
      </c>
    </row>
    <row r="809" spans="2:18" ht="12.75" customHeight="1" x14ac:dyDescent="0.25">
      <c r="B809" s="17" t="s">
        <v>0</v>
      </c>
      <c r="C809" s="44" t="s">
        <v>34</v>
      </c>
      <c r="D809" s="22" t="s">
        <v>9</v>
      </c>
      <c r="E809" s="20">
        <v>2</v>
      </c>
      <c r="F809" s="17" t="s">
        <v>120</v>
      </c>
      <c r="G809" s="17" t="s">
        <v>216</v>
      </c>
      <c r="H809" s="17" t="s">
        <v>217</v>
      </c>
      <c r="I809" s="17" t="s">
        <v>218</v>
      </c>
      <c r="J809" s="27" t="s">
        <v>35</v>
      </c>
      <c r="K809" s="29">
        <v>363099</v>
      </c>
      <c r="L809" s="31">
        <v>87543396.709310114</v>
      </c>
      <c r="M809" s="31">
        <v>43678053.457094505</v>
      </c>
      <c r="N809" s="31">
        <v>30338082.316717919</v>
      </c>
      <c r="O809" s="34">
        <f t="shared" si="112"/>
        <v>0.4989303031287271</v>
      </c>
      <c r="P809" s="34">
        <f t="shared" si="113"/>
        <v>0.69458411983765245</v>
      </c>
      <c r="Q809" s="34">
        <f t="shared" si="114"/>
        <v>0.5010696968712729</v>
      </c>
      <c r="R809" s="46">
        <f t="shared" si="115"/>
        <v>83.553197108000631</v>
      </c>
    </row>
    <row r="810" spans="2:18" ht="12.75" customHeight="1" x14ac:dyDescent="0.25">
      <c r="B810" s="17" t="s">
        <v>0</v>
      </c>
      <c r="C810" s="44" t="s">
        <v>103</v>
      </c>
      <c r="D810" s="22" t="s">
        <v>9</v>
      </c>
      <c r="E810" s="20">
        <v>2</v>
      </c>
      <c r="F810" s="17" t="s">
        <v>120</v>
      </c>
      <c r="G810" s="17" t="s">
        <v>216</v>
      </c>
      <c r="H810" s="17" t="s">
        <v>217</v>
      </c>
      <c r="I810" s="17" t="s">
        <v>218</v>
      </c>
      <c r="J810" s="27" t="s">
        <v>104</v>
      </c>
      <c r="K810" s="29">
        <v>422380</v>
      </c>
      <c r="L810" s="31">
        <v>77251655.459976852</v>
      </c>
      <c r="M810" s="31">
        <v>39895727.639985092</v>
      </c>
      <c r="N810" s="31">
        <v>28475269.229997873</v>
      </c>
      <c r="O810" s="34">
        <f t="shared" si="112"/>
        <v>0.51643848151130667</v>
      </c>
      <c r="P810" s="34">
        <f t="shared" si="113"/>
        <v>0.71374232065537813</v>
      </c>
      <c r="Q810" s="34">
        <f t="shared" si="114"/>
        <v>0.48356151848869333</v>
      </c>
      <c r="R810" s="46">
        <f t="shared" si="115"/>
        <v>67.416234741223249</v>
      </c>
    </row>
    <row r="811" spans="2:18" ht="12.75" customHeight="1" x14ac:dyDescent="0.25">
      <c r="B811" s="17" t="s">
        <v>0</v>
      </c>
      <c r="C811" s="44" t="s">
        <v>12</v>
      </c>
      <c r="D811" s="22" t="s">
        <v>9</v>
      </c>
      <c r="E811" s="20">
        <v>2</v>
      </c>
      <c r="F811" s="17" t="s">
        <v>120</v>
      </c>
      <c r="G811" s="17" t="s">
        <v>216</v>
      </c>
      <c r="H811" s="17" t="s">
        <v>217</v>
      </c>
      <c r="I811" s="17" t="s">
        <v>218</v>
      </c>
      <c r="J811" s="27" t="s">
        <v>13</v>
      </c>
      <c r="K811" s="29">
        <v>276269</v>
      </c>
      <c r="L811" s="31">
        <v>73684074.539941192</v>
      </c>
      <c r="M811" s="31">
        <v>34000744.899992041</v>
      </c>
      <c r="N811" s="31">
        <v>24248583.090007994</v>
      </c>
      <c r="O811" s="34">
        <f t="shared" si="112"/>
        <v>0.46143953238581559</v>
      </c>
      <c r="P811" s="34">
        <f t="shared" si="113"/>
        <v>0.71317799540367333</v>
      </c>
      <c r="Q811" s="34">
        <f t="shared" si="114"/>
        <v>0.53856046761418441</v>
      </c>
      <c r="R811" s="46">
        <f t="shared" si="115"/>
        <v>87.771639561470863</v>
      </c>
    </row>
    <row r="812" spans="2:18" ht="12.75" customHeight="1" x14ac:dyDescent="0.25">
      <c r="B812" s="17" t="s">
        <v>0</v>
      </c>
      <c r="C812" s="44" t="s">
        <v>145</v>
      </c>
      <c r="D812" s="22" t="s">
        <v>9</v>
      </c>
      <c r="E812" s="20">
        <v>2</v>
      </c>
      <c r="F812" s="17" t="s">
        <v>120</v>
      </c>
      <c r="G812" s="17" t="s">
        <v>216</v>
      </c>
      <c r="H812" s="17" t="s">
        <v>217</v>
      </c>
      <c r="I812" s="17" t="s">
        <v>218</v>
      </c>
      <c r="J812" s="27" t="s">
        <v>146</v>
      </c>
      <c r="K812" s="29">
        <v>260360</v>
      </c>
      <c r="L812" s="31">
        <v>89991241.430018663</v>
      </c>
      <c r="M812" s="31">
        <v>32041810.560045578</v>
      </c>
      <c r="N812" s="31">
        <v>23664617.080019366</v>
      </c>
      <c r="O812" s="34">
        <f t="shared" si="112"/>
        <v>0.3560547676738382</v>
      </c>
      <c r="P812" s="34">
        <f t="shared" si="113"/>
        <v>0.73855430346772843</v>
      </c>
      <c r="Q812" s="34">
        <f t="shared" si="114"/>
        <v>0.64394523232616185</v>
      </c>
      <c r="R812" s="46">
        <f t="shared" si="115"/>
        <v>90.891907666382565</v>
      </c>
    </row>
    <row r="813" spans="2:18" ht="12.75" customHeight="1" x14ac:dyDescent="0.25">
      <c r="B813" s="17" t="s">
        <v>0</v>
      </c>
      <c r="C813" s="44" t="s">
        <v>114</v>
      </c>
      <c r="D813" s="22" t="s">
        <v>9</v>
      </c>
      <c r="E813" s="20">
        <v>2</v>
      </c>
      <c r="F813" s="17" t="s">
        <v>120</v>
      </c>
      <c r="G813" s="17" t="s">
        <v>216</v>
      </c>
      <c r="H813" s="17" t="s">
        <v>217</v>
      </c>
      <c r="I813" s="17" t="s">
        <v>218</v>
      </c>
      <c r="J813" s="27" t="s">
        <v>118</v>
      </c>
      <c r="K813" s="29">
        <v>243585</v>
      </c>
      <c r="L813" s="31">
        <v>59506572.520019412</v>
      </c>
      <c r="M813" s="31">
        <v>30179129.019974545</v>
      </c>
      <c r="N813" s="31">
        <v>21417211.599990748</v>
      </c>
      <c r="O813" s="34">
        <f t="shared" si="112"/>
        <v>0.50715623068059545</v>
      </c>
      <c r="P813" s="34">
        <f t="shared" si="113"/>
        <v>0.70966963910109604</v>
      </c>
      <c r="Q813" s="34">
        <f t="shared" si="114"/>
        <v>0.49284376931940455</v>
      </c>
      <c r="R813" s="46">
        <f t="shared" si="115"/>
        <v>87.925001949999995</v>
      </c>
    </row>
    <row r="814" spans="2:18" ht="12.75" customHeight="1" x14ac:dyDescent="0.25">
      <c r="B814" s="17" t="s">
        <v>0</v>
      </c>
      <c r="C814" s="44" t="s">
        <v>170</v>
      </c>
      <c r="D814" s="22" t="s">
        <v>9</v>
      </c>
      <c r="E814" s="20">
        <v>2</v>
      </c>
      <c r="F814" s="17" t="s">
        <v>120</v>
      </c>
      <c r="G814" s="17" t="s">
        <v>216</v>
      </c>
      <c r="H814" s="17" t="s">
        <v>217</v>
      </c>
      <c r="I814" s="17" t="s">
        <v>218</v>
      </c>
      <c r="J814" s="27" t="s">
        <v>171</v>
      </c>
      <c r="K814" s="29">
        <v>265275</v>
      </c>
      <c r="L814" s="31">
        <v>62207417.810011379</v>
      </c>
      <c r="M814" s="31">
        <v>29374287.259994421</v>
      </c>
      <c r="N814" s="31">
        <v>20885967.990002334</v>
      </c>
      <c r="O814" s="34">
        <f t="shared" si="112"/>
        <v>0.47219910895042899</v>
      </c>
      <c r="P814" s="34">
        <f t="shared" si="113"/>
        <v>0.71102892829837128</v>
      </c>
      <c r="Q814" s="34">
        <f t="shared" si="114"/>
        <v>0.52780089104957106</v>
      </c>
      <c r="R814" s="46">
        <f t="shared" si="115"/>
        <v>78.733269211204728</v>
      </c>
    </row>
    <row r="815" spans="2:18" ht="12.75" customHeight="1" x14ac:dyDescent="0.25">
      <c r="B815" s="17" t="s">
        <v>0</v>
      </c>
      <c r="C815" s="44" t="s">
        <v>48</v>
      </c>
      <c r="D815" s="22" t="s">
        <v>9</v>
      </c>
      <c r="E815" s="20">
        <v>2</v>
      </c>
      <c r="F815" s="17" t="s">
        <v>120</v>
      </c>
      <c r="G815" s="17" t="s">
        <v>216</v>
      </c>
      <c r="H815" s="17" t="s">
        <v>217</v>
      </c>
      <c r="I815" s="17" t="s">
        <v>218</v>
      </c>
      <c r="J815" s="27" t="s">
        <v>49</v>
      </c>
      <c r="K815" s="29">
        <v>242671</v>
      </c>
      <c r="L815" s="31">
        <v>60176189.26000163</v>
      </c>
      <c r="M815" s="31">
        <v>28725467.719985999</v>
      </c>
      <c r="N815" s="31">
        <v>20352932.57000453</v>
      </c>
      <c r="O815" s="34">
        <f t="shared" si="112"/>
        <v>0.47735604519376673</v>
      </c>
      <c r="P815" s="34">
        <f t="shared" si="113"/>
        <v>0.70853267798469288</v>
      </c>
      <c r="Q815" s="34">
        <f t="shared" si="114"/>
        <v>0.52264395480623327</v>
      </c>
      <c r="R815" s="46">
        <f t="shared" si="115"/>
        <v>83.870477189299635</v>
      </c>
    </row>
    <row r="816" spans="2:18" ht="12.75" customHeight="1" x14ac:dyDescent="0.25">
      <c r="B816" s="17" t="s">
        <v>0</v>
      </c>
      <c r="C816" s="44" t="s">
        <v>44</v>
      </c>
      <c r="D816" s="22" t="s">
        <v>9</v>
      </c>
      <c r="E816" s="20">
        <v>2</v>
      </c>
      <c r="F816" s="17" t="s">
        <v>120</v>
      </c>
      <c r="G816" s="17" t="s">
        <v>216</v>
      </c>
      <c r="H816" s="17" t="s">
        <v>217</v>
      </c>
      <c r="I816" s="17" t="s">
        <v>218</v>
      </c>
      <c r="J816" s="27" t="s">
        <v>45</v>
      </c>
      <c r="K816" s="29">
        <v>213013</v>
      </c>
      <c r="L816" s="31">
        <v>56675874.079981163</v>
      </c>
      <c r="M816" s="31">
        <v>26388240.200024195</v>
      </c>
      <c r="N816" s="31">
        <v>19505340.240007803</v>
      </c>
      <c r="O816" s="34">
        <f t="shared" si="112"/>
        <v>0.4655991747526475</v>
      </c>
      <c r="P816" s="34">
        <f t="shared" si="113"/>
        <v>0.73916790555779155</v>
      </c>
      <c r="Q816" s="34">
        <f t="shared" si="114"/>
        <v>0.53440082524735244</v>
      </c>
      <c r="R816" s="46">
        <f t="shared" si="115"/>
        <v>91.568778619181941</v>
      </c>
    </row>
    <row r="817" spans="2:18" ht="12.75" customHeight="1" x14ac:dyDescent="0.25">
      <c r="B817" s="17" t="s">
        <v>0</v>
      </c>
      <c r="C817" s="44" t="s">
        <v>24</v>
      </c>
      <c r="D817" s="22" t="s">
        <v>9</v>
      </c>
      <c r="E817" s="20">
        <v>2</v>
      </c>
      <c r="F817" s="17" t="s">
        <v>120</v>
      </c>
      <c r="G817" s="17" t="s">
        <v>216</v>
      </c>
      <c r="H817" s="17" t="s">
        <v>217</v>
      </c>
      <c r="I817" s="17" t="s">
        <v>218</v>
      </c>
      <c r="J817" s="27" t="s">
        <v>25</v>
      </c>
      <c r="K817" s="29">
        <v>232220</v>
      </c>
      <c r="L817" s="31">
        <v>59666941.609996617</v>
      </c>
      <c r="M817" s="31">
        <v>26848534.370002881</v>
      </c>
      <c r="N817" s="31">
        <v>18913869.389998592</v>
      </c>
      <c r="O817" s="34">
        <f t="shared" si="112"/>
        <v>0.44997336289656026</v>
      </c>
      <c r="P817" s="34">
        <f t="shared" si="113"/>
        <v>0.70446561921571893</v>
      </c>
      <c r="Q817" s="34">
        <f t="shared" si="114"/>
        <v>0.55002663710343969</v>
      </c>
      <c r="R817" s="46">
        <f t="shared" si="115"/>
        <v>81.448063861849079</v>
      </c>
    </row>
    <row r="818" spans="2:18" ht="12.75" customHeight="1" x14ac:dyDescent="0.25">
      <c r="B818" s="17" t="s">
        <v>0</v>
      </c>
      <c r="C818" s="44" t="s">
        <v>94</v>
      </c>
      <c r="D818" s="22" t="s">
        <v>9</v>
      </c>
      <c r="E818" s="20">
        <v>2</v>
      </c>
      <c r="F818" s="17" t="s">
        <v>120</v>
      </c>
      <c r="G818" s="17" t="s">
        <v>216</v>
      </c>
      <c r="H818" s="17" t="s">
        <v>217</v>
      </c>
      <c r="I818" s="17" t="s">
        <v>218</v>
      </c>
      <c r="J818" s="27" t="s">
        <v>95</v>
      </c>
      <c r="K818" s="29">
        <v>198233</v>
      </c>
      <c r="L818" s="31">
        <v>54553506.270011142</v>
      </c>
      <c r="M818" s="31">
        <v>24775265.679978985</v>
      </c>
      <c r="N818" s="31">
        <v>17814980.030014779</v>
      </c>
      <c r="O818" s="34">
        <f t="shared" si="112"/>
        <v>0.45414616536936159</v>
      </c>
      <c r="P818" s="34">
        <f t="shared" si="113"/>
        <v>0.71906312772303194</v>
      </c>
      <c r="Q818" s="34">
        <f t="shared" si="114"/>
        <v>0.54585383463063841</v>
      </c>
      <c r="R818" s="46">
        <f t="shared" si="115"/>
        <v>89.86889180920825</v>
      </c>
    </row>
    <row r="819" spans="2:18" ht="12.75" customHeight="1" x14ac:dyDescent="0.25">
      <c r="B819" s="17" t="s">
        <v>0</v>
      </c>
      <c r="C819" s="44" t="s">
        <v>157</v>
      </c>
      <c r="D819" s="22" t="s">
        <v>9</v>
      </c>
      <c r="E819" s="20">
        <v>2</v>
      </c>
      <c r="F819" s="17" t="s">
        <v>120</v>
      </c>
      <c r="G819" s="17" t="s">
        <v>216</v>
      </c>
      <c r="H819" s="17" t="s">
        <v>217</v>
      </c>
      <c r="I819" s="17" t="s">
        <v>218</v>
      </c>
      <c r="J819" s="27" t="s">
        <v>158</v>
      </c>
      <c r="K819" s="29">
        <v>159669</v>
      </c>
      <c r="L819" s="31">
        <v>55690251.620014943</v>
      </c>
      <c r="M819" s="31">
        <v>19801001.260001227</v>
      </c>
      <c r="N819" s="31">
        <v>14618045.370009901</v>
      </c>
      <c r="O819" s="34">
        <f t="shared" si="112"/>
        <v>0.35555596687023755</v>
      </c>
      <c r="P819" s="34">
        <f t="shared" si="113"/>
        <v>0.73824778747622766</v>
      </c>
      <c r="Q819" s="34">
        <f t="shared" si="114"/>
        <v>0.64444403312976251</v>
      </c>
      <c r="R819" s="46">
        <f t="shared" si="115"/>
        <v>91.552182139362685</v>
      </c>
    </row>
    <row r="820" spans="2:18" ht="12.75" customHeight="1" x14ac:dyDescent="0.25">
      <c r="B820" s="17" t="s">
        <v>0</v>
      </c>
      <c r="C820" s="44" t="s">
        <v>16</v>
      </c>
      <c r="D820" s="22" t="s">
        <v>9</v>
      </c>
      <c r="E820" s="20">
        <v>2</v>
      </c>
      <c r="F820" s="17" t="s">
        <v>120</v>
      </c>
      <c r="G820" s="17" t="s">
        <v>216</v>
      </c>
      <c r="H820" s="17" t="s">
        <v>217</v>
      </c>
      <c r="I820" s="17" t="s">
        <v>218</v>
      </c>
      <c r="J820" s="27" t="s">
        <v>17</v>
      </c>
      <c r="K820" s="29">
        <v>167040</v>
      </c>
      <c r="L820" s="31">
        <v>61311331.409939833</v>
      </c>
      <c r="M820" s="31">
        <v>19097677.879992355</v>
      </c>
      <c r="N820" s="31">
        <v>14040046.689996492</v>
      </c>
      <c r="O820" s="34">
        <f t="shared" si="112"/>
        <v>0.31148692159857788</v>
      </c>
      <c r="P820" s="34">
        <f t="shared" si="113"/>
        <v>0.73517035831385136</v>
      </c>
      <c r="Q820" s="34">
        <f t="shared" si="114"/>
        <v>0.68851307840142217</v>
      </c>
      <c r="R820" s="46">
        <f t="shared" si="115"/>
        <v>84.052003651798927</v>
      </c>
    </row>
    <row r="821" spans="2:18" ht="12.75" customHeight="1" x14ac:dyDescent="0.25">
      <c r="B821" s="17" t="s">
        <v>0</v>
      </c>
      <c r="C821" s="44" t="s">
        <v>7</v>
      </c>
      <c r="D821" s="22" t="s">
        <v>9</v>
      </c>
      <c r="E821" s="20">
        <v>2</v>
      </c>
      <c r="F821" s="17" t="s">
        <v>120</v>
      </c>
      <c r="G821" s="17" t="s">
        <v>216</v>
      </c>
      <c r="H821" s="17" t="s">
        <v>217</v>
      </c>
      <c r="I821" s="17" t="s">
        <v>218</v>
      </c>
      <c r="J821" s="27" t="s">
        <v>8</v>
      </c>
      <c r="K821" s="29">
        <v>160595</v>
      </c>
      <c r="L821" s="31">
        <v>57957121.82002297</v>
      </c>
      <c r="M821" s="31">
        <v>18596859.300006885</v>
      </c>
      <c r="N821" s="31">
        <v>13787946.77999872</v>
      </c>
      <c r="O821" s="34">
        <f t="shared" si="112"/>
        <v>0.32087271962463221</v>
      </c>
      <c r="P821" s="34">
        <f t="shared" si="113"/>
        <v>0.74141265240381826</v>
      </c>
      <c r="Q821" s="34">
        <f t="shared" si="114"/>
        <v>0.67912728037536785</v>
      </c>
      <c r="R821" s="46">
        <f t="shared" si="115"/>
        <v>85.85539263363566</v>
      </c>
    </row>
    <row r="822" spans="2:18" ht="12.75" customHeight="1" x14ac:dyDescent="0.25">
      <c r="B822" s="17" t="s">
        <v>0</v>
      </c>
      <c r="C822" s="44" t="s">
        <v>127</v>
      </c>
      <c r="D822" s="22" t="s">
        <v>9</v>
      </c>
      <c r="E822" s="20">
        <v>2</v>
      </c>
      <c r="F822" s="17" t="s">
        <v>120</v>
      </c>
      <c r="G822" s="17" t="s">
        <v>216</v>
      </c>
      <c r="H822" s="17" t="s">
        <v>217</v>
      </c>
      <c r="I822" s="17" t="s">
        <v>218</v>
      </c>
      <c r="J822" s="27" t="s">
        <v>128</v>
      </c>
      <c r="K822" s="29">
        <v>137312</v>
      </c>
      <c r="L822" s="31">
        <v>32122451.099963155</v>
      </c>
      <c r="M822" s="31">
        <v>16567593.240026325</v>
      </c>
      <c r="N822" s="31">
        <v>11907299.91999534</v>
      </c>
      <c r="O822" s="34">
        <f t="shared" si="112"/>
        <v>0.51576366910697324</v>
      </c>
      <c r="P822" s="34">
        <f t="shared" si="113"/>
        <v>0.71871030073505227</v>
      </c>
      <c r="Q822" s="34">
        <f t="shared" si="114"/>
        <v>0.48423633089302676</v>
      </c>
      <c r="R822" s="46">
        <f t="shared" si="115"/>
        <v>86.717110813296287</v>
      </c>
    </row>
    <row r="823" spans="2:18" ht="12.75" customHeight="1" x14ac:dyDescent="0.25">
      <c r="B823" s="17" t="s">
        <v>0</v>
      </c>
      <c r="C823" s="44" t="s">
        <v>58</v>
      </c>
      <c r="D823" s="22" t="s">
        <v>9</v>
      </c>
      <c r="E823" s="20">
        <v>2</v>
      </c>
      <c r="F823" s="17" t="s">
        <v>120</v>
      </c>
      <c r="G823" s="17" t="s">
        <v>216</v>
      </c>
      <c r="H823" s="17" t="s">
        <v>217</v>
      </c>
      <c r="I823" s="17" t="s">
        <v>218</v>
      </c>
      <c r="J823" s="27" t="s">
        <v>59</v>
      </c>
      <c r="K823" s="29">
        <v>133145</v>
      </c>
      <c r="L823" s="31">
        <v>40439156.709982231</v>
      </c>
      <c r="M823" s="31">
        <v>15355562.650031088</v>
      </c>
      <c r="N823" s="31">
        <v>11316110.990005158</v>
      </c>
      <c r="O823" s="34">
        <f t="shared" si="112"/>
        <v>0.37972014995655518</v>
      </c>
      <c r="P823" s="34">
        <f t="shared" si="113"/>
        <v>0.73693887016131243</v>
      </c>
      <c r="Q823" s="34">
        <f t="shared" si="114"/>
        <v>0.62027985004344477</v>
      </c>
      <c r="R823" s="46">
        <f t="shared" si="115"/>
        <v>84.990882045928558</v>
      </c>
    </row>
    <row r="824" spans="2:18" ht="12.75" customHeight="1" x14ac:dyDescent="0.25">
      <c r="B824" s="17" t="s">
        <v>0</v>
      </c>
      <c r="C824" s="44" t="s">
        <v>166</v>
      </c>
      <c r="D824" s="22" t="s">
        <v>9</v>
      </c>
      <c r="E824" s="20">
        <v>2</v>
      </c>
      <c r="F824" s="17" t="s">
        <v>120</v>
      </c>
      <c r="G824" s="17" t="s">
        <v>216</v>
      </c>
      <c r="H824" s="17" t="s">
        <v>217</v>
      </c>
      <c r="I824" s="17" t="s">
        <v>218</v>
      </c>
      <c r="J824" s="27" t="s">
        <v>167</v>
      </c>
      <c r="K824" s="29">
        <v>150714</v>
      </c>
      <c r="L824" s="31">
        <v>25428057.409993969</v>
      </c>
      <c r="M824" s="31">
        <v>15815312.790004605</v>
      </c>
      <c r="N824" s="31">
        <v>10826144.499993011</v>
      </c>
      <c r="O824" s="34">
        <f t="shared" si="112"/>
        <v>0.62196307547224294</v>
      </c>
      <c r="P824" s="34">
        <f t="shared" si="113"/>
        <v>0.68453559178641188</v>
      </c>
      <c r="Q824" s="34">
        <f t="shared" si="114"/>
        <v>0.37803692452775706</v>
      </c>
      <c r="R824" s="46">
        <f t="shared" si="115"/>
        <v>71.832374563696874</v>
      </c>
    </row>
    <row r="825" spans="2:18" ht="12.75" customHeight="1" x14ac:dyDescent="0.25">
      <c r="B825" s="17" t="s">
        <v>0</v>
      </c>
      <c r="C825" s="44" t="s">
        <v>20</v>
      </c>
      <c r="D825" s="22" t="s">
        <v>9</v>
      </c>
      <c r="E825" s="20">
        <v>2</v>
      </c>
      <c r="F825" s="17" t="s">
        <v>120</v>
      </c>
      <c r="G825" s="17" t="s">
        <v>216</v>
      </c>
      <c r="H825" s="17" t="s">
        <v>217</v>
      </c>
      <c r="I825" s="17" t="s">
        <v>218</v>
      </c>
      <c r="J825" s="27" t="s">
        <v>21</v>
      </c>
      <c r="K825" s="29">
        <v>125853</v>
      </c>
      <c r="L825" s="31">
        <v>54860232.399965622</v>
      </c>
      <c r="M825" s="31">
        <v>14273486.670046164</v>
      </c>
      <c r="N825" s="31">
        <v>10532935.410009746</v>
      </c>
      <c r="O825" s="34">
        <f t="shared" si="112"/>
        <v>0.2601791141893724</v>
      </c>
      <c r="P825" s="34">
        <f t="shared" si="113"/>
        <v>0.73793710349089359</v>
      </c>
      <c r="Q825" s="34">
        <f t="shared" si="114"/>
        <v>0.73982088581062766</v>
      </c>
      <c r="R825" s="46">
        <f t="shared" si="115"/>
        <v>83.692366570600186</v>
      </c>
    </row>
    <row r="826" spans="2:18" ht="12.75" customHeight="1" x14ac:dyDescent="0.25">
      <c r="B826" s="17" t="s">
        <v>0</v>
      </c>
      <c r="C826" s="44" t="s">
        <v>46</v>
      </c>
      <c r="D826" s="22" t="s">
        <v>2</v>
      </c>
      <c r="E826" s="20">
        <v>1</v>
      </c>
      <c r="F826" s="17" t="s">
        <v>120</v>
      </c>
      <c r="G826" s="17" t="s">
        <v>216</v>
      </c>
      <c r="H826" s="17" t="s">
        <v>217</v>
      </c>
      <c r="I826" s="17" t="s">
        <v>218</v>
      </c>
      <c r="J826" s="27" t="s">
        <v>47</v>
      </c>
      <c r="K826" s="29">
        <v>181326</v>
      </c>
      <c r="L826" s="31">
        <v>47004956.179984391</v>
      </c>
      <c r="M826" s="31">
        <v>13784378.389994333</v>
      </c>
      <c r="N826" s="31">
        <v>10075844.390002199</v>
      </c>
      <c r="O826" s="34">
        <f t="shared" si="112"/>
        <v>0.29325372280346862</v>
      </c>
      <c r="P826" s="34">
        <f t="shared" si="113"/>
        <v>0.73096109994455405</v>
      </c>
      <c r="Q826" s="34">
        <f t="shared" si="114"/>
        <v>0.70674627719653138</v>
      </c>
      <c r="R826" s="46">
        <f t="shared" si="115"/>
        <v>55.567565544942248</v>
      </c>
    </row>
    <row r="827" spans="2:18" ht="12.75" customHeight="1" x14ac:dyDescent="0.25">
      <c r="B827" s="17" t="s">
        <v>0</v>
      </c>
      <c r="C827" s="44" t="s">
        <v>32</v>
      </c>
      <c r="D827" s="22" t="s">
        <v>9</v>
      </c>
      <c r="E827" s="20">
        <v>2</v>
      </c>
      <c r="F827" s="17" t="s">
        <v>120</v>
      </c>
      <c r="G827" s="17" t="s">
        <v>216</v>
      </c>
      <c r="H827" s="17" t="s">
        <v>217</v>
      </c>
      <c r="I827" s="17" t="s">
        <v>218</v>
      </c>
      <c r="J827" s="27" t="s">
        <v>33</v>
      </c>
      <c r="K827" s="29">
        <v>98495</v>
      </c>
      <c r="L827" s="31">
        <v>27379142.119940076</v>
      </c>
      <c r="M827" s="31">
        <v>12577568.10997385</v>
      </c>
      <c r="N827" s="31">
        <v>9231377.0499889515</v>
      </c>
      <c r="O827" s="34">
        <f t="shared" si="112"/>
        <v>0.45938503313490153</v>
      </c>
      <c r="P827" s="34">
        <f t="shared" si="113"/>
        <v>0.73395563985605361</v>
      </c>
      <c r="Q827" s="34">
        <f t="shared" si="114"/>
        <v>0.54061496686509847</v>
      </c>
      <c r="R827" s="46">
        <f t="shared" si="115"/>
        <v>93.724321539052255</v>
      </c>
    </row>
    <row r="828" spans="2:18" ht="12.75" customHeight="1" x14ac:dyDescent="0.25">
      <c r="B828" s="17" t="s">
        <v>0</v>
      </c>
      <c r="C828" s="44" t="s">
        <v>110</v>
      </c>
      <c r="D828" s="22" t="s">
        <v>9</v>
      </c>
      <c r="E828" s="20">
        <v>2</v>
      </c>
      <c r="F828" s="17" t="s">
        <v>120</v>
      </c>
      <c r="G828" s="17" t="s">
        <v>216</v>
      </c>
      <c r="H828" s="17" t="s">
        <v>217</v>
      </c>
      <c r="I828" s="17" t="s">
        <v>218</v>
      </c>
      <c r="J828" s="27" t="s">
        <v>111</v>
      </c>
      <c r="K828" s="29">
        <v>131518</v>
      </c>
      <c r="L828" s="31">
        <v>24071490.219999213</v>
      </c>
      <c r="M828" s="31">
        <v>11066775.019996768</v>
      </c>
      <c r="N828" s="31">
        <v>8204246.8200012706</v>
      </c>
      <c r="O828" s="34">
        <f t="shared" si="112"/>
        <v>0.4597461527663213</v>
      </c>
      <c r="P828" s="34">
        <f t="shared" si="113"/>
        <v>0.74134034578066865</v>
      </c>
      <c r="Q828" s="34">
        <f t="shared" si="114"/>
        <v>0.54025384723367864</v>
      </c>
      <c r="R828" s="46">
        <f t="shared" si="115"/>
        <v>62.381170790319736</v>
      </c>
    </row>
    <row r="829" spans="2:18" ht="12.75" customHeight="1" x14ac:dyDescent="0.25">
      <c r="B829" s="17" t="s">
        <v>0</v>
      </c>
      <c r="C829" s="44" t="s">
        <v>36</v>
      </c>
      <c r="D829" s="22" t="s">
        <v>9</v>
      </c>
      <c r="E829" s="20">
        <v>2</v>
      </c>
      <c r="F829" s="17" t="s">
        <v>120</v>
      </c>
      <c r="G829" s="17" t="s">
        <v>216</v>
      </c>
      <c r="H829" s="17" t="s">
        <v>217</v>
      </c>
      <c r="I829" s="17" t="s">
        <v>218</v>
      </c>
      <c r="J829" s="27" t="s">
        <v>37</v>
      </c>
      <c r="K829" s="29">
        <v>87906</v>
      </c>
      <c r="L829" s="31">
        <v>23455015.189998124</v>
      </c>
      <c r="M829" s="31">
        <v>10182705.249985978</v>
      </c>
      <c r="N829" s="31">
        <v>7388143.7999961376</v>
      </c>
      <c r="O829" s="34">
        <f t="shared" si="112"/>
        <v>0.43413765318421832</v>
      </c>
      <c r="P829" s="34">
        <f t="shared" si="113"/>
        <v>0.72555805344619118</v>
      </c>
      <c r="Q829" s="34">
        <f t="shared" si="114"/>
        <v>0.56586234681578174</v>
      </c>
      <c r="R829" s="46">
        <f t="shared" si="115"/>
        <v>84.045955907402657</v>
      </c>
    </row>
    <row r="830" spans="2:18" ht="12.75" customHeight="1" x14ac:dyDescent="0.25">
      <c r="B830" s="17" t="s">
        <v>0</v>
      </c>
      <c r="C830" s="44" t="s">
        <v>30</v>
      </c>
      <c r="D830" s="22" t="s">
        <v>2</v>
      </c>
      <c r="E830" s="20">
        <v>1</v>
      </c>
      <c r="F830" s="17" t="s">
        <v>120</v>
      </c>
      <c r="G830" s="17" t="s">
        <v>216</v>
      </c>
      <c r="H830" s="17" t="s">
        <v>217</v>
      </c>
      <c r="I830" s="17" t="s">
        <v>218</v>
      </c>
      <c r="J830" s="27" t="s">
        <v>31</v>
      </c>
      <c r="K830" s="29">
        <v>91620</v>
      </c>
      <c r="L830" s="31">
        <v>27424431.669996936</v>
      </c>
      <c r="M830" s="31">
        <v>9320551.8499904964</v>
      </c>
      <c r="N830" s="31">
        <v>7101190.7300069109</v>
      </c>
      <c r="O830" s="34">
        <f t="shared" si="112"/>
        <v>0.3398630812899372</v>
      </c>
      <c r="P830" s="34">
        <f t="shared" si="113"/>
        <v>0.76188522356797483</v>
      </c>
      <c r="Q830" s="34">
        <f t="shared" si="114"/>
        <v>0.66013691871006275</v>
      </c>
      <c r="R830" s="46">
        <f t="shared" si="115"/>
        <v>77.506993342140476</v>
      </c>
    </row>
    <row r="831" spans="2:18" ht="12.75" customHeight="1" x14ac:dyDescent="0.25">
      <c r="B831" s="17" t="s">
        <v>0</v>
      </c>
      <c r="C831" s="44" t="s">
        <v>68</v>
      </c>
      <c r="D831" s="22" t="s">
        <v>9</v>
      </c>
      <c r="E831" s="20">
        <v>2</v>
      </c>
      <c r="F831" s="17" t="s">
        <v>120</v>
      </c>
      <c r="G831" s="17" t="s">
        <v>216</v>
      </c>
      <c r="H831" s="17" t="s">
        <v>217</v>
      </c>
      <c r="I831" s="17" t="s">
        <v>218</v>
      </c>
      <c r="J831" s="27" t="s">
        <v>69</v>
      </c>
      <c r="K831" s="29">
        <v>66175</v>
      </c>
      <c r="L831" s="31">
        <v>22412356.829985641</v>
      </c>
      <c r="M831" s="31">
        <v>8147680.3600026434</v>
      </c>
      <c r="N831" s="31">
        <v>6076526.9600013047</v>
      </c>
      <c r="O831" s="34">
        <f t="shared" si="112"/>
        <v>0.36353518828068132</v>
      </c>
      <c r="P831" s="34">
        <f t="shared" si="113"/>
        <v>0.7457983980116929</v>
      </c>
      <c r="Q831" s="34">
        <f t="shared" si="114"/>
        <v>0.63646481171931868</v>
      </c>
      <c r="R831" s="46">
        <f t="shared" si="115"/>
        <v>91.825114620344607</v>
      </c>
    </row>
    <row r="832" spans="2:18" ht="12.75" customHeight="1" x14ac:dyDescent="0.25">
      <c r="B832" s="17" t="s">
        <v>0</v>
      </c>
      <c r="C832" s="44" t="s">
        <v>145</v>
      </c>
      <c r="D832" s="22" t="s">
        <v>2</v>
      </c>
      <c r="E832" s="20">
        <v>1</v>
      </c>
      <c r="F832" s="17" t="s">
        <v>120</v>
      </c>
      <c r="G832" s="17" t="s">
        <v>216</v>
      </c>
      <c r="H832" s="17" t="s">
        <v>217</v>
      </c>
      <c r="I832" s="17" t="s">
        <v>218</v>
      </c>
      <c r="J832" s="27" t="s">
        <v>146</v>
      </c>
      <c r="K832" s="29">
        <v>68811</v>
      </c>
      <c r="L832" s="31">
        <v>20778291.440011233</v>
      </c>
      <c r="M832" s="31">
        <v>7601002.2199965809</v>
      </c>
      <c r="N832" s="31">
        <v>5661052.4100172948</v>
      </c>
      <c r="O832" s="34">
        <f t="shared" ref="O832:O863" si="116">IFERROR(M832/L832,0)</f>
        <v>0.3658145926935979</v>
      </c>
      <c r="P832" s="34">
        <f t="shared" ref="P832:P863" si="117">IFERROR(N832/M832,0)</f>
        <v>0.74477710256738239</v>
      </c>
      <c r="Q832" s="34">
        <f t="shared" ref="Q832:Q863" si="118">IFERROR(1-(M832/L832),0)</f>
        <v>0.63418540730640216</v>
      </c>
      <c r="R832" s="46">
        <f t="shared" ref="R832:R863" si="119">IFERROR(N832/K832,0)</f>
        <v>82.269584950331989</v>
      </c>
    </row>
    <row r="833" spans="2:18" ht="12.75" customHeight="1" x14ac:dyDescent="0.25">
      <c r="B833" s="17" t="s">
        <v>0</v>
      </c>
      <c r="C833" s="44" t="s">
        <v>22</v>
      </c>
      <c r="D833" s="22" t="s">
        <v>9</v>
      </c>
      <c r="E833" s="20">
        <v>2</v>
      </c>
      <c r="F833" s="17" t="s">
        <v>120</v>
      </c>
      <c r="G833" s="17" t="s">
        <v>216</v>
      </c>
      <c r="H833" s="17" t="s">
        <v>217</v>
      </c>
      <c r="I833" s="17" t="s">
        <v>218</v>
      </c>
      <c r="J833" s="27" t="s">
        <v>23</v>
      </c>
      <c r="K833" s="29">
        <v>60509</v>
      </c>
      <c r="L833" s="31">
        <v>15468169.930002753</v>
      </c>
      <c r="M833" s="31">
        <v>6681022.0199913923</v>
      </c>
      <c r="N833" s="31">
        <v>5001122.7400017204</v>
      </c>
      <c r="O833" s="34">
        <f t="shared" si="116"/>
        <v>0.43192065061507917</v>
      </c>
      <c r="P833" s="34">
        <f t="shared" si="117"/>
        <v>0.74855654195376586</v>
      </c>
      <c r="Q833" s="34">
        <f t="shared" si="118"/>
        <v>0.56807934938492077</v>
      </c>
      <c r="R833" s="46">
        <f t="shared" si="119"/>
        <v>82.650890611342447</v>
      </c>
    </row>
    <row r="834" spans="2:18" ht="12.75" customHeight="1" x14ac:dyDescent="0.25">
      <c r="B834" s="17" t="s">
        <v>0</v>
      </c>
      <c r="C834" s="44" t="s">
        <v>92</v>
      </c>
      <c r="D834" s="22" t="s">
        <v>9</v>
      </c>
      <c r="E834" s="20">
        <v>2</v>
      </c>
      <c r="F834" s="17" t="s">
        <v>120</v>
      </c>
      <c r="G834" s="17" t="s">
        <v>216</v>
      </c>
      <c r="H834" s="17" t="s">
        <v>217</v>
      </c>
      <c r="I834" s="17" t="s">
        <v>218</v>
      </c>
      <c r="J834" s="27" t="s">
        <v>93</v>
      </c>
      <c r="K834" s="29">
        <v>56822</v>
      </c>
      <c r="L834" s="31">
        <v>12118541.08000363</v>
      </c>
      <c r="M834" s="31">
        <v>6674394.6300004283</v>
      </c>
      <c r="N834" s="31">
        <v>4819068.2799931252</v>
      </c>
      <c r="O834" s="34">
        <f t="shared" si="116"/>
        <v>0.55075892270676108</v>
      </c>
      <c r="P834" s="34">
        <f t="shared" si="117"/>
        <v>0.72202327658782983</v>
      </c>
      <c r="Q834" s="34">
        <f t="shared" si="118"/>
        <v>0.44924107729323892</v>
      </c>
      <c r="R834" s="46">
        <f t="shared" si="119"/>
        <v>84.809902502430845</v>
      </c>
    </row>
    <row r="835" spans="2:18" ht="12.75" customHeight="1" x14ac:dyDescent="0.25">
      <c r="B835" s="17" t="s">
        <v>0</v>
      </c>
      <c r="C835" s="44" t="s">
        <v>14</v>
      </c>
      <c r="D835" s="22" t="s">
        <v>2</v>
      </c>
      <c r="E835" s="20">
        <v>1</v>
      </c>
      <c r="F835" s="17" t="s">
        <v>120</v>
      </c>
      <c r="G835" s="17" t="s">
        <v>216</v>
      </c>
      <c r="H835" s="17" t="s">
        <v>217</v>
      </c>
      <c r="I835" s="17" t="s">
        <v>218</v>
      </c>
      <c r="J835" s="27" t="s">
        <v>15</v>
      </c>
      <c r="K835" s="29">
        <v>54784</v>
      </c>
      <c r="L835" s="31">
        <v>15300664.89000405</v>
      </c>
      <c r="M835" s="31">
        <v>5498446.7699987693</v>
      </c>
      <c r="N835" s="31">
        <v>3970505.0900002127</v>
      </c>
      <c r="O835" s="34">
        <f t="shared" si="116"/>
        <v>0.35935998922444956</v>
      </c>
      <c r="P835" s="34">
        <f t="shared" si="117"/>
        <v>0.72211394528078721</v>
      </c>
      <c r="Q835" s="34">
        <f t="shared" si="118"/>
        <v>0.64064001077555044</v>
      </c>
      <c r="R835" s="46">
        <f t="shared" si="119"/>
        <v>72.475633214080986</v>
      </c>
    </row>
    <row r="836" spans="2:18" ht="12.75" customHeight="1" x14ac:dyDescent="0.25">
      <c r="B836" s="17" t="s">
        <v>0</v>
      </c>
      <c r="C836" s="44" t="s">
        <v>70</v>
      </c>
      <c r="D836" s="22" t="s">
        <v>9</v>
      </c>
      <c r="E836" s="20">
        <v>2</v>
      </c>
      <c r="F836" s="17" t="s">
        <v>120</v>
      </c>
      <c r="G836" s="17" t="s">
        <v>216</v>
      </c>
      <c r="H836" s="17" t="s">
        <v>217</v>
      </c>
      <c r="I836" s="17" t="s">
        <v>218</v>
      </c>
      <c r="J836" s="27" t="s">
        <v>71</v>
      </c>
      <c r="K836" s="29">
        <v>48268</v>
      </c>
      <c r="L836" s="31">
        <v>10862289.130010353</v>
      </c>
      <c r="M836" s="31">
        <v>5295273.3100049701</v>
      </c>
      <c r="N836" s="31">
        <v>3804091.4700019886</v>
      </c>
      <c r="O836" s="34">
        <f t="shared" si="116"/>
        <v>0.48749147133040116</v>
      </c>
      <c r="P836" s="34">
        <f t="shared" si="117"/>
        <v>0.71839379146199689</v>
      </c>
      <c r="Q836" s="34">
        <f t="shared" si="118"/>
        <v>0.51250852866959884</v>
      </c>
      <c r="R836" s="46">
        <f t="shared" si="119"/>
        <v>78.811872669304478</v>
      </c>
    </row>
    <row r="837" spans="2:18" ht="12.75" customHeight="1" x14ac:dyDescent="0.25">
      <c r="B837" s="17" t="s">
        <v>0</v>
      </c>
      <c r="C837" s="44" t="s">
        <v>50</v>
      </c>
      <c r="D837" s="22" t="s">
        <v>2</v>
      </c>
      <c r="E837" s="20">
        <v>1</v>
      </c>
      <c r="F837" s="17" t="s">
        <v>120</v>
      </c>
      <c r="G837" s="17" t="s">
        <v>216</v>
      </c>
      <c r="H837" s="17" t="s">
        <v>217</v>
      </c>
      <c r="I837" s="17" t="s">
        <v>218</v>
      </c>
      <c r="J837" s="27" t="s">
        <v>51</v>
      </c>
      <c r="K837" s="29">
        <v>68088</v>
      </c>
      <c r="L837" s="31">
        <v>17559521.530011166</v>
      </c>
      <c r="M837" s="31">
        <v>5135305.4999996759</v>
      </c>
      <c r="N837" s="31">
        <v>3748455.4200016167</v>
      </c>
      <c r="O837" s="34">
        <f t="shared" si="116"/>
        <v>0.29245133423612202</v>
      </c>
      <c r="P837" s="34">
        <f t="shared" si="117"/>
        <v>0.72993815460479483</v>
      </c>
      <c r="Q837" s="34">
        <f t="shared" si="118"/>
        <v>0.70754866576387798</v>
      </c>
      <c r="R837" s="46">
        <f t="shared" si="119"/>
        <v>55.053099224556703</v>
      </c>
    </row>
    <row r="838" spans="2:18" ht="12.75" customHeight="1" x14ac:dyDescent="0.25">
      <c r="B838" s="17" t="s">
        <v>0</v>
      </c>
      <c r="C838" s="44" t="s">
        <v>151</v>
      </c>
      <c r="D838" s="22" t="s">
        <v>9</v>
      </c>
      <c r="E838" s="20">
        <v>2</v>
      </c>
      <c r="F838" s="17" t="s">
        <v>120</v>
      </c>
      <c r="G838" s="17" t="s">
        <v>216</v>
      </c>
      <c r="H838" s="17" t="s">
        <v>217</v>
      </c>
      <c r="I838" s="17" t="s">
        <v>218</v>
      </c>
      <c r="J838" s="27" t="s">
        <v>152</v>
      </c>
      <c r="K838" s="29">
        <v>39644</v>
      </c>
      <c r="L838" s="31">
        <v>11041678.100003064</v>
      </c>
      <c r="M838" s="31">
        <v>4769915.9500139486</v>
      </c>
      <c r="N838" s="31">
        <v>3605223.9899989166</v>
      </c>
      <c r="O838" s="34">
        <f t="shared" si="116"/>
        <v>0.43199194061024337</v>
      </c>
      <c r="P838" s="34">
        <f t="shared" si="117"/>
        <v>0.75582547528712196</v>
      </c>
      <c r="Q838" s="34">
        <f t="shared" si="118"/>
        <v>0.56800805938975663</v>
      </c>
      <c r="R838" s="46">
        <f t="shared" si="119"/>
        <v>90.939965442410369</v>
      </c>
    </row>
    <row r="839" spans="2:18" ht="12.75" customHeight="1" x14ac:dyDescent="0.25">
      <c r="B839" s="17" t="s">
        <v>0</v>
      </c>
      <c r="C839" s="44" t="s">
        <v>157</v>
      </c>
      <c r="D839" s="22" t="s">
        <v>2</v>
      </c>
      <c r="E839" s="20">
        <v>1</v>
      </c>
      <c r="F839" s="17" t="s">
        <v>120</v>
      </c>
      <c r="G839" s="17" t="s">
        <v>216</v>
      </c>
      <c r="H839" s="17" t="s">
        <v>217</v>
      </c>
      <c r="I839" s="17" t="s">
        <v>218</v>
      </c>
      <c r="J839" s="27" t="s">
        <v>158</v>
      </c>
      <c r="K839" s="29">
        <v>37892</v>
      </c>
      <c r="L839" s="31">
        <v>14862183.509996692</v>
      </c>
      <c r="M839" s="31">
        <v>4624175.7400095863</v>
      </c>
      <c r="N839" s="31">
        <v>3478542.0400004368</v>
      </c>
      <c r="O839" s="34">
        <f t="shared" si="116"/>
        <v>0.31113703695686745</v>
      </c>
      <c r="P839" s="34">
        <f t="shared" si="117"/>
        <v>0.75225126283656896</v>
      </c>
      <c r="Q839" s="34">
        <f t="shared" si="118"/>
        <v>0.68886296304313255</v>
      </c>
      <c r="R839" s="46">
        <f t="shared" si="119"/>
        <v>91.801489496475156</v>
      </c>
    </row>
    <row r="840" spans="2:18" ht="12.75" customHeight="1" x14ac:dyDescent="0.25">
      <c r="B840" s="17" t="s">
        <v>0</v>
      </c>
      <c r="C840" s="44" t="s">
        <v>161</v>
      </c>
      <c r="D840" s="22" t="s">
        <v>9</v>
      </c>
      <c r="E840" s="20">
        <v>2</v>
      </c>
      <c r="F840" s="17" t="s">
        <v>120</v>
      </c>
      <c r="G840" s="17" t="s">
        <v>216</v>
      </c>
      <c r="H840" s="17" t="s">
        <v>217</v>
      </c>
      <c r="I840" s="17" t="s">
        <v>218</v>
      </c>
      <c r="J840" s="27" t="s">
        <v>162</v>
      </c>
      <c r="K840" s="29">
        <v>33552</v>
      </c>
      <c r="L840" s="31">
        <v>13326293.360002406</v>
      </c>
      <c r="M840" s="31">
        <v>4491300.7900002245</v>
      </c>
      <c r="N840" s="31">
        <v>3388674.11999832</v>
      </c>
      <c r="O840" s="34">
        <f t="shared" si="116"/>
        <v>0.33702550804415232</v>
      </c>
      <c r="P840" s="34">
        <f t="shared" si="117"/>
        <v>0.75449725557084113</v>
      </c>
      <c r="Q840" s="34">
        <f t="shared" si="118"/>
        <v>0.66297449195584768</v>
      </c>
      <c r="R840" s="46">
        <f t="shared" si="119"/>
        <v>100.99767882684549</v>
      </c>
    </row>
    <row r="841" spans="2:18" ht="12.75" customHeight="1" x14ac:dyDescent="0.25">
      <c r="B841" s="17" t="s">
        <v>0</v>
      </c>
      <c r="C841" s="44" t="s">
        <v>28</v>
      </c>
      <c r="D841" s="22" t="s">
        <v>9</v>
      </c>
      <c r="E841" s="20">
        <v>2</v>
      </c>
      <c r="F841" s="17" t="s">
        <v>120</v>
      </c>
      <c r="G841" s="17" t="s">
        <v>216</v>
      </c>
      <c r="H841" s="17" t="s">
        <v>217</v>
      </c>
      <c r="I841" s="17" t="s">
        <v>218</v>
      </c>
      <c r="J841" s="27" t="s">
        <v>29</v>
      </c>
      <c r="K841" s="29">
        <v>37217</v>
      </c>
      <c r="L841" s="31">
        <v>9882659.3900085799</v>
      </c>
      <c r="M841" s="31">
        <v>4231033.1400011173</v>
      </c>
      <c r="N841" s="31">
        <v>2940753.3100011074</v>
      </c>
      <c r="O841" s="34">
        <f t="shared" si="116"/>
        <v>0.42812698212373013</v>
      </c>
      <c r="P841" s="34">
        <f t="shared" si="117"/>
        <v>0.69504379017941964</v>
      </c>
      <c r="Q841" s="34">
        <f t="shared" si="118"/>
        <v>0.57187301787626987</v>
      </c>
      <c r="R841" s="46">
        <f t="shared" si="119"/>
        <v>79.016398688801019</v>
      </c>
    </row>
    <row r="842" spans="2:18" ht="12.75" customHeight="1" x14ac:dyDescent="0.25">
      <c r="B842" s="17" t="s">
        <v>0</v>
      </c>
      <c r="C842" s="44" t="s">
        <v>54</v>
      </c>
      <c r="D842" s="22" t="s">
        <v>2</v>
      </c>
      <c r="E842" s="20">
        <v>1</v>
      </c>
      <c r="F842" s="17" t="s">
        <v>120</v>
      </c>
      <c r="G842" s="17" t="s">
        <v>216</v>
      </c>
      <c r="H842" s="17" t="s">
        <v>217</v>
      </c>
      <c r="I842" s="17" t="s">
        <v>218</v>
      </c>
      <c r="J842" s="27" t="s">
        <v>55</v>
      </c>
      <c r="K842" s="29">
        <v>43368</v>
      </c>
      <c r="L842" s="31">
        <v>10320350.37000115</v>
      </c>
      <c r="M842" s="31">
        <v>3865351.5399976894</v>
      </c>
      <c r="N842" s="31">
        <v>2914125.209999253</v>
      </c>
      <c r="O842" s="34">
        <f t="shared" si="116"/>
        <v>0.37453685208530946</v>
      </c>
      <c r="P842" s="34">
        <f t="shared" si="117"/>
        <v>0.75390949046797306</v>
      </c>
      <c r="Q842" s="34">
        <f t="shared" si="118"/>
        <v>0.6254631479146906</v>
      </c>
      <c r="R842" s="46">
        <f t="shared" si="119"/>
        <v>67.195287078012655</v>
      </c>
    </row>
    <row r="843" spans="2:18" ht="12.75" customHeight="1" x14ac:dyDescent="0.25">
      <c r="B843" s="17" t="s">
        <v>0</v>
      </c>
      <c r="C843" s="44" t="s">
        <v>137</v>
      </c>
      <c r="D843" s="22" t="s">
        <v>9</v>
      </c>
      <c r="E843" s="20">
        <v>2</v>
      </c>
      <c r="F843" s="17" t="s">
        <v>120</v>
      </c>
      <c r="G843" s="17" t="s">
        <v>216</v>
      </c>
      <c r="H843" s="17" t="s">
        <v>217</v>
      </c>
      <c r="I843" s="17" t="s">
        <v>218</v>
      </c>
      <c r="J843" s="27" t="s">
        <v>138</v>
      </c>
      <c r="K843" s="29">
        <v>31802</v>
      </c>
      <c r="L843" s="31">
        <v>8272245.3999940027</v>
      </c>
      <c r="M843" s="31">
        <v>3849547.2500091121</v>
      </c>
      <c r="N843" s="31">
        <v>2821229.8999957973</v>
      </c>
      <c r="O843" s="34">
        <f t="shared" si="116"/>
        <v>0.46535699364188388</v>
      </c>
      <c r="P843" s="34">
        <f t="shared" si="117"/>
        <v>0.73287317099150284</v>
      </c>
      <c r="Q843" s="34">
        <f t="shared" si="118"/>
        <v>0.53464300635811612</v>
      </c>
      <c r="R843" s="46">
        <f t="shared" si="119"/>
        <v>88.712341990937588</v>
      </c>
    </row>
    <row r="844" spans="2:18" ht="12.75" customHeight="1" x14ac:dyDescent="0.25">
      <c r="B844" s="17" t="s">
        <v>0</v>
      </c>
      <c r="C844" s="44" t="s">
        <v>38</v>
      </c>
      <c r="D844" s="22" t="s">
        <v>9</v>
      </c>
      <c r="E844" s="20">
        <v>2</v>
      </c>
      <c r="F844" s="17" t="s">
        <v>120</v>
      </c>
      <c r="G844" s="17" t="s">
        <v>216</v>
      </c>
      <c r="H844" s="17" t="s">
        <v>217</v>
      </c>
      <c r="I844" s="17" t="s">
        <v>218</v>
      </c>
      <c r="J844" s="27" t="s">
        <v>39</v>
      </c>
      <c r="K844" s="29">
        <v>30296</v>
      </c>
      <c r="L844" s="31">
        <v>7539482.5299948389</v>
      </c>
      <c r="M844" s="31">
        <v>3808638.3000088152</v>
      </c>
      <c r="N844" s="31">
        <v>2806162.8399932003</v>
      </c>
      <c r="O844" s="34">
        <f t="shared" si="116"/>
        <v>0.50515911202879626</v>
      </c>
      <c r="P844" s="34">
        <f t="shared" si="117"/>
        <v>0.73678900933877212</v>
      </c>
      <c r="Q844" s="34">
        <f t="shared" si="118"/>
        <v>0.49484088797120374</v>
      </c>
      <c r="R844" s="46">
        <f t="shared" si="119"/>
        <v>92.624862687919205</v>
      </c>
    </row>
    <row r="845" spans="2:18" ht="12.75" customHeight="1" x14ac:dyDescent="0.25">
      <c r="B845" s="17" t="s">
        <v>0</v>
      </c>
      <c r="C845" s="44" t="s">
        <v>105</v>
      </c>
      <c r="D845" s="22" t="s">
        <v>9</v>
      </c>
      <c r="E845" s="20">
        <v>2</v>
      </c>
      <c r="F845" s="17" t="s">
        <v>120</v>
      </c>
      <c r="G845" s="17" t="s">
        <v>216</v>
      </c>
      <c r="H845" s="17" t="s">
        <v>217</v>
      </c>
      <c r="I845" s="17" t="s">
        <v>218</v>
      </c>
      <c r="J845" s="27" t="s">
        <v>106</v>
      </c>
      <c r="K845" s="29">
        <v>33747</v>
      </c>
      <c r="L845" s="31">
        <v>10381327.940008195</v>
      </c>
      <c r="M845" s="31">
        <v>3897972.1600137712</v>
      </c>
      <c r="N845" s="31">
        <v>2780316.3999989396</v>
      </c>
      <c r="O845" s="34">
        <f t="shared" si="116"/>
        <v>0.37547914703585544</v>
      </c>
      <c r="P845" s="34">
        <f t="shared" si="117"/>
        <v>0.71327251346739151</v>
      </c>
      <c r="Q845" s="34">
        <f t="shared" si="118"/>
        <v>0.62452085296414461</v>
      </c>
      <c r="R845" s="46">
        <f t="shared" si="119"/>
        <v>82.387068480129784</v>
      </c>
    </row>
    <row r="846" spans="2:18" ht="12.75" customHeight="1" x14ac:dyDescent="0.25">
      <c r="B846" s="17" t="s">
        <v>0</v>
      </c>
      <c r="C846" s="44" t="s">
        <v>72</v>
      </c>
      <c r="D846" s="22" t="s">
        <v>9</v>
      </c>
      <c r="E846" s="20">
        <v>2</v>
      </c>
      <c r="F846" s="17" t="s">
        <v>120</v>
      </c>
      <c r="G846" s="17" t="s">
        <v>216</v>
      </c>
      <c r="H846" s="17" t="s">
        <v>217</v>
      </c>
      <c r="I846" s="17" t="s">
        <v>218</v>
      </c>
      <c r="J846" s="27" t="s">
        <v>73</v>
      </c>
      <c r="K846" s="29">
        <v>33295</v>
      </c>
      <c r="L846" s="31">
        <v>9431497.8600012921</v>
      </c>
      <c r="M846" s="31">
        <v>3792063.3600068255</v>
      </c>
      <c r="N846" s="31">
        <v>2725374.4200015557</v>
      </c>
      <c r="O846" s="34">
        <f t="shared" si="116"/>
        <v>0.40206374600251527</v>
      </c>
      <c r="P846" s="34">
        <f t="shared" si="117"/>
        <v>0.71870487417083928</v>
      </c>
      <c r="Q846" s="34">
        <f t="shared" si="118"/>
        <v>0.59793625399748473</v>
      </c>
      <c r="R846" s="46">
        <f t="shared" si="119"/>
        <v>81.855366271258617</v>
      </c>
    </row>
    <row r="847" spans="2:18" ht="12.75" customHeight="1" x14ac:dyDescent="0.25">
      <c r="B847" s="17" t="s">
        <v>0</v>
      </c>
      <c r="C847" s="44" t="s">
        <v>182</v>
      </c>
      <c r="D847" s="22" t="s">
        <v>9</v>
      </c>
      <c r="E847" s="20">
        <v>2</v>
      </c>
      <c r="F847" s="17" t="s">
        <v>120</v>
      </c>
      <c r="G847" s="17" t="s">
        <v>216</v>
      </c>
      <c r="H847" s="17" t="s">
        <v>217</v>
      </c>
      <c r="I847" s="17" t="s">
        <v>218</v>
      </c>
      <c r="J847" s="27" t="s">
        <v>183</v>
      </c>
      <c r="K847" s="29">
        <v>27942</v>
      </c>
      <c r="L847" s="31">
        <v>8190290.6300011957</v>
      </c>
      <c r="M847" s="31">
        <v>3210098.1499995091</v>
      </c>
      <c r="N847" s="31">
        <v>2329385.2600016501</v>
      </c>
      <c r="O847" s="34">
        <f t="shared" si="116"/>
        <v>0.39193946772057836</v>
      </c>
      <c r="P847" s="34">
        <f t="shared" si="117"/>
        <v>0.72564300253623282</v>
      </c>
      <c r="Q847" s="34">
        <f t="shared" si="118"/>
        <v>0.60806053227942169</v>
      </c>
      <c r="R847" s="46">
        <f t="shared" si="119"/>
        <v>83.365015389079161</v>
      </c>
    </row>
    <row r="848" spans="2:18" ht="12.75" customHeight="1" x14ac:dyDescent="0.25">
      <c r="B848" s="17" t="s">
        <v>0</v>
      </c>
      <c r="C848" s="44" t="s">
        <v>44</v>
      </c>
      <c r="D848" s="22" t="s">
        <v>2</v>
      </c>
      <c r="E848" s="20">
        <v>1</v>
      </c>
      <c r="F848" s="17" t="s">
        <v>120</v>
      </c>
      <c r="G848" s="17" t="s">
        <v>216</v>
      </c>
      <c r="H848" s="17" t="s">
        <v>217</v>
      </c>
      <c r="I848" s="17" t="s">
        <v>218</v>
      </c>
      <c r="J848" s="27" t="s">
        <v>45</v>
      </c>
      <c r="K848" s="29">
        <v>25755</v>
      </c>
      <c r="L848" s="31">
        <v>6896892.2699974794</v>
      </c>
      <c r="M848" s="31">
        <v>2710051.7800019239</v>
      </c>
      <c r="N848" s="31">
        <v>2009254.2700021002</v>
      </c>
      <c r="O848" s="34">
        <f t="shared" si="116"/>
        <v>0.39293810515078764</v>
      </c>
      <c r="P848" s="34">
        <f t="shared" si="117"/>
        <v>0.74140807376037432</v>
      </c>
      <c r="Q848" s="34">
        <f t="shared" si="118"/>
        <v>0.60706189484921236</v>
      </c>
      <c r="R848" s="46">
        <f t="shared" si="119"/>
        <v>78.014143661506509</v>
      </c>
    </row>
    <row r="849" spans="2:18" ht="12.75" customHeight="1" x14ac:dyDescent="0.25">
      <c r="B849" s="17" t="s">
        <v>0</v>
      </c>
      <c r="C849" s="44" t="s">
        <v>90</v>
      </c>
      <c r="D849" s="22" t="s">
        <v>2</v>
      </c>
      <c r="E849" s="20">
        <v>1</v>
      </c>
      <c r="F849" s="17" t="s">
        <v>120</v>
      </c>
      <c r="G849" s="17" t="s">
        <v>216</v>
      </c>
      <c r="H849" s="17" t="s">
        <v>217</v>
      </c>
      <c r="I849" s="17" t="s">
        <v>218</v>
      </c>
      <c r="J849" s="27" t="s">
        <v>91</v>
      </c>
      <c r="K849" s="29">
        <v>33908</v>
      </c>
      <c r="L849" s="31">
        <v>7942189.8399986066</v>
      </c>
      <c r="M849" s="31">
        <v>2739104.1899997778</v>
      </c>
      <c r="N849" s="31">
        <v>1936873.0000012128</v>
      </c>
      <c r="O849" s="34">
        <f t="shared" si="116"/>
        <v>0.34488022134714652</v>
      </c>
      <c r="P849" s="34">
        <f t="shared" si="117"/>
        <v>0.70711914029139944</v>
      </c>
      <c r="Q849" s="34">
        <f t="shared" si="118"/>
        <v>0.65511977865285353</v>
      </c>
      <c r="R849" s="46">
        <f t="shared" si="119"/>
        <v>57.121416774838174</v>
      </c>
    </row>
    <row r="850" spans="2:18" ht="12.75" customHeight="1" x14ac:dyDescent="0.25">
      <c r="B850" s="17" t="s">
        <v>0</v>
      </c>
      <c r="C850" s="44" t="s">
        <v>135</v>
      </c>
      <c r="D850" s="22" t="s">
        <v>9</v>
      </c>
      <c r="E850" s="20">
        <v>2</v>
      </c>
      <c r="F850" s="17" t="s">
        <v>120</v>
      </c>
      <c r="G850" s="17" t="s">
        <v>216</v>
      </c>
      <c r="H850" s="17" t="s">
        <v>217</v>
      </c>
      <c r="I850" s="17" t="s">
        <v>218</v>
      </c>
      <c r="J850" s="27" t="s">
        <v>136</v>
      </c>
      <c r="K850" s="29">
        <v>23948</v>
      </c>
      <c r="L850" s="31">
        <v>5671165.7300030328</v>
      </c>
      <c r="M850" s="31">
        <v>2501010.0799891488</v>
      </c>
      <c r="N850" s="31">
        <v>1826731.4099989582</v>
      </c>
      <c r="O850" s="34">
        <f t="shared" si="116"/>
        <v>0.44100458337122361</v>
      </c>
      <c r="P850" s="34">
        <f t="shared" si="117"/>
        <v>0.73039746005617212</v>
      </c>
      <c r="Q850" s="34">
        <f t="shared" si="118"/>
        <v>0.55899541662877639</v>
      </c>
      <c r="R850" s="46">
        <f t="shared" si="119"/>
        <v>76.279080090151922</v>
      </c>
    </row>
    <row r="851" spans="2:18" ht="12.75" customHeight="1" x14ac:dyDescent="0.25">
      <c r="B851" s="17" t="s">
        <v>0</v>
      </c>
      <c r="C851" s="44" t="s">
        <v>66</v>
      </c>
      <c r="D851" s="22" t="s">
        <v>2</v>
      </c>
      <c r="E851" s="20">
        <v>1</v>
      </c>
      <c r="F851" s="17" t="s">
        <v>120</v>
      </c>
      <c r="G851" s="17" t="s">
        <v>216</v>
      </c>
      <c r="H851" s="17" t="s">
        <v>217</v>
      </c>
      <c r="I851" s="17" t="s">
        <v>218</v>
      </c>
      <c r="J851" s="27" t="s">
        <v>67</v>
      </c>
      <c r="K851" s="29">
        <v>20425</v>
      </c>
      <c r="L851" s="31">
        <v>6811859.2199996384</v>
      </c>
      <c r="M851" s="31">
        <v>2403712.0599961779</v>
      </c>
      <c r="N851" s="31">
        <v>1748886.2099967913</v>
      </c>
      <c r="O851" s="34">
        <f t="shared" si="116"/>
        <v>0.35287165843634472</v>
      </c>
      <c r="P851" s="34">
        <f t="shared" si="117"/>
        <v>0.72757724983065242</v>
      </c>
      <c r="Q851" s="34">
        <f t="shared" si="118"/>
        <v>0.64712834156365528</v>
      </c>
      <c r="R851" s="46">
        <f t="shared" si="119"/>
        <v>85.624783843172153</v>
      </c>
    </row>
    <row r="852" spans="2:18" ht="12.75" customHeight="1" x14ac:dyDescent="0.25">
      <c r="B852" s="17" t="s">
        <v>0</v>
      </c>
      <c r="C852" s="44" t="s">
        <v>56</v>
      </c>
      <c r="D852" s="22" t="s">
        <v>2</v>
      </c>
      <c r="E852" s="20">
        <v>1</v>
      </c>
      <c r="F852" s="17" t="s">
        <v>120</v>
      </c>
      <c r="G852" s="17" t="s">
        <v>216</v>
      </c>
      <c r="H852" s="17" t="s">
        <v>217</v>
      </c>
      <c r="I852" s="17" t="s">
        <v>218</v>
      </c>
      <c r="J852" s="27" t="s">
        <v>57</v>
      </c>
      <c r="K852" s="29">
        <v>24614</v>
      </c>
      <c r="L852" s="31">
        <v>6358598.0699985046</v>
      </c>
      <c r="M852" s="31">
        <v>2255142.9100004183</v>
      </c>
      <c r="N852" s="31">
        <v>1608044.8400015056</v>
      </c>
      <c r="O852" s="34">
        <f t="shared" si="116"/>
        <v>0.3546603960770473</v>
      </c>
      <c r="P852" s="34">
        <f t="shared" si="117"/>
        <v>0.71305673483957044</v>
      </c>
      <c r="Q852" s="34">
        <f t="shared" si="118"/>
        <v>0.64533960392295264</v>
      </c>
      <c r="R852" s="46">
        <f t="shared" si="119"/>
        <v>65.330496465487343</v>
      </c>
    </row>
    <row r="853" spans="2:18" ht="12.75" customHeight="1" x14ac:dyDescent="0.25">
      <c r="B853" s="17" t="s">
        <v>0</v>
      </c>
      <c r="C853" s="44" t="s">
        <v>176</v>
      </c>
      <c r="D853" s="22" t="s">
        <v>9</v>
      </c>
      <c r="E853" s="20">
        <v>2</v>
      </c>
      <c r="F853" s="17" t="s">
        <v>120</v>
      </c>
      <c r="G853" s="17" t="s">
        <v>216</v>
      </c>
      <c r="H853" s="17" t="s">
        <v>217</v>
      </c>
      <c r="I853" s="17" t="s">
        <v>218</v>
      </c>
      <c r="J853" s="27" t="s">
        <v>177</v>
      </c>
      <c r="K853" s="29">
        <v>15726</v>
      </c>
      <c r="L853" s="31">
        <v>5724880.0099998731</v>
      </c>
      <c r="M853" s="31">
        <v>2009118.8199994615</v>
      </c>
      <c r="N853" s="31">
        <v>1480381.1299969039</v>
      </c>
      <c r="O853" s="34">
        <f t="shared" si="116"/>
        <v>0.35094514059509624</v>
      </c>
      <c r="P853" s="34">
        <f t="shared" si="117"/>
        <v>0.73683105014033001</v>
      </c>
      <c r="Q853" s="34">
        <f t="shared" si="118"/>
        <v>0.64905485940490371</v>
      </c>
      <c r="R853" s="46">
        <f t="shared" si="119"/>
        <v>94.135897875931832</v>
      </c>
    </row>
    <row r="854" spans="2:18" ht="12.75" customHeight="1" x14ac:dyDescent="0.25">
      <c r="B854" s="17" t="s">
        <v>0</v>
      </c>
      <c r="C854" s="44" t="s">
        <v>42</v>
      </c>
      <c r="D854" s="22" t="s">
        <v>9</v>
      </c>
      <c r="E854" s="20">
        <v>2</v>
      </c>
      <c r="F854" s="17" t="s">
        <v>120</v>
      </c>
      <c r="G854" s="17" t="s">
        <v>216</v>
      </c>
      <c r="H854" s="17" t="s">
        <v>217</v>
      </c>
      <c r="I854" s="17" t="s">
        <v>218</v>
      </c>
      <c r="J854" s="27" t="s">
        <v>43</v>
      </c>
      <c r="K854" s="29">
        <v>13026</v>
      </c>
      <c r="L854" s="31">
        <v>4459744.7000001706</v>
      </c>
      <c r="M854" s="31">
        <v>1817208.2999982466</v>
      </c>
      <c r="N854" s="31">
        <v>1376687.8400018716</v>
      </c>
      <c r="O854" s="34">
        <f t="shared" si="116"/>
        <v>0.40746913158463466</v>
      </c>
      <c r="P854" s="34">
        <f t="shared" si="117"/>
        <v>0.75758394896347325</v>
      </c>
      <c r="Q854" s="34">
        <f t="shared" si="118"/>
        <v>0.5925308684153654</v>
      </c>
      <c r="R854" s="46">
        <f t="shared" si="119"/>
        <v>105.68768923705447</v>
      </c>
    </row>
    <row r="855" spans="2:18" ht="12.75" customHeight="1" x14ac:dyDescent="0.25">
      <c r="B855" s="17" t="s">
        <v>0</v>
      </c>
      <c r="C855" s="44" t="s">
        <v>155</v>
      </c>
      <c r="D855" s="22" t="s">
        <v>9</v>
      </c>
      <c r="E855" s="20">
        <v>2</v>
      </c>
      <c r="F855" s="17" t="s">
        <v>120</v>
      </c>
      <c r="G855" s="17" t="s">
        <v>216</v>
      </c>
      <c r="H855" s="17" t="s">
        <v>217</v>
      </c>
      <c r="I855" s="17" t="s">
        <v>218</v>
      </c>
      <c r="J855" s="27" t="s">
        <v>156</v>
      </c>
      <c r="K855" s="29">
        <v>16385</v>
      </c>
      <c r="L855" s="31">
        <v>4145235.8299973919</v>
      </c>
      <c r="M855" s="31">
        <v>1883124.2300038775</v>
      </c>
      <c r="N855" s="31">
        <v>1345705.4700025702</v>
      </c>
      <c r="O855" s="34">
        <f t="shared" si="116"/>
        <v>0.45428639219425604</v>
      </c>
      <c r="P855" s="34">
        <f t="shared" si="117"/>
        <v>0.71461322018027418</v>
      </c>
      <c r="Q855" s="34">
        <f t="shared" si="118"/>
        <v>0.54571360780574396</v>
      </c>
      <c r="R855" s="46">
        <f t="shared" si="119"/>
        <v>82.130330790513895</v>
      </c>
    </row>
    <row r="856" spans="2:18" ht="12.75" customHeight="1" x14ac:dyDescent="0.25">
      <c r="B856" s="17" t="s">
        <v>0</v>
      </c>
      <c r="C856" s="44" t="s">
        <v>36</v>
      </c>
      <c r="D856" s="22" t="s">
        <v>2</v>
      </c>
      <c r="E856" s="20">
        <v>1</v>
      </c>
      <c r="F856" s="17" t="s">
        <v>120</v>
      </c>
      <c r="G856" s="17" t="s">
        <v>216</v>
      </c>
      <c r="H856" s="17" t="s">
        <v>217</v>
      </c>
      <c r="I856" s="17" t="s">
        <v>218</v>
      </c>
      <c r="J856" s="27" t="s">
        <v>37</v>
      </c>
      <c r="K856" s="29">
        <v>20248</v>
      </c>
      <c r="L856" s="31">
        <v>4887143.5300037554</v>
      </c>
      <c r="M856" s="31">
        <v>1752207.110000649</v>
      </c>
      <c r="N856" s="31">
        <v>1323662.3600024877</v>
      </c>
      <c r="O856" s="34">
        <f t="shared" si="116"/>
        <v>0.35853399828412702</v>
      </c>
      <c r="P856" s="34">
        <f t="shared" si="117"/>
        <v>0.75542574416445407</v>
      </c>
      <c r="Q856" s="34">
        <f t="shared" si="118"/>
        <v>0.64146600171587298</v>
      </c>
      <c r="R856" s="46">
        <f t="shared" si="119"/>
        <v>65.37249901237098</v>
      </c>
    </row>
    <row r="857" spans="2:18" ht="12.75" customHeight="1" x14ac:dyDescent="0.25">
      <c r="B857" s="17" t="s">
        <v>0</v>
      </c>
      <c r="C857" s="44" t="s">
        <v>161</v>
      </c>
      <c r="D857" s="22" t="s">
        <v>2</v>
      </c>
      <c r="E857" s="20">
        <v>1</v>
      </c>
      <c r="F857" s="17" t="s">
        <v>120</v>
      </c>
      <c r="G857" s="17" t="s">
        <v>216</v>
      </c>
      <c r="H857" s="17" t="s">
        <v>217</v>
      </c>
      <c r="I857" s="17" t="s">
        <v>218</v>
      </c>
      <c r="J857" s="27" t="s">
        <v>162</v>
      </c>
      <c r="K857" s="29">
        <v>15425</v>
      </c>
      <c r="L857" s="31">
        <v>5054676.2200002465</v>
      </c>
      <c r="M857" s="31">
        <v>1695356.4500003522</v>
      </c>
      <c r="N857" s="31">
        <v>1282264.8200000483</v>
      </c>
      <c r="O857" s="34">
        <f t="shared" si="116"/>
        <v>0.33540357012229549</v>
      </c>
      <c r="P857" s="34">
        <f t="shared" si="117"/>
        <v>0.75633936450342454</v>
      </c>
      <c r="Q857" s="34">
        <f t="shared" si="118"/>
        <v>0.66459642987770451</v>
      </c>
      <c r="R857" s="46">
        <f t="shared" si="119"/>
        <v>83.128999675854018</v>
      </c>
    </row>
    <row r="858" spans="2:18" ht="12.75" customHeight="1" x14ac:dyDescent="0.25">
      <c r="B858" s="17" t="s">
        <v>0</v>
      </c>
      <c r="C858" s="44" t="s">
        <v>114</v>
      </c>
      <c r="D858" s="22" t="s">
        <v>2</v>
      </c>
      <c r="E858" s="20">
        <v>1</v>
      </c>
      <c r="F858" s="17" t="s">
        <v>120</v>
      </c>
      <c r="G858" s="17" t="s">
        <v>216</v>
      </c>
      <c r="H858" s="17" t="s">
        <v>217</v>
      </c>
      <c r="I858" s="17" t="s">
        <v>218</v>
      </c>
      <c r="J858" s="27" t="s">
        <v>118</v>
      </c>
      <c r="K858" s="29">
        <v>17875</v>
      </c>
      <c r="L858" s="31">
        <v>5277432.1700016996</v>
      </c>
      <c r="M858" s="31">
        <v>1791884.650003481</v>
      </c>
      <c r="N858" s="31">
        <v>1269547.7200003222</v>
      </c>
      <c r="O858" s="34">
        <f t="shared" si="116"/>
        <v>0.3395372204287192</v>
      </c>
      <c r="P858" s="34">
        <f t="shared" si="117"/>
        <v>0.70849857439085484</v>
      </c>
      <c r="Q858" s="34">
        <f t="shared" si="118"/>
        <v>0.66046277957128074</v>
      </c>
      <c r="R858" s="46">
        <f t="shared" si="119"/>
        <v>71.023648671346692</v>
      </c>
    </row>
    <row r="859" spans="2:18" ht="12.75" customHeight="1" x14ac:dyDescent="0.25">
      <c r="B859" s="17" t="s">
        <v>0</v>
      </c>
      <c r="C859" s="44" t="s">
        <v>172</v>
      </c>
      <c r="D859" s="22" t="s">
        <v>9</v>
      </c>
      <c r="E859" s="20">
        <v>2</v>
      </c>
      <c r="F859" s="17" t="s">
        <v>120</v>
      </c>
      <c r="G859" s="17" t="s">
        <v>216</v>
      </c>
      <c r="H859" s="17" t="s">
        <v>217</v>
      </c>
      <c r="I859" s="17" t="s">
        <v>218</v>
      </c>
      <c r="J859" s="27" t="s">
        <v>173</v>
      </c>
      <c r="K859" s="29">
        <v>14295</v>
      </c>
      <c r="L859" s="31">
        <v>4660984.2099990994</v>
      </c>
      <c r="M859" s="31">
        <v>1655204.6000010299</v>
      </c>
      <c r="N859" s="31">
        <v>1223996.7700009095</v>
      </c>
      <c r="O859" s="34">
        <f t="shared" si="116"/>
        <v>0.35511911764261261</v>
      </c>
      <c r="P859" s="34">
        <f t="shared" si="117"/>
        <v>0.73948366866558235</v>
      </c>
      <c r="Q859" s="34">
        <f t="shared" si="118"/>
        <v>0.64488088235738739</v>
      </c>
      <c r="R859" s="46">
        <f t="shared" si="119"/>
        <v>85.624118223218574</v>
      </c>
    </row>
    <row r="860" spans="2:18" ht="12.75" customHeight="1" x14ac:dyDescent="0.25">
      <c r="B860" s="17" t="s">
        <v>0</v>
      </c>
      <c r="C860" s="44" t="s">
        <v>74</v>
      </c>
      <c r="D860" s="22" t="s">
        <v>9</v>
      </c>
      <c r="E860" s="20">
        <v>2</v>
      </c>
      <c r="F860" s="17" t="s">
        <v>120</v>
      </c>
      <c r="G860" s="17" t="s">
        <v>216</v>
      </c>
      <c r="H860" s="17" t="s">
        <v>217</v>
      </c>
      <c r="I860" s="17" t="s">
        <v>218</v>
      </c>
      <c r="J860" s="27" t="s">
        <v>75</v>
      </c>
      <c r="K860" s="29">
        <v>15409</v>
      </c>
      <c r="L860" s="31">
        <v>4193095.740002125</v>
      </c>
      <c r="M860" s="31">
        <v>1676380.270000444</v>
      </c>
      <c r="N860" s="31">
        <v>1219863.9099982167</v>
      </c>
      <c r="O860" s="34">
        <f t="shared" si="116"/>
        <v>0.39979537171254631</v>
      </c>
      <c r="P860" s="34">
        <f t="shared" si="117"/>
        <v>0.72767732466685109</v>
      </c>
      <c r="Q860" s="34">
        <f t="shared" si="118"/>
        <v>0.60020462828745369</v>
      </c>
      <c r="R860" s="46">
        <f t="shared" si="119"/>
        <v>79.165676552548291</v>
      </c>
    </row>
    <row r="861" spans="2:18" ht="12.75" customHeight="1" x14ac:dyDescent="0.25">
      <c r="B861" s="17" t="s">
        <v>0</v>
      </c>
      <c r="C861" s="44" t="s">
        <v>12</v>
      </c>
      <c r="D861" s="22" t="s">
        <v>2</v>
      </c>
      <c r="E861" s="20">
        <v>1</v>
      </c>
      <c r="F861" s="17" t="s">
        <v>120</v>
      </c>
      <c r="G861" s="17" t="s">
        <v>216</v>
      </c>
      <c r="H861" s="17" t="s">
        <v>217</v>
      </c>
      <c r="I861" s="17" t="s">
        <v>218</v>
      </c>
      <c r="J861" s="27" t="s">
        <v>13</v>
      </c>
      <c r="K861" s="29">
        <v>15690</v>
      </c>
      <c r="L861" s="31">
        <v>4456427.0400022259</v>
      </c>
      <c r="M861" s="31">
        <v>1614638.150000711</v>
      </c>
      <c r="N861" s="31">
        <v>1178300.4900011413</v>
      </c>
      <c r="O861" s="34">
        <f t="shared" si="116"/>
        <v>0.36231674736447711</v>
      </c>
      <c r="P861" s="34">
        <f t="shared" si="117"/>
        <v>0.72976133383236519</v>
      </c>
      <c r="Q861" s="34">
        <f t="shared" si="118"/>
        <v>0.63768325263552295</v>
      </c>
      <c r="R861" s="46">
        <f t="shared" si="119"/>
        <v>75.098820267759166</v>
      </c>
    </row>
    <row r="862" spans="2:18" ht="12.75" customHeight="1" x14ac:dyDescent="0.25">
      <c r="B862" s="17" t="s">
        <v>0</v>
      </c>
      <c r="C862" s="44" t="s">
        <v>174</v>
      </c>
      <c r="D862" s="22" t="s">
        <v>9</v>
      </c>
      <c r="E862" s="20">
        <v>2</v>
      </c>
      <c r="F862" s="17" t="s">
        <v>120</v>
      </c>
      <c r="G862" s="17" t="s">
        <v>216</v>
      </c>
      <c r="H862" s="17" t="s">
        <v>217</v>
      </c>
      <c r="I862" s="17" t="s">
        <v>218</v>
      </c>
      <c r="J862" s="27" t="s">
        <v>175</v>
      </c>
      <c r="K862" s="29">
        <v>13998</v>
      </c>
      <c r="L862" s="31">
        <v>2837319.3499999265</v>
      </c>
      <c r="M862" s="31">
        <v>1541263.3699977354</v>
      </c>
      <c r="N862" s="31">
        <v>1104514.3399999759</v>
      </c>
      <c r="O862" s="34">
        <f t="shared" si="116"/>
        <v>0.54321110170336495</v>
      </c>
      <c r="P862" s="34">
        <f t="shared" si="117"/>
        <v>0.71662920270505015</v>
      </c>
      <c r="Q862" s="34">
        <f t="shared" si="118"/>
        <v>0.45678889829663505</v>
      </c>
      <c r="R862" s="46">
        <f t="shared" si="119"/>
        <v>78.905153593368752</v>
      </c>
    </row>
    <row r="863" spans="2:18" ht="12.75" customHeight="1" x14ac:dyDescent="0.25">
      <c r="B863" s="17" t="s">
        <v>0</v>
      </c>
      <c r="C863" s="44" t="s">
        <v>62</v>
      </c>
      <c r="D863" s="22" t="s">
        <v>9</v>
      </c>
      <c r="E863" s="20">
        <v>2</v>
      </c>
      <c r="F863" s="17" t="s">
        <v>120</v>
      </c>
      <c r="G863" s="17" t="s">
        <v>216</v>
      </c>
      <c r="H863" s="17" t="s">
        <v>217</v>
      </c>
      <c r="I863" s="17" t="s">
        <v>218</v>
      </c>
      <c r="J863" s="27" t="s">
        <v>63</v>
      </c>
      <c r="K863" s="29">
        <v>13145</v>
      </c>
      <c r="L863" s="31">
        <v>2741293.1999996002</v>
      </c>
      <c r="M863" s="31">
        <v>1490497.6400080051</v>
      </c>
      <c r="N863" s="31">
        <v>1094036.8099999621</v>
      </c>
      <c r="O863" s="34">
        <f t="shared" si="116"/>
        <v>0.54372062062103477</v>
      </c>
      <c r="P863" s="34">
        <f t="shared" si="117"/>
        <v>0.73400774387947798</v>
      </c>
      <c r="Q863" s="34">
        <f t="shared" si="118"/>
        <v>0.45627937937896523</v>
      </c>
      <c r="R863" s="46">
        <f t="shared" si="119"/>
        <v>83.228361354124161</v>
      </c>
    </row>
    <row r="864" spans="2:18" ht="12.75" customHeight="1" x14ac:dyDescent="0.25">
      <c r="B864" s="17" t="s">
        <v>0</v>
      </c>
      <c r="C864" s="44" t="s">
        <v>18</v>
      </c>
      <c r="D864" s="22" t="s">
        <v>9</v>
      </c>
      <c r="E864" s="20">
        <v>2</v>
      </c>
      <c r="F864" s="17" t="s">
        <v>120</v>
      </c>
      <c r="G864" s="17" t="s">
        <v>216</v>
      </c>
      <c r="H864" s="17" t="s">
        <v>217</v>
      </c>
      <c r="I864" s="17" t="s">
        <v>218</v>
      </c>
      <c r="J864" s="27" t="s">
        <v>19</v>
      </c>
      <c r="K864" s="29">
        <v>12143</v>
      </c>
      <c r="L864" s="31">
        <v>3316509.6700073034</v>
      </c>
      <c r="M864" s="31">
        <v>1314168.9599954658</v>
      </c>
      <c r="N864" s="31">
        <v>991415.28000215034</v>
      </c>
      <c r="O864" s="34">
        <f t="shared" ref="O864:O895" si="120">IFERROR(M864/L864,0)</f>
        <v>0.39625060402509604</v>
      </c>
      <c r="P864" s="34">
        <f t="shared" ref="P864:P895" si="121">IFERROR(N864/M864,0)</f>
        <v>0.75440473042794354</v>
      </c>
      <c r="Q864" s="34">
        <f t="shared" ref="Q864:Q895" si="122">IFERROR(1-(M864/L864),0)</f>
        <v>0.60374939597490396</v>
      </c>
      <c r="R864" s="46">
        <f t="shared" ref="R864:R895" si="123">IFERROR(N864/K864,0)</f>
        <v>81.645003706015842</v>
      </c>
    </row>
    <row r="865" spans="2:18" ht="12.75" customHeight="1" x14ac:dyDescent="0.25">
      <c r="B865" s="17" t="s">
        <v>0</v>
      </c>
      <c r="C865" s="44" t="s">
        <v>24</v>
      </c>
      <c r="D865" s="22" t="s">
        <v>2</v>
      </c>
      <c r="E865" s="20">
        <v>1</v>
      </c>
      <c r="F865" s="17" t="s">
        <v>120</v>
      </c>
      <c r="G865" s="17" t="s">
        <v>216</v>
      </c>
      <c r="H865" s="17" t="s">
        <v>217</v>
      </c>
      <c r="I865" s="17" t="s">
        <v>218</v>
      </c>
      <c r="J865" s="27" t="s">
        <v>25</v>
      </c>
      <c r="K865" s="29">
        <v>11038</v>
      </c>
      <c r="L865" s="31">
        <v>3467223.7899993197</v>
      </c>
      <c r="M865" s="31">
        <v>1303644.0100066194</v>
      </c>
      <c r="N865" s="31">
        <v>976931.28999803332</v>
      </c>
      <c r="O865" s="34">
        <f t="shared" si="120"/>
        <v>0.37599073176839132</v>
      </c>
      <c r="P865" s="34">
        <f t="shared" si="121"/>
        <v>0.74938501807182223</v>
      </c>
      <c r="Q865" s="34">
        <f t="shared" si="122"/>
        <v>0.62400926823160874</v>
      </c>
      <c r="R865" s="46">
        <f t="shared" si="123"/>
        <v>88.506186809026389</v>
      </c>
    </row>
    <row r="866" spans="2:18" ht="12.75" customHeight="1" x14ac:dyDescent="0.25">
      <c r="B866" s="17" t="s">
        <v>0</v>
      </c>
      <c r="C866" s="44" t="s">
        <v>82</v>
      </c>
      <c r="D866" s="22" t="s">
        <v>2</v>
      </c>
      <c r="E866" s="20">
        <v>1</v>
      </c>
      <c r="F866" s="17" t="s">
        <v>120</v>
      </c>
      <c r="G866" s="17" t="s">
        <v>216</v>
      </c>
      <c r="H866" s="17" t="s">
        <v>217</v>
      </c>
      <c r="I866" s="17" t="s">
        <v>218</v>
      </c>
      <c r="J866" s="27" t="s">
        <v>83</v>
      </c>
      <c r="K866" s="29">
        <v>16171</v>
      </c>
      <c r="L866" s="31">
        <v>3653691.3999983785</v>
      </c>
      <c r="M866" s="31">
        <v>1280128.5500007411</v>
      </c>
      <c r="N866" s="31">
        <v>898701.13999997382</v>
      </c>
      <c r="O866" s="34">
        <f t="shared" si="120"/>
        <v>0.35036581086221713</v>
      </c>
      <c r="P866" s="34">
        <f t="shared" si="121"/>
        <v>0.70203975999086454</v>
      </c>
      <c r="Q866" s="34">
        <f t="shared" si="122"/>
        <v>0.64963418913778281</v>
      </c>
      <c r="R866" s="46">
        <f t="shared" si="123"/>
        <v>55.574864881576516</v>
      </c>
    </row>
    <row r="867" spans="2:18" ht="12.75" customHeight="1" x14ac:dyDescent="0.25">
      <c r="B867" s="17" t="s">
        <v>0</v>
      </c>
      <c r="C867" s="44" t="s">
        <v>48</v>
      </c>
      <c r="D867" s="22" t="s">
        <v>2</v>
      </c>
      <c r="E867" s="20">
        <v>1</v>
      </c>
      <c r="F867" s="17" t="s">
        <v>120</v>
      </c>
      <c r="G867" s="17" t="s">
        <v>216</v>
      </c>
      <c r="H867" s="17" t="s">
        <v>217</v>
      </c>
      <c r="I867" s="17" t="s">
        <v>218</v>
      </c>
      <c r="J867" s="27" t="s">
        <v>49</v>
      </c>
      <c r="K867" s="29">
        <v>12676</v>
      </c>
      <c r="L867" s="31">
        <v>3515882.1800014065</v>
      </c>
      <c r="M867" s="31">
        <v>1245474.260002319</v>
      </c>
      <c r="N867" s="31">
        <v>894415.36000087147</v>
      </c>
      <c r="O867" s="34">
        <f t="shared" si="120"/>
        <v>0.35424231991807553</v>
      </c>
      <c r="P867" s="34">
        <f t="shared" si="121"/>
        <v>0.7181323522488583</v>
      </c>
      <c r="Q867" s="34">
        <f t="shared" si="122"/>
        <v>0.64575768008192447</v>
      </c>
      <c r="R867" s="46">
        <f t="shared" si="123"/>
        <v>70.559747554502323</v>
      </c>
    </row>
    <row r="868" spans="2:18" ht="12.75" customHeight="1" x14ac:dyDescent="0.25">
      <c r="B868" s="17" t="s">
        <v>0</v>
      </c>
      <c r="C868" s="44" t="s">
        <v>170</v>
      </c>
      <c r="D868" s="22" t="s">
        <v>2</v>
      </c>
      <c r="E868" s="20">
        <v>1</v>
      </c>
      <c r="F868" s="17" t="s">
        <v>120</v>
      </c>
      <c r="G868" s="17" t="s">
        <v>216</v>
      </c>
      <c r="H868" s="17" t="s">
        <v>217</v>
      </c>
      <c r="I868" s="17" t="s">
        <v>218</v>
      </c>
      <c r="J868" s="27" t="s">
        <v>171</v>
      </c>
      <c r="K868" s="29">
        <v>12561</v>
      </c>
      <c r="L868" s="31">
        <v>3356116.9100013608</v>
      </c>
      <c r="M868" s="31">
        <v>1139809.750001417</v>
      </c>
      <c r="N868" s="31">
        <v>834202.01999890036</v>
      </c>
      <c r="O868" s="34">
        <f t="shared" si="120"/>
        <v>0.33962158666306858</v>
      </c>
      <c r="P868" s="34">
        <f t="shared" si="121"/>
        <v>0.73187829810884075</v>
      </c>
      <c r="Q868" s="34">
        <f t="shared" si="122"/>
        <v>0.66037841333693148</v>
      </c>
      <c r="R868" s="46">
        <f t="shared" si="123"/>
        <v>66.412070694920814</v>
      </c>
    </row>
    <row r="869" spans="2:18" ht="12.75" customHeight="1" x14ac:dyDescent="0.25">
      <c r="B869" s="17" t="s">
        <v>0</v>
      </c>
      <c r="C869" s="44" t="s">
        <v>96</v>
      </c>
      <c r="D869" s="22" t="s">
        <v>9</v>
      </c>
      <c r="E869" s="20">
        <v>2</v>
      </c>
      <c r="F869" s="17" t="s">
        <v>120</v>
      </c>
      <c r="G869" s="17" t="s">
        <v>216</v>
      </c>
      <c r="H869" s="17" t="s">
        <v>217</v>
      </c>
      <c r="I869" s="17" t="s">
        <v>218</v>
      </c>
      <c r="J869" s="27" t="s">
        <v>97</v>
      </c>
      <c r="K869" s="29">
        <v>10145</v>
      </c>
      <c r="L869" s="31">
        <v>2289705.4199989843</v>
      </c>
      <c r="M869" s="31">
        <v>1165849.5699973409</v>
      </c>
      <c r="N869" s="31">
        <v>833540.09000017133</v>
      </c>
      <c r="O869" s="34">
        <f t="shared" si="120"/>
        <v>0.50917011411793667</v>
      </c>
      <c r="P869" s="34">
        <f t="shared" si="121"/>
        <v>0.71496367237333414</v>
      </c>
      <c r="Q869" s="34">
        <f t="shared" si="122"/>
        <v>0.49082988588206333</v>
      </c>
      <c r="R869" s="46">
        <f t="shared" si="123"/>
        <v>82.162650566798547</v>
      </c>
    </row>
    <row r="870" spans="2:18" ht="12.75" customHeight="1" x14ac:dyDescent="0.25">
      <c r="B870" s="17" t="s">
        <v>0</v>
      </c>
      <c r="C870" s="44" t="s">
        <v>153</v>
      </c>
      <c r="D870" s="22" t="s">
        <v>9</v>
      </c>
      <c r="E870" s="20">
        <v>2</v>
      </c>
      <c r="F870" s="17" t="s">
        <v>120</v>
      </c>
      <c r="G870" s="17" t="s">
        <v>216</v>
      </c>
      <c r="H870" s="17" t="s">
        <v>217</v>
      </c>
      <c r="I870" s="17" t="s">
        <v>218</v>
      </c>
      <c r="J870" s="27" t="s">
        <v>154</v>
      </c>
      <c r="K870" s="29">
        <v>7152</v>
      </c>
      <c r="L870" s="31">
        <v>2885518.929998029</v>
      </c>
      <c r="M870" s="31">
        <v>1040680.4400030246</v>
      </c>
      <c r="N870" s="31">
        <v>797300.8000004557</v>
      </c>
      <c r="O870" s="34">
        <f t="shared" si="120"/>
        <v>0.36065625118035027</v>
      </c>
      <c r="P870" s="34">
        <f t="shared" si="121"/>
        <v>0.7661341266278997</v>
      </c>
      <c r="Q870" s="34">
        <f t="shared" si="122"/>
        <v>0.63934374881964973</v>
      </c>
      <c r="R870" s="46">
        <f t="shared" si="123"/>
        <v>111.47941834458273</v>
      </c>
    </row>
    <row r="871" spans="2:18" ht="12.75" customHeight="1" x14ac:dyDescent="0.25">
      <c r="B871" s="17" t="s">
        <v>0</v>
      </c>
      <c r="C871" s="44" t="s">
        <v>103</v>
      </c>
      <c r="D871" s="22" t="s">
        <v>2</v>
      </c>
      <c r="E871" s="20">
        <v>1</v>
      </c>
      <c r="F871" s="17" t="s">
        <v>120</v>
      </c>
      <c r="G871" s="17" t="s">
        <v>216</v>
      </c>
      <c r="H871" s="17" t="s">
        <v>217</v>
      </c>
      <c r="I871" s="17" t="s">
        <v>218</v>
      </c>
      <c r="J871" s="27" t="s">
        <v>104</v>
      </c>
      <c r="K871" s="29">
        <v>14822</v>
      </c>
      <c r="L871" s="31">
        <v>2900879.9199984907</v>
      </c>
      <c r="M871" s="31">
        <v>1012092.3399992142</v>
      </c>
      <c r="N871" s="31">
        <v>739894.93000098318</v>
      </c>
      <c r="O871" s="34">
        <f t="shared" si="120"/>
        <v>0.34889149772174671</v>
      </c>
      <c r="P871" s="34">
        <f t="shared" si="121"/>
        <v>0.73105476719797891</v>
      </c>
      <c r="Q871" s="34">
        <f t="shared" si="122"/>
        <v>0.65110850227825323</v>
      </c>
      <c r="R871" s="46">
        <f t="shared" si="123"/>
        <v>49.91869720692101</v>
      </c>
    </row>
    <row r="872" spans="2:18" ht="12.75" customHeight="1" x14ac:dyDescent="0.25">
      <c r="B872" s="17" t="s">
        <v>0</v>
      </c>
      <c r="C872" s="44" t="s">
        <v>34</v>
      </c>
      <c r="D872" s="22" t="s">
        <v>2</v>
      </c>
      <c r="E872" s="20">
        <v>1</v>
      </c>
      <c r="F872" s="17" t="s">
        <v>120</v>
      </c>
      <c r="G872" s="17" t="s">
        <v>216</v>
      </c>
      <c r="H872" s="17" t="s">
        <v>217</v>
      </c>
      <c r="I872" s="17" t="s">
        <v>218</v>
      </c>
      <c r="J872" s="27" t="s">
        <v>35</v>
      </c>
      <c r="K872" s="29">
        <v>11327</v>
      </c>
      <c r="L872" s="31">
        <v>2745539.5999999177</v>
      </c>
      <c r="M872" s="31">
        <v>995808.06000007887</v>
      </c>
      <c r="N872" s="31">
        <v>700239.29999954789</v>
      </c>
      <c r="O872" s="34">
        <f t="shared" si="120"/>
        <v>0.36270030852955415</v>
      </c>
      <c r="P872" s="34">
        <f t="shared" si="121"/>
        <v>0.70318701778683379</v>
      </c>
      <c r="Q872" s="34">
        <f t="shared" si="122"/>
        <v>0.63729969147044585</v>
      </c>
      <c r="R872" s="46">
        <f t="shared" si="123"/>
        <v>61.82036726401941</v>
      </c>
    </row>
    <row r="873" spans="2:18" ht="12.75" customHeight="1" x14ac:dyDescent="0.25">
      <c r="B873" s="17" t="s">
        <v>0</v>
      </c>
      <c r="C873" s="44" t="s">
        <v>52</v>
      </c>
      <c r="D873" s="22" t="s">
        <v>9</v>
      </c>
      <c r="E873" s="20">
        <v>2</v>
      </c>
      <c r="F873" s="17" t="s">
        <v>120</v>
      </c>
      <c r="G873" s="17" t="s">
        <v>216</v>
      </c>
      <c r="H873" s="17" t="s">
        <v>217</v>
      </c>
      <c r="I873" s="17" t="s">
        <v>218</v>
      </c>
      <c r="J873" s="27" t="s">
        <v>53</v>
      </c>
      <c r="K873" s="29">
        <v>6821</v>
      </c>
      <c r="L873" s="31">
        <v>2134198.66000323</v>
      </c>
      <c r="M873" s="31">
        <v>938908.9100021238</v>
      </c>
      <c r="N873" s="31">
        <v>688826.39000216604</v>
      </c>
      <c r="O873" s="34">
        <f t="shared" si="120"/>
        <v>0.43993510426096077</v>
      </c>
      <c r="P873" s="34">
        <f t="shared" si="121"/>
        <v>0.73364559933786111</v>
      </c>
      <c r="Q873" s="34">
        <f t="shared" si="122"/>
        <v>0.56006489573903928</v>
      </c>
      <c r="R873" s="46">
        <f t="shared" si="123"/>
        <v>100.98612960008299</v>
      </c>
    </row>
    <row r="874" spans="2:18" ht="12.75" customHeight="1" x14ac:dyDescent="0.25">
      <c r="B874" s="17" t="s">
        <v>0</v>
      </c>
      <c r="C874" s="44" t="s">
        <v>159</v>
      </c>
      <c r="D874" s="22" t="s">
        <v>9</v>
      </c>
      <c r="E874" s="20">
        <v>2</v>
      </c>
      <c r="F874" s="17" t="s">
        <v>120</v>
      </c>
      <c r="G874" s="17" t="s">
        <v>216</v>
      </c>
      <c r="H874" s="17" t="s">
        <v>217</v>
      </c>
      <c r="I874" s="17" t="s">
        <v>218</v>
      </c>
      <c r="J874" s="27" t="s">
        <v>160</v>
      </c>
      <c r="K874" s="29">
        <v>7183</v>
      </c>
      <c r="L874" s="31">
        <v>2957633.0000033285</v>
      </c>
      <c r="M874" s="31">
        <v>916635.81999700796</v>
      </c>
      <c r="N874" s="31">
        <v>680455.53000024194</v>
      </c>
      <c r="O874" s="34">
        <f t="shared" si="120"/>
        <v>0.30992209648593194</v>
      </c>
      <c r="P874" s="34">
        <f t="shared" si="121"/>
        <v>0.74234010405840678</v>
      </c>
      <c r="Q874" s="34">
        <f t="shared" si="122"/>
        <v>0.69007790351406806</v>
      </c>
      <c r="R874" s="46">
        <f t="shared" si="123"/>
        <v>94.731383822948899</v>
      </c>
    </row>
    <row r="875" spans="2:18" ht="12.75" customHeight="1" x14ac:dyDescent="0.25">
      <c r="B875" s="17" t="s">
        <v>0</v>
      </c>
      <c r="C875" s="44" t="s">
        <v>168</v>
      </c>
      <c r="D875" s="22" t="s">
        <v>9</v>
      </c>
      <c r="E875" s="20">
        <v>2</v>
      </c>
      <c r="F875" s="17" t="s">
        <v>120</v>
      </c>
      <c r="G875" s="17" t="s">
        <v>216</v>
      </c>
      <c r="H875" s="17" t="s">
        <v>217</v>
      </c>
      <c r="I875" s="17" t="s">
        <v>218</v>
      </c>
      <c r="J875" s="27" t="s">
        <v>169</v>
      </c>
      <c r="K875" s="29">
        <v>22515</v>
      </c>
      <c r="L875" s="31">
        <v>1275530.4100035504</v>
      </c>
      <c r="M875" s="31">
        <v>613193.22999862686</v>
      </c>
      <c r="N875" s="31">
        <v>613193.22999862686</v>
      </c>
      <c r="O875" s="34">
        <f t="shared" si="120"/>
        <v>0.48073587676903767</v>
      </c>
      <c r="P875" s="34">
        <f t="shared" si="121"/>
        <v>1</v>
      </c>
      <c r="Q875" s="34">
        <f t="shared" si="122"/>
        <v>0.51926412323096227</v>
      </c>
      <c r="R875" s="46">
        <f t="shared" si="123"/>
        <v>27.234875860476432</v>
      </c>
    </row>
    <row r="876" spans="2:18" ht="12.75" customHeight="1" x14ac:dyDescent="0.25">
      <c r="B876" s="17" t="s">
        <v>0</v>
      </c>
      <c r="C876" s="44" t="s">
        <v>7</v>
      </c>
      <c r="D876" s="22" t="s">
        <v>2</v>
      </c>
      <c r="E876" s="20">
        <v>1</v>
      </c>
      <c r="F876" s="17" t="s">
        <v>120</v>
      </c>
      <c r="G876" s="17" t="s">
        <v>216</v>
      </c>
      <c r="H876" s="17" t="s">
        <v>217</v>
      </c>
      <c r="I876" s="17" t="s">
        <v>218</v>
      </c>
      <c r="J876" s="27" t="s">
        <v>8</v>
      </c>
      <c r="K876" s="29">
        <v>9461</v>
      </c>
      <c r="L876" s="31">
        <v>2233656.4500015294</v>
      </c>
      <c r="M876" s="31">
        <v>826990.41999881924</v>
      </c>
      <c r="N876" s="31">
        <v>596958.27999932878</v>
      </c>
      <c r="O876" s="34">
        <f t="shared" si="120"/>
        <v>0.37024065182371846</v>
      </c>
      <c r="P876" s="34">
        <f t="shared" si="121"/>
        <v>0.72184425062648383</v>
      </c>
      <c r="Q876" s="34">
        <f t="shared" si="122"/>
        <v>0.62975934817628154</v>
      </c>
      <c r="R876" s="46">
        <f t="shared" si="123"/>
        <v>63.096742416164126</v>
      </c>
    </row>
    <row r="877" spans="2:18" ht="12.75" customHeight="1" x14ac:dyDescent="0.25">
      <c r="B877" s="17" t="s">
        <v>0</v>
      </c>
      <c r="C877" s="44" t="s">
        <v>64</v>
      </c>
      <c r="D877" s="22" t="s">
        <v>9</v>
      </c>
      <c r="E877" s="20">
        <v>2</v>
      </c>
      <c r="F877" s="17" t="s">
        <v>120</v>
      </c>
      <c r="G877" s="17" t="s">
        <v>216</v>
      </c>
      <c r="H877" s="17" t="s">
        <v>217</v>
      </c>
      <c r="I877" s="17" t="s">
        <v>218</v>
      </c>
      <c r="J877" s="27" t="s">
        <v>65</v>
      </c>
      <c r="K877" s="29">
        <v>5609</v>
      </c>
      <c r="L877" s="31">
        <v>1580522.5400008704</v>
      </c>
      <c r="M877" s="31">
        <v>760159.20999896526</v>
      </c>
      <c r="N877" s="31">
        <v>572924.04000512604</v>
      </c>
      <c r="O877" s="34">
        <f t="shared" si="120"/>
        <v>0.48095436209251824</v>
      </c>
      <c r="P877" s="34">
        <f t="shared" si="121"/>
        <v>0.75368953302020236</v>
      </c>
      <c r="Q877" s="34">
        <f t="shared" si="122"/>
        <v>0.51904563790748171</v>
      </c>
      <c r="R877" s="46">
        <f t="shared" si="123"/>
        <v>102.1437047611207</v>
      </c>
    </row>
    <row r="878" spans="2:18" ht="12.75" customHeight="1" x14ac:dyDescent="0.25">
      <c r="B878" s="17" t="s">
        <v>0</v>
      </c>
      <c r="C878" s="44" t="s">
        <v>32</v>
      </c>
      <c r="D878" s="22" t="s">
        <v>2</v>
      </c>
      <c r="E878" s="20">
        <v>1</v>
      </c>
      <c r="F878" s="17" t="s">
        <v>120</v>
      </c>
      <c r="G878" s="17" t="s">
        <v>216</v>
      </c>
      <c r="H878" s="17" t="s">
        <v>217</v>
      </c>
      <c r="I878" s="17" t="s">
        <v>218</v>
      </c>
      <c r="J878" s="27" t="s">
        <v>33</v>
      </c>
      <c r="K878" s="29">
        <v>7572</v>
      </c>
      <c r="L878" s="31">
        <v>2301023.1999982102</v>
      </c>
      <c r="M878" s="31">
        <v>759811.68999928143</v>
      </c>
      <c r="N878" s="31">
        <v>555434.36000075028</v>
      </c>
      <c r="O878" s="34">
        <f t="shared" si="120"/>
        <v>0.33020601009145517</v>
      </c>
      <c r="P878" s="34">
        <f t="shared" si="121"/>
        <v>0.73101581261703874</v>
      </c>
      <c r="Q878" s="34">
        <f t="shared" si="122"/>
        <v>0.66979398990854477</v>
      </c>
      <c r="R878" s="46">
        <f t="shared" si="123"/>
        <v>73.353718964705536</v>
      </c>
    </row>
    <row r="879" spans="2:18" ht="12.75" customHeight="1" x14ac:dyDescent="0.25">
      <c r="B879" s="17" t="s">
        <v>0</v>
      </c>
      <c r="C879" s="44" t="s">
        <v>16</v>
      </c>
      <c r="D879" s="22" t="s">
        <v>2</v>
      </c>
      <c r="E879" s="20">
        <v>1</v>
      </c>
      <c r="F879" s="17" t="s">
        <v>120</v>
      </c>
      <c r="G879" s="17" t="s">
        <v>216</v>
      </c>
      <c r="H879" s="17" t="s">
        <v>217</v>
      </c>
      <c r="I879" s="17" t="s">
        <v>218</v>
      </c>
      <c r="J879" s="27" t="s">
        <v>17</v>
      </c>
      <c r="K879" s="29">
        <v>7827</v>
      </c>
      <c r="L879" s="31">
        <v>2035539.97000503</v>
      </c>
      <c r="M879" s="31">
        <v>752913.21000138519</v>
      </c>
      <c r="N879" s="31">
        <v>554392.54999946104</v>
      </c>
      <c r="O879" s="34">
        <f t="shared" si="120"/>
        <v>0.36988377585114413</v>
      </c>
      <c r="P879" s="34">
        <f t="shared" si="121"/>
        <v>0.73632995494718589</v>
      </c>
      <c r="Q879" s="34">
        <f t="shared" si="122"/>
        <v>0.63011622414885582</v>
      </c>
      <c r="R879" s="46">
        <f t="shared" si="123"/>
        <v>70.830784463965898</v>
      </c>
    </row>
    <row r="880" spans="2:18" ht="12.75" customHeight="1" x14ac:dyDescent="0.25">
      <c r="B880" s="17" t="s">
        <v>0</v>
      </c>
      <c r="C880" s="44" t="s">
        <v>68</v>
      </c>
      <c r="D880" s="22" t="s">
        <v>2</v>
      </c>
      <c r="E880" s="20">
        <v>1</v>
      </c>
      <c r="F880" s="17" t="s">
        <v>120</v>
      </c>
      <c r="G880" s="17" t="s">
        <v>216</v>
      </c>
      <c r="H880" s="17" t="s">
        <v>217</v>
      </c>
      <c r="I880" s="17" t="s">
        <v>218</v>
      </c>
      <c r="J880" s="27" t="s">
        <v>69</v>
      </c>
      <c r="K880" s="29">
        <v>7033</v>
      </c>
      <c r="L880" s="31">
        <v>2136672.029998363</v>
      </c>
      <c r="M880" s="31">
        <v>701130.59999861498</v>
      </c>
      <c r="N880" s="31">
        <v>526425.83000010124</v>
      </c>
      <c r="O880" s="34">
        <f t="shared" si="120"/>
        <v>0.32814142280841863</v>
      </c>
      <c r="P880" s="34">
        <f t="shared" si="121"/>
        <v>0.75082421163923119</v>
      </c>
      <c r="Q880" s="34">
        <f t="shared" si="122"/>
        <v>0.67185857719158137</v>
      </c>
      <c r="R880" s="46">
        <f t="shared" si="123"/>
        <v>74.850821839912015</v>
      </c>
    </row>
    <row r="881" spans="2:18" ht="12.75" customHeight="1" x14ac:dyDescent="0.25">
      <c r="B881" s="17" t="s">
        <v>0</v>
      </c>
      <c r="C881" s="44" t="s">
        <v>58</v>
      </c>
      <c r="D881" s="22" t="s">
        <v>2</v>
      </c>
      <c r="E881" s="20">
        <v>1</v>
      </c>
      <c r="F881" s="17" t="s">
        <v>120</v>
      </c>
      <c r="G881" s="17" t="s">
        <v>216</v>
      </c>
      <c r="H881" s="17" t="s">
        <v>217</v>
      </c>
      <c r="I881" s="17" t="s">
        <v>218</v>
      </c>
      <c r="J881" s="27" t="s">
        <v>59</v>
      </c>
      <c r="K881" s="29">
        <v>7850</v>
      </c>
      <c r="L881" s="31">
        <v>2154737.0299992976</v>
      </c>
      <c r="M881" s="31">
        <v>679354.43000090483</v>
      </c>
      <c r="N881" s="31">
        <v>504078.12000021111</v>
      </c>
      <c r="O881" s="34">
        <f t="shared" si="120"/>
        <v>0.31528414861888104</v>
      </c>
      <c r="P881" s="34">
        <f t="shared" si="121"/>
        <v>0.74199577972802755</v>
      </c>
      <c r="Q881" s="34">
        <f t="shared" si="122"/>
        <v>0.6847158513811189</v>
      </c>
      <c r="R881" s="46">
        <f t="shared" si="123"/>
        <v>64.213773248434535</v>
      </c>
    </row>
    <row r="882" spans="2:18" ht="12.75" customHeight="1" x14ac:dyDescent="0.25">
      <c r="B882" s="17" t="s">
        <v>0</v>
      </c>
      <c r="C882" s="44" t="s">
        <v>28</v>
      </c>
      <c r="D882" s="22" t="s">
        <v>2</v>
      </c>
      <c r="E882" s="20">
        <v>1</v>
      </c>
      <c r="F882" s="17" t="s">
        <v>120</v>
      </c>
      <c r="G882" s="17" t="s">
        <v>216</v>
      </c>
      <c r="H882" s="17" t="s">
        <v>217</v>
      </c>
      <c r="I882" s="17" t="s">
        <v>218</v>
      </c>
      <c r="J882" s="27" t="s">
        <v>29</v>
      </c>
      <c r="K882" s="29">
        <v>8546</v>
      </c>
      <c r="L882" s="31">
        <v>1608263.3199997391</v>
      </c>
      <c r="M882" s="31">
        <v>640438.36000027601</v>
      </c>
      <c r="N882" s="31">
        <v>495437.46999945008</v>
      </c>
      <c r="O882" s="34">
        <f t="shared" si="120"/>
        <v>0.39821735162148691</v>
      </c>
      <c r="P882" s="34">
        <f t="shared" si="121"/>
        <v>0.77359118526135218</v>
      </c>
      <c r="Q882" s="34">
        <f t="shared" si="122"/>
        <v>0.60178264837851314</v>
      </c>
      <c r="R882" s="46">
        <f t="shared" si="123"/>
        <v>57.973024806862867</v>
      </c>
    </row>
    <row r="883" spans="2:18" ht="12.75" customHeight="1" x14ac:dyDescent="0.25">
      <c r="B883" s="17" t="s">
        <v>0</v>
      </c>
      <c r="C883" s="44" t="s">
        <v>151</v>
      </c>
      <c r="D883" s="22" t="s">
        <v>2</v>
      </c>
      <c r="E883" s="20">
        <v>1</v>
      </c>
      <c r="F883" s="17" t="s">
        <v>120</v>
      </c>
      <c r="G883" s="17" t="s">
        <v>216</v>
      </c>
      <c r="H883" s="17" t="s">
        <v>217</v>
      </c>
      <c r="I883" s="17" t="s">
        <v>218</v>
      </c>
      <c r="J883" s="27" t="s">
        <v>152</v>
      </c>
      <c r="K883" s="29">
        <v>6007</v>
      </c>
      <c r="L883" s="31">
        <v>1767478.7299989103</v>
      </c>
      <c r="M883" s="31">
        <v>613675.16000115068</v>
      </c>
      <c r="N883" s="31">
        <v>453327.99999982712</v>
      </c>
      <c r="O883" s="34">
        <f t="shared" si="120"/>
        <v>0.34720370298404046</v>
      </c>
      <c r="P883" s="34">
        <f t="shared" si="121"/>
        <v>0.73871003675458702</v>
      </c>
      <c r="Q883" s="34">
        <f t="shared" si="122"/>
        <v>0.65279629701595954</v>
      </c>
      <c r="R883" s="46">
        <f t="shared" si="123"/>
        <v>75.466622273984868</v>
      </c>
    </row>
    <row r="884" spans="2:18" ht="12.75" customHeight="1" x14ac:dyDescent="0.25">
      <c r="B884" s="17" t="s">
        <v>0</v>
      </c>
      <c r="C884" s="44" t="s">
        <v>159</v>
      </c>
      <c r="D884" s="22" t="s">
        <v>2</v>
      </c>
      <c r="E884" s="20">
        <v>1</v>
      </c>
      <c r="F884" s="17" t="s">
        <v>120</v>
      </c>
      <c r="G884" s="17" t="s">
        <v>216</v>
      </c>
      <c r="H884" s="17" t="s">
        <v>217</v>
      </c>
      <c r="I884" s="17" t="s">
        <v>218</v>
      </c>
      <c r="J884" s="27" t="s">
        <v>160</v>
      </c>
      <c r="K884" s="29">
        <v>4865</v>
      </c>
      <c r="L884" s="31">
        <v>1901595.0000021898</v>
      </c>
      <c r="M884" s="31">
        <v>579811.33000350185</v>
      </c>
      <c r="N884" s="31">
        <v>439237.3800008081</v>
      </c>
      <c r="O884" s="34">
        <f t="shared" si="120"/>
        <v>0.3049078957416454</v>
      </c>
      <c r="P884" s="34">
        <f t="shared" si="121"/>
        <v>0.75755225410678895</v>
      </c>
      <c r="Q884" s="34">
        <f t="shared" si="122"/>
        <v>0.69509210425835466</v>
      </c>
      <c r="R884" s="46">
        <f t="shared" si="123"/>
        <v>90.285175745284292</v>
      </c>
    </row>
    <row r="885" spans="2:18" ht="12.75" customHeight="1" x14ac:dyDescent="0.25">
      <c r="B885" s="17" t="s">
        <v>0</v>
      </c>
      <c r="C885" s="44" t="s">
        <v>94</v>
      </c>
      <c r="D885" s="22" t="s">
        <v>2</v>
      </c>
      <c r="E885" s="20">
        <v>1</v>
      </c>
      <c r="F885" s="17" t="s">
        <v>120</v>
      </c>
      <c r="G885" s="17" t="s">
        <v>216</v>
      </c>
      <c r="H885" s="17" t="s">
        <v>217</v>
      </c>
      <c r="I885" s="17" t="s">
        <v>218</v>
      </c>
      <c r="J885" s="27" t="s">
        <v>95</v>
      </c>
      <c r="K885" s="29">
        <v>5300</v>
      </c>
      <c r="L885" s="31">
        <v>1555673.39999869</v>
      </c>
      <c r="M885" s="31">
        <v>556578.91000077873</v>
      </c>
      <c r="N885" s="31">
        <v>392507.58000010089</v>
      </c>
      <c r="O885" s="34">
        <f t="shared" si="120"/>
        <v>0.35777362395040463</v>
      </c>
      <c r="P885" s="34">
        <f t="shared" si="121"/>
        <v>0.70521461188594392</v>
      </c>
      <c r="Q885" s="34">
        <f t="shared" si="122"/>
        <v>0.64222637604959543</v>
      </c>
      <c r="R885" s="46">
        <f t="shared" si="123"/>
        <v>74.05803396228319</v>
      </c>
    </row>
    <row r="886" spans="2:18" ht="12.75" customHeight="1" x14ac:dyDescent="0.25">
      <c r="B886" s="17" t="s">
        <v>0</v>
      </c>
      <c r="C886" s="44" t="s">
        <v>191</v>
      </c>
      <c r="D886" s="22" t="s">
        <v>9</v>
      </c>
      <c r="E886" s="20">
        <v>2</v>
      </c>
      <c r="F886" s="17" t="s">
        <v>120</v>
      </c>
      <c r="G886" s="17" t="s">
        <v>216</v>
      </c>
      <c r="H886" s="17" t="s">
        <v>217</v>
      </c>
      <c r="I886" s="17" t="s">
        <v>218</v>
      </c>
      <c r="J886" s="27" t="s">
        <v>192</v>
      </c>
      <c r="K886" s="29">
        <v>5450</v>
      </c>
      <c r="L886" s="31">
        <v>760190.15000028093</v>
      </c>
      <c r="M886" s="31">
        <v>520022.20999631804</v>
      </c>
      <c r="N886" s="31">
        <v>383576.16000052902</v>
      </c>
      <c r="O886" s="34">
        <f t="shared" si="120"/>
        <v>0.68406859783190543</v>
      </c>
      <c r="P886" s="34">
        <f t="shared" si="121"/>
        <v>0.73761495687510137</v>
      </c>
      <c r="Q886" s="34">
        <f t="shared" si="122"/>
        <v>0.31593140216809457</v>
      </c>
      <c r="R886" s="46">
        <f t="shared" si="123"/>
        <v>70.380946789087901</v>
      </c>
    </row>
    <row r="887" spans="2:18" ht="12.75" customHeight="1" x14ac:dyDescent="0.25">
      <c r="B887" s="17" t="s">
        <v>0</v>
      </c>
      <c r="C887" s="44" t="s">
        <v>22</v>
      </c>
      <c r="D887" s="22" t="s">
        <v>2</v>
      </c>
      <c r="E887" s="20">
        <v>1</v>
      </c>
      <c r="F887" s="17" t="s">
        <v>120</v>
      </c>
      <c r="G887" s="17" t="s">
        <v>216</v>
      </c>
      <c r="H887" s="17" t="s">
        <v>217</v>
      </c>
      <c r="I887" s="17" t="s">
        <v>218</v>
      </c>
      <c r="J887" s="27" t="s">
        <v>23</v>
      </c>
      <c r="K887" s="29">
        <v>5906</v>
      </c>
      <c r="L887" s="31">
        <v>1489345.56000037</v>
      </c>
      <c r="M887" s="31">
        <v>501817.35999939207</v>
      </c>
      <c r="N887" s="31">
        <v>375926.47000022605</v>
      </c>
      <c r="O887" s="34">
        <f t="shared" si="120"/>
        <v>0.33693816497446527</v>
      </c>
      <c r="P887" s="34">
        <f t="shared" si="121"/>
        <v>0.749130061982474</v>
      </c>
      <c r="Q887" s="34">
        <f t="shared" si="122"/>
        <v>0.66306183502553473</v>
      </c>
      <c r="R887" s="46">
        <f t="shared" si="123"/>
        <v>63.651620386086364</v>
      </c>
    </row>
    <row r="888" spans="2:18" ht="12.75" customHeight="1" x14ac:dyDescent="0.25">
      <c r="B888" s="17" t="s">
        <v>0</v>
      </c>
      <c r="C888" s="44" t="s">
        <v>127</v>
      </c>
      <c r="D888" s="22" t="s">
        <v>2</v>
      </c>
      <c r="E888" s="20">
        <v>1</v>
      </c>
      <c r="F888" s="17" t="s">
        <v>120</v>
      </c>
      <c r="G888" s="17" t="s">
        <v>216</v>
      </c>
      <c r="H888" s="17" t="s">
        <v>217</v>
      </c>
      <c r="I888" s="17" t="s">
        <v>218</v>
      </c>
      <c r="J888" s="27" t="s">
        <v>128</v>
      </c>
      <c r="K888" s="29">
        <v>5484</v>
      </c>
      <c r="L888" s="31">
        <v>1459903.3200016299</v>
      </c>
      <c r="M888" s="31">
        <v>514712.79000056395</v>
      </c>
      <c r="N888" s="31">
        <v>362612.4199992519</v>
      </c>
      <c r="O888" s="34">
        <f t="shared" si="120"/>
        <v>0.35256635350345616</v>
      </c>
      <c r="P888" s="34">
        <f t="shared" si="121"/>
        <v>0.70449467556237455</v>
      </c>
      <c r="Q888" s="34">
        <f t="shared" si="122"/>
        <v>0.64743364649654378</v>
      </c>
      <c r="R888" s="46">
        <f t="shared" si="123"/>
        <v>66.12188548491099</v>
      </c>
    </row>
    <row r="889" spans="2:18" ht="12.75" customHeight="1" x14ac:dyDescent="0.25">
      <c r="B889" s="17" t="s">
        <v>0</v>
      </c>
      <c r="C889" s="44" t="s">
        <v>26</v>
      </c>
      <c r="D889" s="22" t="s">
        <v>9</v>
      </c>
      <c r="E889" s="20">
        <v>2</v>
      </c>
      <c r="F889" s="17" t="s">
        <v>120</v>
      </c>
      <c r="G889" s="17" t="s">
        <v>216</v>
      </c>
      <c r="H889" s="17" t="s">
        <v>217</v>
      </c>
      <c r="I889" s="17" t="s">
        <v>218</v>
      </c>
      <c r="J889" s="27" t="s">
        <v>27</v>
      </c>
      <c r="K889" s="29">
        <v>4605</v>
      </c>
      <c r="L889" s="31">
        <v>1015186.5000013821</v>
      </c>
      <c r="M889" s="31">
        <v>470865.72999913903</v>
      </c>
      <c r="N889" s="31">
        <v>352785.54000067385</v>
      </c>
      <c r="O889" s="34">
        <f t="shared" si="120"/>
        <v>0.46382189873338348</v>
      </c>
      <c r="P889" s="34">
        <f t="shared" si="121"/>
        <v>0.7492274708573905</v>
      </c>
      <c r="Q889" s="34">
        <f t="shared" si="122"/>
        <v>0.53617810126661647</v>
      </c>
      <c r="R889" s="46">
        <f t="shared" si="123"/>
        <v>76.60923778516262</v>
      </c>
    </row>
    <row r="890" spans="2:18" ht="12.75" customHeight="1" x14ac:dyDescent="0.25">
      <c r="B890" s="17" t="s">
        <v>0</v>
      </c>
      <c r="C890" s="44" t="s">
        <v>178</v>
      </c>
      <c r="D890" s="22" t="s">
        <v>2</v>
      </c>
      <c r="E890" s="20">
        <v>1</v>
      </c>
      <c r="F890" s="17" t="s">
        <v>120</v>
      </c>
      <c r="G890" s="17" t="s">
        <v>216</v>
      </c>
      <c r="H890" s="17" t="s">
        <v>217</v>
      </c>
      <c r="I890" s="17" t="s">
        <v>218</v>
      </c>
      <c r="J890" s="27" t="s">
        <v>179</v>
      </c>
      <c r="K890" s="29">
        <v>3370</v>
      </c>
      <c r="L890" s="31">
        <v>1545087.9999998</v>
      </c>
      <c r="M890" s="31">
        <v>415532.36999722209</v>
      </c>
      <c r="N890" s="31">
        <v>317555.14000297501</v>
      </c>
      <c r="O890" s="34">
        <f t="shared" si="120"/>
        <v>0.26893767215671593</v>
      </c>
      <c r="P890" s="34">
        <f t="shared" si="121"/>
        <v>0.76421276158364726</v>
      </c>
      <c r="Q890" s="34">
        <f t="shared" si="122"/>
        <v>0.73106232784328407</v>
      </c>
      <c r="R890" s="46">
        <f t="shared" si="123"/>
        <v>94.23001187031899</v>
      </c>
    </row>
    <row r="891" spans="2:18" ht="12.75" customHeight="1" x14ac:dyDescent="0.25">
      <c r="B891" s="17" t="s">
        <v>0</v>
      </c>
      <c r="C891" s="44" t="s">
        <v>52</v>
      </c>
      <c r="D891" s="22" t="s">
        <v>2</v>
      </c>
      <c r="E891" s="20">
        <v>1</v>
      </c>
      <c r="F891" s="17" t="s">
        <v>120</v>
      </c>
      <c r="G891" s="17" t="s">
        <v>216</v>
      </c>
      <c r="H891" s="17" t="s">
        <v>217</v>
      </c>
      <c r="I891" s="17" t="s">
        <v>218</v>
      </c>
      <c r="J891" s="27" t="s">
        <v>53</v>
      </c>
      <c r="K891" s="29">
        <v>2956</v>
      </c>
      <c r="L891" s="31">
        <v>939895.69999992987</v>
      </c>
      <c r="M891" s="31">
        <v>356741.20999920403</v>
      </c>
      <c r="N891" s="31">
        <v>266598.32999938395</v>
      </c>
      <c r="O891" s="34">
        <f t="shared" si="120"/>
        <v>0.37955403987828717</v>
      </c>
      <c r="P891" s="34">
        <f t="shared" si="121"/>
        <v>0.74731576427623481</v>
      </c>
      <c r="Q891" s="34">
        <f t="shared" si="122"/>
        <v>0.62044596012171283</v>
      </c>
      <c r="R891" s="46">
        <f t="shared" si="123"/>
        <v>90.188880243363982</v>
      </c>
    </row>
    <row r="892" spans="2:18" ht="12.75" customHeight="1" x14ac:dyDescent="0.25">
      <c r="B892" s="17" t="s">
        <v>0</v>
      </c>
      <c r="C892" s="44" t="s">
        <v>38</v>
      </c>
      <c r="D892" s="22" t="s">
        <v>2</v>
      </c>
      <c r="E892" s="20">
        <v>1</v>
      </c>
      <c r="F892" s="17" t="s">
        <v>120</v>
      </c>
      <c r="G892" s="17" t="s">
        <v>216</v>
      </c>
      <c r="H892" s="17" t="s">
        <v>217</v>
      </c>
      <c r="I892" s="17" t="s">
        <v>218</v>
      </c>
      <c r="J892" s="27" t="s">
        <v>39</v>
      </c>
      <c r="K892" s="29">
        <v>3575</v>
      </c>
      <c r="L892" s="31">
        <v>935059.30999745999</v>
      </c>
      <c r="M892" s="31">
        <v>353685.97000022809</v>
      </c>
      <c r="N892" s="31">
        <v>257967.37000023003</v>
      </c>
      <c r="O892" s="34">
        <f t="shared" si="120"/>
        <v>0.37824977113076264</v>
      </c>
      <c r="P892" s="34">
        <f t="shared" si="121"/>
        <v>0.72936839988327407</v>
      </c>
      <c r="Q892" s="34">
        <f t="shared" si="122"/>
        <v>0.62175022886923736</v>
      </c>
      <c r="R892" s="46">
        <f t="shared" si="123"/>
        <v>72.158704895169237</v>
      </c>
    </row>
    <row r="893" spans="2:18" ht="12.75" customHeight="1" x14ac:dyDescent="0.25">
      <c r="B893" s="17" t="s">
        <v>0</v>
      </c>
      <c r="C893" s="44" t="s">
        <v>176</v>
      </c>
      <c r="D893" s="22" t="s">
        <v>2</v>
      </c>
      <c r="E893" s="20">
        <v>1</v>
      </c>
      <c r="F893" s="17" t="s">
        <v>120</v>
      </c>
      <c r="G893" s="17" t="s">
        <v>216</v>
      </c>
      <c r="H893" s="17" t="s">
        <v>217</v>
      </c>
      <c r="I893" s="17" t="s">
        <v>218</v>
      </c>
      <c r="J893" s="27" t="s">
        <v>177</v>
      </c>
      <c r="K893" s="29">
        <v>2891</v>
      </c>
      <c r="L893" s="31">
        <v>1106239.0000001595</v>
      </c>
      <c r="M893" s="31">
        <v>332874.36000045185</v>
      </c>
      <c r="N893" s="31">
        <v>255534.97000040303</v>
      </c>
      <c r="O893" s="34">
        <f t="shared" si="120"/>
        <v>0.30090636833487505</v>
      </c>
      <c r="P893" s="34">
        <f t="shared" si="121"/>
        <v>0.76766191904974646</v>
      </c>
      <c r="Q893" s="34">
        <f t="shared" si="122"/>
        <v>0.69909363166512495</v>
      </c>
      <c r="R893" s="46">
        <f t="shared" si="123"/>
        <v>88.389820131581814</v>
      </c>
    </row>
    <row r="894" spans="2:18" ht="12.75" customHeight="1" x14ac:dyDescent="0.25">
      <c r="B894" s="17" t="s">
        <v>0</v>
      </c>
      <c r="C894" s="44" t="s">
        <v>110</v>
      </c>
      <c r="D894" s="22" t="s">
        <v>2</v>
      </c>
      <c r="E894" s="20">
        <v>1</v>
      </c>
      <c r="F894" s="17" t="s">
        <v>120</v>
      </c>
      <c r="G894" s="17" t="s">
        <v>216</v>
      </c>
      <c r="H894" s="17" t="s">
        <v>217</v>
      </c>
      <c r="I894" s="17" t="s">
        <v>218</v>
      </c>
      <c r="J894" s="27" t="s">
        <v>111</v>
      </c>
      <c r="K894" s="29">
        <v>4025</v>
      </c>
      <c r="L894" s="31">
        <v>964041.2000001031</v>
      </c>
      <c r="M894" s="31">
        <v>347338.38000047003</v>
      </c>
      <c r="N894" s="31">
        <v>251911.62000041097</v>
      </c>
      <c r="O894" s="34">
        <f t="shared" si="120"/>
        <v>0.36029412435944946</v>
      </c>
      <c r="P894" s="34">
        <f t="shared" si="121"/>
        <v>0.72526284023110277</v>
      </c>
      <c r="Q894" s="34">
        <f t="shared" si="122"/>
        <v>0.63970587564055048</v>
      </c>
      <c r="R894" s="46">
        <f t="shared" si="123"/>
        <v>62.58673788830086</v>
      </c>
    </row>
    <row r="895" spans="2:18" ht="12.75" customHeight="1" x14ac:dyDescent="0.25">
      <c r="B895" s="17" t="s">
        <v>0</v>
      </c>
      <c r="C895" s="44" t="s">
        <v>42</v>
      </c>
      <c r="D895" s="22" t="s">
        <v>2</v>
      </c>
      <c r="E895" s="20">
        <v>1</v>
      </c>
      <c r="F895" s="17" t="s">
        <v>120</v>
      </c>
      <c r="G895" s="17" t="s">
        <v>216</v>
      </c>
      <c r="H895" s="17" t="s">
        <v>217</v>
      </c>
      <c r="I895" s="17" t="s">
        <v>218</v>
      </c>
      <c r="J895" s="27" t="s">
        <v>43</v>
      </c>
      <c r="K895" s="29">
        <v>2670</v>
      </c>
      <c r="L895" s="31">
        <v>929907.9199995799</v>
      </c>
      <c r="M895" s="31">
        <v>323508.05000014207</v>
      </c>
      <c r="N895" s="31">
        <v>247132.48999927001</v>
      </c>
      <c r="O895" s="34">
        <f t="shared" si="120"/>
        <v>0.34789256338443514</v>
      </c>
      <c r="P895" s="34">
        <f t="shared" si="121"/>
        <v>0.76391449918838639</v>
      </c>
      <c r="Q895" s="34">
        <f t="shared" si="122"/>
        <v>0.65210743661556481</v>
      </c>
      <c r="R895" s="46">
        <f t="shared" si="123"/>
        <v>92.558985018453185</v>
      </c>
    </row>
    <row r="896" spans="2:18" ht="12.75" customHeight="1" x14ac:dyDescent="0.25">
      <c r="B896" s="17" t="s">
        <v>0</v>
      </c>
      <c r="C896" s="44" t="s">
        <v>74</v>
      </c>
      <c r="D896" s="22" t="s">
        <v>2</v>
      </c>
      <c r="E896" s="20">
        <v>1</v>
      </c>
      <c r="F896" s="17" t="s">
        <v>120</v>
      </c>
      <c r="G896" s="17" t="s">
        <v>216</v>
      </c>
      <c r="H896" s="17" t="s">
        <v>217</v>
      </c>
      <c r="I896" s="17" t="s">
        <v>218</v>
      </c>
      <c r="J896" s="27" t="s">
        <v>75</v>
      </c>
      <c r="K896" s="29">
        <v>3661</v>
      </c>
      <c r="L896" s="31">
        <v>1073903.5200001092</v>
      </c>
      <c r="M896" s="31">
        <v>322234.02999901702</v>
      </c>
      <c r="N896" s="31">
        <v>243380.06999980498</v>
      </c>
      <c r="O896" s="34">
        <f t="shared" ref="O896:O927" si="124">IFERROR(M896/L896,0)</f>
        <v>0.30005864027616208</v>
      </c>
      <c r="P896" s="34">
        <f t="shared" ref="P896:P927" si="125">IFERROR(N896/M896,0)</f>
        <v>0.75528978115858036</v>
      </c>
      <c r="Q896" s="34">
        <f t="shared" ref="Q896:Q927" si="126">IFERROR(1-(M896/L896),0)</f>
        <v>0.69994135972383797</v>
      </c>
      <c r="R896" s="46">
        <f t="shared" ref="R896:R927" si="127">IFERROR(N896/K896,0)</f>
        <v>66.479123190331876</v>
      </c>
    </row>
    <row r="897" spans="2:18" ht="12.75" customHeight="1" x14ac:dyDescent="0.25">
      <c r="B897" s="17" t="s">
        <v>0</v>
      </c>
      <c r="C897" s="44" t="s">
        <v>172</v>
      </c>
      <c r="D897" s="22" t="s">
        <v>2</v>
      </c>
      <c r="E897" s="20">
        <v>1</v>
      </c>
      <c r="F897" s="17" t="s">
        <v>120</v>
      </c>
      <c r="G897" s="17" t="s">
        <v>216</v>
      </c>
      <c r="H897" s="17" t="s">
        <v>217</v>
      </c>
      <c r="I897" s="17" t="s">
        <v>218</v>
      </c>
      <c r="J897" s="27" t="s">
        <v>173</v>
      </c>
      <c r="K897" s="29">
        <v>2042</v>
      </c>
      <c r="L897" s="31">
        <v>839559.39999991015</v>
      </c>
      <c r="M897" s="31">
        <v>255239.33000002604</v>
      </c>
      <c r="N897" s="31">
        <v>190535.43000127899</v>
      </c>
      <c r="O897" s="34">
        <f t="shared" si="124"/>
        <v>0.3040158087683294</v>
      </c>
      <c r="P897" s="34">
        <f t="shared" si="125"/>
        <v>0.74649714055141714</v>
      </c>
      <c r="Q897" s="34">
        <f t="shared" si="126"/>
        <v>0.69598419123167066</v>
      </c>
      <c r="R897" s="46">
        <f t="shared" si="127"/>
        <v>93.308241920312923</v>
      </c>
    </row>
    <row r="898" spans="2:18" ht="12.75" customHeight="1" x14ac:dyDescent="0.25">
      <c r="B898" s="17" t="s">
        <v>0</v>
      </c>
      <c r="C898" s="44" t="s">
        <v>72</v>
      </c>
      <c r="D898" s="22" t="s">
        <v>2</v>
      </c>
      <c r="E898" s="20">
        <v>1</v>
      </c>
      <c r="F898" s="17" t="s">
        <v>120</v>
      </c>
      <c r="G898" s="17" t="s">
        <v>216</v>
      </c>
      <c r="H898" s="17" t="s">
        <v>217</v>
      </c>
      <c r="I898" s="17" t="s">
        <v>218</v>
      </c>
      <c r="J898" s="27" t="s">
        <v>73</v>
      </c>
      <c r="K898" s="29">
        <v>3061</v>
      </c>
      <c r="L898" s="31">
        <v>789436.07999968994</v>
      </c>
      <c r="M898" s="31">
        <v>261921.36999978899</v>
      </c>
      <c r="N898" s="31">
        <v>189517.23000018197</v>
      </c>
      <c r="O898" s="34">
        <f t="shared" si="124"/>
        <v>0.33178287214829588</v>
      </c>
      <c r="P898" s="34">
        <f t="shared" si="125"/>
        <v>0.72356535856671278</v>
      </c>
      <c r="Q898" s="34">
        <f t="shared" si="126"/>
        <v>0.66821712785170417</v>
      </c>
      <c r="R898" s="46">
        <f t="shared" si="127"/>
        <v>61.913502123548504</v>
      </c>
    </row>
    <row r="899" spans="2:18" ht="12.75" customHeight="1" x14ac:dyDescent="0.25">
      <c r="B899" s="17" t="s">
        <v>0</v>
      </c>
      <c r="C899" s="44" t="s">
        <v>184</v>
      </c>
      <c r="D899" s="22" t="s">
        <v>2</v>
      </c>
      <c r="E899" s="20">
        <v>1</v>
      </c>
      <c r="F899" s="17" t="s">
        <v>120</v>
      </c>
      <c r="G899" s="17" t="s">
        <v>216</v>
      </c>
      <c r="H899" s="17" t="s">
        <v>217</v>
      </c>
      <c r="I899" s="17" t="s">
        <v>218</v>
      </c>
      <c r="J899" s="27" t="s">
        <v>185</v>
      </c>
      <c r="K899" s="29">
        <v>3353</v>
      </c>
      <c r="L899" s="31">
        <v>587233</v>
      </c>
      <c r="M899" s="31">
        <v>242016.00000019206</v>
      </c>
      <c r="N899" s="31">
        <v>184865.15000097899</v>
      </c>
      <c r="O899" s="34">
        <f t="shared" si="124"/>
        <v>0.41212942733155672</v>
      </c>
      <c r="P899" s="34">
        <f t="shared" si="125"/>
        <v>0.76385507570091349</v>
      </c>
      <c r="Q899" s="34">
        <f t="shared" si="126"/>
        <v>0.58787057266844323</v>
      </c>
      <c r="R899" s="46">
        <f t="shared" si="127"/>
        <v>55.134252908135693</v>
      </c>
    </row>
    <row r="900" spans="2:18" ht="12.75" customHeight="1" x14ac:dyDescent="0.25">
      <c r="B900" s="17" t="s">
        <v>0</v>
      </c>
      <c r="C900" s="44" t="s">
        <v>20</v>
      </c>
      <c r="D900" s="22" t="s">
        <v>2</v>
      </c>
      <c r="E900" s="20">
        <v>1</v>
      </c>
      <c r="F900" s="17" t="s">
        <v>120</v>
      </c>
      <c r="G900" s="17" t="s">
        <v>216</v>
      </c>
      <c r="H900" s="17" t="s">
        <v>217</v>
      </c>
      <c r="I900" s="17" t="s">
        <v>218</v>
      </c>
      <c r="J900" s="27" t="s">
        <v>21</v>
      </c>
      <c r="K900" s="29">
        <v>2756</v>
      </c>
      <c r="L900" s="31">
        <v>430215.27999883401</v>
      </c>
      <c r="M900" s="31">
        <v>246737.95999986603</v>
      </c>
      <c r="N900" s="31">
        <v>178675.56999945198</v>
      </c>
      <c r="O900" s="34">
        <f t="shared" si="124"/>
        <v>0.57352207480992945</v>
      </c>
      <c r="P900" s="34">
        <f t="shared" si="125"/>
        <v>0.72415111967185353</v>
      </c>
      <c r="Q900" s="34">
        <f t="shared" si="126"/>
        <v>0.42647792519007055</v>
      </c>
      <c r="R900" s="46">
        <f t="shared" si="127"/>
        <v>64.831484034634244</v>
      </c>
    </row>
    <row r="901" spans="2:18" ht="12.75" customHeight="1" x14ac:dyDescent="0.25">
      <c r="B901" s="17" t="s">
        <v>0</v>
      </c>
      <c r="C901" s="44" t="s">
        <v>196</v>
      </c>
      <c r="D901" s="22" t="s">
        <v>2</v>
      </c>
      <c r="E901" s="20">
        <v>1</v>
      </c>
      <c r="F901" s="17" t="s">
        <v>120</v>
      </c>
      <c r="G901" s="17" t="s">
        <v>216</v>
      </c>
      <c r="H901" s="17" t="s">
        <v>217</v>
      </c>
      <c r="I901" s="17" t="s">
        <v>218</v>
      </c>
      <c r="J901" s="27" t="s">
        <v>197</v>
      </c>
      <c r="K901" s="29">
        <v>2527</v>
      </c>
      <c r="L901" s="31">
        <v>875052.00000267988</v>
      </c>
      <c r="M901" s="31">
        <v>232885.31999951502</v>
      </c>
      <c r="N901" s="31">
        <v>173770.25999889799</v>
      </c>
      <c r="O901" s="34">
        <f t="shared" si="124"/>
        <v>0.26613883517642584</v>
      </c>
      <c r="P901" s="34">
        <f t="shared" si="125"/>
        <v>0.74616236008031711</v>
      </c>
      <c r="Q901" s="34">
        <f t="shared" si="126"/>
        <v>0.73386116482357422</v>
      </c>
      <c r="R901" s="46">
        <f t="shared" si="127"/>
        <v>68.765437276967944</v>
      </c>
    </row>
    <row r="902" spans="2:18" ht="12.75" customHeight="1" x14ac:dyDescent="0.25">
      <c r="B902" s="17" t="s">
        <v>0</v>
      </c>
      <c r="C902" s="44" t="s">
        <v>62</v>
      </c>
      <c r="D902" s="22" t="s">
        <v>2</v>
      </c>
      <c r="E902" s="20">
        <v>1</v>
      </c>
      <c r="F902" s="17" t="s">
        <v>120</v>
      </c>
      <c r="G902" s="17" t="s">
        <v>216</v>
      </c>
      <c r="H902" s="17" t="s">
        <v>217</v>
      </c>
      <c r="I902" s="17" t="s">
        <v>218</v>
      </c>
      <c r="J902" s="27" t="s">
        <v>63</v>
      </c>
      <c r="K902" s="29">
        <v>1654</v>
      </c>
      <c r="L902" s="31">
        <v>765882.52000182006</v>
      </c>
      <c r="M902" s="31">
        <v>220733.40000175199</v>
      </c>
      <c r="N902" s="31">
        <v>171055.20999828301</v>
      </c>
      <c r="O902" s="34">
        <f t="shared" si="124"/>
        <v>0.28820790948620612</v>
      </c>
      <c r="P902" s="34">
        <f t="shared" si="125"/>
        <v>0.77494031259847995</v>
      </c>
      <c r="Q902" s="34">
        <f t="shared" si="126"/>
        <v>0.71179209051379388</v>
      </c>
      <c r="R902" s="46">
        <f t="shared" si="127"/>
        <v>103.41911124442746</v>
      </c>
    </row>
    <row r="903" spans="2:18" ht="12.75" customHeight="1" x14ac:dyDescent="0.25">
      <c r="B903" s="17" t="s">
        <v>0</v>
      </c>
      <c r="C903" s="44" t="s">
        <v>137</v>
      </c>
      <c r="D903" s="22" t="s">
        <v>2</v>
      </c>
      <c r="E903" s="20">
        <v>1</v>
      </c>
      <c r="F903" s="17" t="s">
        <v>120</v>
      </c>
      <c r="G903" s="17" t="s">
        <v>216</v>
      </c>
      <c r="H903" s="17" t="s">
        <v>217</v>
      </c>
      <c r="I903" s="17" t="s">
        <v>218</v>
      </c>
      <c r="J903" s="27" t="s">
        <v>138</v>
      </c>
      <c r="K903" s="29">
        <v>2276</v>
      </c>
      <c r="L903" s="31">
        <v>613377.49999834993</v>
      </c>
      <c r="M903" s="31">
        <v>228856.23999914399</v>
      </c>
      <c r="N903" s="31">
        <v>166198.90000030099</v>
      </c>
      <c r="O903" s="34">
        <f t="shared" si="124"/>
        <v>0.37310830605909029</v>
      </c>
      <c r="P903" s="34">
        <f t="shared" si="125"/>
        <v>0.72621528694573778</v>
      </c>
      <c r="Q903" s="34">
        <f t="shared" si="126"/>
        <v>0.62689169394090971</v>
      </c>
      <c r="R903" s="46">
        <f t="shared" si="127"/>
        <v>73.022363796265807</v>
      </c>
    </row>
    <row r="904" spans="2:18" ht="12.75" customHeight="1" x14ac:dyDescent="0.25">
      <c r="B904" s="17" t="s">
        <v>0</v>
      </c>
      <c r="C904" s="44" t="s">
        <v>219</v>
      </c>
      <c r="D904" s="22" t="s">
        <v>9</v>
      </c>
      <c r="E904" s="20">
        <v>2</v>
      </c>
      <c r="F904" s="17" t="s">
        <v>120</v>
      </c>
      <c r="G904" s="17" t="s">
        <v>216</v>
      </c>
      <c r="H904" s="17" t="s">
        <v>217</v>
      </c>
      <c r="I904" s="17" t="s">
        <v>218</v>
      </c>
      <c r="J904" s="27" t="s">
        <v>220</v>
      </c>
      <c r="K904" s="29">
        <v>2635</v>
      </c>
      <c r="L904" s="31">
        <v>549608.799999065</v>
      </c>
      <c r="M904" s="31">
        <v>218735.72999905</v>
      </c>
      <c r="N904" s="31">
        <v>157789.179999863</v>
      </c>
      <c r="O904" s="34">
        <f t="shared" si="124"/>
        <v>0.3979844027232135</v>
      </c>
      <c r="P904" s="34">
        <f t="shared" si="125"/>
        <v>0.72136902370979039</v>
      </c>
      <c r="Q904" s="34">
        <f t="shared" si="126"/>
        <v>0.60201559727678644</v>
      </c>
      <c r="R904" s="46">
        <f t="shared" si="127"/>
        <v>59.882041745678556</v>
      </c>
    </row>
    <row r="905" spans="2:18" ht="12.75" customHeight="1" x14ac:dyDescent="0.25">
      <c r="B905" s="17" t="s">
        <v>0</v>
      </c>
      <c r="C905" s="44" t="s">
        <v>166</v>
      </c>
      <c r="D905" s="22" t="s">
        <v>2</v>
      </c>
      <c r="E905" s="20">
        <v>1</v>
      </c>
      <c r="F905" s="17" t="s">
        <v>120</v>
      </c>
      <c r="G905" s="17" t="s">
        <v>216</v>
      </c>
      <c r="H905" s="17" t="s">
        <v>217</v>
      </c>
      <c r="I905" s="17" t="s">
        <v>218</v>
      </c>
      <c r="J905" s="27" t="s">
        <v>167</v>
      </c>
      <c r="K905" s="29">
        <v>2563</v>
      </c>
      <c r="L905" s="31">
        <v>611689.91999939794</v>
      </c>
      <c r="M905" s="31">
        <v>223378.26000056</v>
      </c>
      <c r="N905" s="31">
        <v>151915.64000004201</v>
      </c>
      <c r="O905" s="34">
        <f t="shared" si="124"/>
        <v>0.36518218250315432</v>
      </c>
      <c r="P905" s="34">
        <f t="shared" si="125"/>
        <v>0.68008247534769573</v>
      </c>
      <c r="Q905" s="34">
        <f t="shared" si="126"/>
        <v>0.63481781749684574</v>
      </c>
      <c r="R905" s="46">
        <f t="shared" si="127"/>
        <v>59.272586812345693</v>
      </c>
    </row>
    <row r="906" spans="2:18" ht="12.75" customHeight="1" x14ac:dyDescent="0.25">
      <c r="B906" s="17" t="s">
        <v>0</v>
      </c>
      <c r="C906" s="44" t="s">
        <v>149</v>
      </c>
      <c r="D906" s="22" t="s">
        <v>9</v>
      </c>
      <c r="E906" s="20">
        <v>2</v>
      </c>
      <c r="F906" s="17" t="s">
        <v>120</v>
      </c>
      <c r="G906" s="17" t="s">
        <v>216</v>
      </c>
      <c r="H906" s="17" t="s">
        <v>217</v>
      </c>
      <c r="I906" s="17" t="s">
        <v>218</v>
      </c>
      <c r="J906" s="27" t="s">
        <v>150</v>
      </c>
      <c r="K906" s="29">
        <v>1806</v>
      </c>
      <c r="L906" s="31">
        <v>511720.03999985004</v>
      </c>
      <c r="M906" s="31">
        <v>204954.58999658999</v>
      </c>
      <c r="N906" s="31">
        <v>144815.70999971102</v>
      </c>
      <c r="O906" s="34">
        <f t="shared" si="124"/>
        <v>0.40052093718403142</v>
      </c>
      <c r="P906" s="34">
        <f t="shared" si="125"/>
        <v>0.70657461246474373</v>
      </c>
      <c r="Q906" s="34">
        <f t="shared" si="126"/>
        <v>0.59947906281596852</v>
      </c>
      <c r="R906" s="46">
        <f t="shared" si="127"/>
        <v>80.185885935609647</v>
      </c>
    </row>
    <row r="907" spans="2:18" ht="12.75" customHeight="1" x14ac:dyDescent="0.25">
      <c r="B907" s="17" t="s">
        <v>0</v>
      </c>
      <c r="C907" s="44" t="s">
        <v>60</v>
      </c>
      <c r="D907" s="22" t="s">
        <v>9</v>
      </c>
      <c r="E907" s="20">
        <v>2</v>
      </c>
      <c r="F907" s="17" t="s">
        <v>120</v>
      </c>
      <c r="G907" s="17" t="s">
        <v>216</v>
      </c>
      <c r="H907" s="17" t="s">
        <v>217</v>
      </c>
      <c r="I907" s="17" t="s">
        <v>218</v>
      </c>
      <c r="J907" s="27" t="s">
        <v>61</v>
      </c>
      <c r="K907" s="29">
        <v>2031</v>
      </c>
      <c r="L907" s="31">
        <v>466145.50999899005</v>
      </c>
      <c r="M907" s="31">
        <v>197269.12000095902</v>
      </c>
      <c r="N907" s="31">
        <v>142038.48999932999</v>
      </c>
      <c r="O907" s="34">
        <f t="shared" si="124"/>
        <v>0.42319214873781885</v>
      </c>
      <c r="P907" s="34">
        <f t="shared" si="125"/>
        <v>0.72002394494708277</v>
      </c>
      <c r="Q907" s="34">
        <f t="shared" si="126"/>
        <v>0.57680785126218115</v>
      </c>
      <c r="R907" s="46">
        <f t="shared" si="127"/>
        <v>69.93524864565731</v>
      </c>
    </row>
    <row r="908" spans="2:18" ht="12.75" customHeight="1" x14ac:dyDescent="0.25">
      <c r="B908" s="17" t="s">
        <v>0</v>
      </c>
      <c r="C908" s="44" t="s">
        <v>1</v>
      </c>
      <c r="D908" s="22" t="s">
        <v>9</v>
      </c>
      <c r="E908" s="20">
        <v>2</v>
      </c>
      <c r="F908" s="17" t="s">
        <v>120</v>
      </c>
      <c r="G908" s="17" t="s">
        <v>216</v>
      </c>
      <c r="H908" s="17" t="s">
        <v>217</v>
      </c>
      <c r="I908" s="17" t="s">
        <v>218</v>
      </c>
      <c r="J908" s="27" t="s">
        <v>6</v>
      </c>
      <c r="K908" s="29">
        <v>1657</v>
      </c>
      <c r="L908" s="31">
        <v>447024.66999891994</v>
      </c>
      <c r="M908" s="31">
        <v>175228.48999959699</v>
      </c>
      <c r="N908" s="31">
        <v>134612.30999983699</v>
      </c>
      <c r="O908" s="34">
        <f t="shared" si="124"/>
        <v>0.39198841084099534</v>
      </c>
      <c r="P908" s="34">
        <f t="shared" si="125"/>
        <v>0.76821018089094173</v>
      </c>
      <c r="Q908" s="34">
        <f t="shared" si="126"/>
        <v>0.60801158915900466</v>
      </c>
      <c r="R908" s="46">
        <f t="shared" si="127"/>
        <v>81.238569704186474</v>
      </c>
    </row>
    <row r="909" spans="2:18" ht="12.75" customHeight="1" x14ac:dyDescent="0.25">
      <c r="B909" s="17" t="s">
        <v>0</v>
      </c>
      <c r="C909" s="44" t="s">
        <v>184</v>
      </c>
      <c r="D909" s="22" t="s">
        <v>9</v>
      </c>
      <c r="E909" s="20">
        <v>2</v>
      </c>
      <c r="F909" s="17" t="s">
        <v>120</v>
      </c>
      <c r="G909" s="17" t="s">
        <v>216</v>
      </c>
      <c r="H909" s="17" t="s">
        <v>217</v>
      </c>
      <c r="I909" s="17" t="s">
        <v>218</v>
      </c>
      <c r="J909" s="27" t="s">
        <v>185</v>
      </c>
      <c r="K909" s="29">
        <v>2383</v>
      </c>
      <c r="L909" s="31">
        <v>504285.699999784</v>
      </c>
      <c r="M909" s="31">
        <v>171922.96999948603</v>
      </c>
      <c r="N909" s="31">
        <v>129358.21000000798</v>
      </c>
      <c r="O909" s="34">
        <f t="shared" si="124"/>
        <v>0.34092374620093263</v>
      </c>
      <c r="P909" s="34">
        <f t="shared" si="125"/>
        <v>0.75241958651828023</v>
      </c>
      <c r="Q909" s="34">
        <f t="shared" si="126"/>
        <v>0.65907625379906731</v>
      </c>
      <c r="R909" s="46">
        <f t="shared" si="127"/>
        <v>54.283764162823324</v>
      </c>
    </row>
    <row r="910" spans="2:18" ht="12.75" customHeight="1" x14ac:dyDescent="0.25">
      <c r="B910" s="17" t="s">
        <v>0</v>
      </c>
      <c r="C910" s="44" t="s">
        <v>196</v>
      </c>
      <c r="D910" s="22" t="s">
        <v>9</v>
      </c>
      <c r="E910" s="20">
        <v>2</v>
      </c>
      <c r="F910" s="17" t="s">
        <v>120</v>
      </c>
      <c r="G910" s="17" t="s">
        <v>216</v>
      </c>
      <c r="H910" s="17" t="s">
        <v>217</v>
      </c>
      <c r="I910" s="17" t="s">
        <v>218</v>
      </c>
      <c r="J910" s="27" t="s">
        <v>197</v>
      </c>
      <c r="K910" s="29">
        <v>1665</v>
      </c>
      <c r="L910" s="31">
        <v>426646.63999875693</v>
      </c>
      <c r="M910" s="31">
        <v>176896.78999941502</v>
      </c>
      <c r="N910" s="31">
        <v>127246.54999884999</v>
      </c>
      <c r="O910" s="34">
        <f t="shared" si="124"/>
        <v>0.41462131285020881</v>
      </c>
      <c r="P910" s="34">
        <f t="shared" si="125"/>
        <v>0.71932650671202558</v>
      </c>
      <c r="Q910" s="34">
        <f t="shared" si="126"/>
        <v>0.58537868714979124</v>
      </c>
      <c r="R910" s="46">
        <f t="shared" si="127"/>
        <v>76.424354353663659</v>
      </c>
    </row>
    <row r="911" spans="2:18" ht="12.75" customHeight="1" x14ac:dyDescent="0.25">
      <c r="B911" s="17" t="s">
        <v>0</v>
      </c>
      <c r="C911" s="44" t="s">
        <v>180</v>
      </c>
      <c r="D911" s="22" t="s">
        <v>9</v>
      </c>
      <c r="E911" s="20">
        <v>2</v>
      </c>
      <c r="F911" s="17" t="s">
        <v>120</v>
      </c>
      <c r="G911" s="17" t="s">
        <v>216</v>
      </c>
      <c r="H911" s="17" t="s">
        <v>217</v>
      </c>
      <c r="I911" s="17" t="s">
        <v>218</v>
      </c>
      <c r="J911" s="27" t="s">
        <v>181</v>
      </c>
      <c r="K911" s="29">
        <v>1605</v>
      </c>
      <c r="L911" s="31">
        <v>366098.99999977998</v>
      </c>
      <c r="M911" s="31">
        <v>185416.05000096001</v>
      </c>
      <c r="N911" s="31">
        <v>123815.35999983239</v>
      </c>
      <c r="O911" s="34">
        <f t="shared" si="124"/>
        <v>0.50646423508687932</v>
      </c>
      <c r="P911" s="34">
        <f t="shared" si="125"/>
        <v>0.66777045460299322</v>
      </c>
      <c r="Q911" s="34">
        <f t="shared" si="126"/>
        <v>0.49353576491312068</v>
      </c>
      <c r="R911" s="46">
        <f t="shared" si="127"/>
        <v>77.143526479646354</v>
      </c>
    </row>
    <row r="912" spans="2:18" ht="12.75" customHeight="1" x14ac:dyDescent="0.25">
      <c r="B912" s="17" t="s">
        <v>0</v>
      </c>
      <c r="C912" s="44" t="s">
        <v>40</v>
      </c>
      <c r="D912" s="22" t="s">
        <v>2</v>
      </c>
      <c r="E912" s="20">
        <v>1</v>
      </c>
      <c r="F912" s="17" t="s">
        <v>120</v>
      </c>
      <c r="G912" s="17" t="s">
        <v>216</v>
      </c>
      <c r="H912" s="17" t="s">
        <v>217</v>
      </c>
      <c r="I912" s="17" t="s">
        <v>218</v>
      </c>
      <c r="J912" s="27" t="s">
        <v>41</v>
      </c>
      <c r="K912" s="29">
        <v>1917</v>
      </c>
      <c r="L912" s="31">
        <v>409764.67000023002</v>
      </c>
      <c r="M912" s="31">
        <v>151040.72000027401</v>
      </c>
      <c r="N912" s="31">
        <v>115654.640000342</v>
      </c>
      <c r="O912" s="34">
        <f t="shared" si="124"/>
        <v>0.36860356945900002</v>
      </c>
      <c r="P912" s="34">
        <f t="shared" si="125"/>
        <v>0.76571827782688129</v>
      </c>
      <c r="Q912" s="34">
        <f t="shared" si="126"/>
        <v>0.63139643054100003</v>
      </c>
      <c r="R912" s="46">
        <f t="shared" si="127"/>
        <v>60.331058946448614</v>
      </c>
    </row>
    <row r="913" spans="2:18" ht="12.75" customHeight="1" x14ac:dyDescent="0.25">
      <c r="B913" s="17" t="s">
        <v>0</v>
      </c>
      <c r="C913" s="44" t="s">
        <v>153</v>
      </c>
      <c r="D913" s="22" t="s">
        <v>2</v>
      </c>
      <c r="E913" s="20">
        <v>1</v>
      </c>
      <c r="F913" s="17" t="s">
        <v>120</v>
      </c>
      <c r="G913" s="17" t="s">
        <v>216</v>
      </c>
      <c r="H913" s="17" t="s">
        <v>217</v>
      </c>
      <c r="I913" s="17" t="s">
        <v>218</v>
      </c>
      <c r="J913" s="27" t="s">
        <v>154</v>
      </c>
      <c r="K913" s="29">
        <v>1218</v>
      </c>
      <c r="L913" s="31">
        <v>473340.13999986014</v>
      </c>
      <c r="M913" s="31">
        <v>153537.16999958703</v>
      </c>
      <c r="N913" s="31">
        <v>115255.69999902698</v>
      </c>
      <c r="O913" s="34">
        <f t="shared" si="124"/>
        <v>0.32436963828935444</v>
      </c>
      <c r="P913" s="34">
        <f t="shared" si="125"/>
        <v>0.75066969125024896</v>
      </c>
      <c r="Q913" s="34">
        <f t="shared" si="126"/>
        <v>0.67563036171064561</v>
      </c>
      <c r="R913" s="46">
        <f t="shared" si="127"/>
        <v>94.627011493454006</v>
      </c>
    </row>
    <row r="914" spans="2:18" ht="12.75" customHeight="1" x14ac:dyDescent="0.25">
      <c r="B914" s="17" t="s">
        <v>0</v>
      </c>
      <c r="C914" s="44" t="s">
        <v>76</v>
      </c>
      <c r="D914" s="22" t="s">
        <v>9</v>
      </c>
      <c r="E914" s="20">
        <v>2</v>
      </c>
      <c r="F914" s="17" t="s">
        <v>120</v>
      </c>
      <c r="G914" s="17" t="s">
        <v>216</v>
      </c>
      <c r="H914" s="17" t="s">
        <v>217</v>
      </c>
      <c r="I914" s="17" t="s">
        <v>218</v>
      </c>
      <c r="J914" s="27" t="s">
        <v>77</v>
      </c>
      <c r="K914" s="29">
        <v>1350</v>
      </c>
      <c r="L914" s="31">
        <v>331916.01000017999</v>
      </c>
      <c r="M914" s="31">
        <v>154537.839999374</v>
      </c>
      <c r="N914" s="31">
        <v>109920.85999954</v>
      </c>
      <c r="O914" s="34">
        <f t="shared" si="124"/>
        <v>0.46559320835198698</v>
      </c>
      <c r="P914" s="34">
        <f t="shared" si="125"/>
        <v>0.71128766909117702</v>
      </c>
      <c r="Q914" s="34">
        <f t="shared" si="126"/>
        <v>0.53440679164801308</v>
      </c>
      <c r="R914" s="46">
        <f t="shared" si="127"/>
        <v>81.422859258918521</v>
      </c>
    </row>
    <row r="915" spans="2:18" ht="12.75" customHeight="1" x14ac:dyDescent="0.25">
      <c r="B915" s="17" t="s">
        <v>0</v>
      </c>
      <c r="C915" s="44" t="s">
        <v>40</v>
      </c>
      <c r="D915" s="22" t="s">
        <v>9</v>
      </c>
      <c r="E915" s="20">
        <v>2</v>
      </c>
      <c r="F915" s="17" t="s">
        <v>120</v>
      </c>
      <c r="G915" s="17" t="s">
        <v>216</v>
      </c>
      <c r="H915" s="17" t="s">
        <v>217</v>
      </c>
      <c r="I915" s="17" t="s">
        <v>218</v>
      </c>
      <c r="J915" s="27" t="s">
        <v>41</v>
      </c>
      <c r="K915" s="29">
        <v>1122</v>
      </c>
      <c r="L915" s="31">
        <v>390562.34000115196</v>
      </c>
      <c r="M915" s="31">
        <v>143177.33000062199</v>
      </c>
      <c r="N915" s="31">
        <v>106543.12000087499</v>
      </c>
      <c r="O915" s="34">
        <f t="shared" si="124"/>
        <v>0.36659276980007777</v>
      </c>
      <c r="P915" s="34">
        <f t="shared" si="125"/>
        <v>0.74413400501610238</v>
      </c>
      <c r="Q915" s="34">
        <f t="shared" si="126"/>
        <v>0.63340723019992229</v>
      </c>
      <c r="R915" s="46">
        <f t="shared" si="127"/>
        <v>94.958217469585549</v>
      </c>
    </row>
    <row r="916" spans="2:18" ht="12.75" customHeight="1" x14ac:dyDescent="0.25">
      <c r="B916" s="17" t="s">
        <v>0</v>
      </c>
      <c r="C916" s="44" t="s">
        <v>105</v>
      </c>
      <c r="D916" s="22" t="s">
        <v>2</v>
      </c>
      <c r="E916" s="20">
        <v>1</v>
      </c>
      <c r="F916" s="17" t="s">
        <v>120</v>
      </c>
      <c r="G916" s="17" t="s">
        <v>216</v>
      </c>
      <c r="H916" s="17" t="s">
        <v>217</v>
      </c>
      <c r="I916" s="17" t="s">
        <v>218</v>
      </c>
      <c r="J916" s="27" t="s">
        <v>106</v>
      </c>
      <c r="K916" s="29">
        <v>1629</v>
      </c>
      <c r="L916" s="31">
        <v>404361.00000042003</v>
      </c>
      <c r="M916" s="31">
        <v>141051.37999992099</v>
      </c>
      <c r="N916" s="31">
        <v>100103.74999979699</v>
      </c>
      <c r="O916" s="34">
        <f t="shared" si="124"/>
        <v>0.34882538128003066</v>
      </c>
      <c r="P916" s="34">
        <f t="shared" si="125"/>
        <v>0.70969706216169637</v>
      </c>
      <c r="Q916" s="34">
        <f t="shared" si="126"/>
        <v>0.6511746187199694</v>
      </c>
      <c r="R916" s="46">
        <f t="shared" si="127"/>
        <v>61.451043584896858</v>
      </c>
    </row>
    <row r="917" spans="2:18" ht="12.75" customHeight="1" x14ac:dyDescent="0.25">
      <c r="B917" s="17" t="s">
        <v>0</v>
      </c>
      <c r="C917" s="44" t="s">
        <v>139</v>
      </c>
      <c r="D917" s="22" t="s">
        <v>9</v>
      </c>
      <c r="E917" s="20">
        <v>2</v>
      </c>
      <c r="F917" s="17" t="s">
        <v>120</v>
      </c>
      <c r="G917" s="17" t="s">
        <v>216</v>
      </c>
      <c r="H917" s="17" t="s">
        <v>217</v>
      </c>
      <c r="I917" s="17" t="s">
        <v>218</v>
      </c>
      <c r="J917" s="27" t="s">
        <v>140</v>
      </c>
      <c r="K917" s="29">
        <v>979</v>
      </c>
      <c r="L917" s="31">
        <v>293148.51999945001</v>
      </c>
      <c r="M917" s="31">
        <v>128681.27999964</v>
      </c>
      <c r="N917" s="31">
        <v>97391.700000451005</v>
      </c>
      <c r="O917" s="34">
        <f t="shared" si="124"/>
        <v>0.43896274830206006</v>
      </c>
      <c r="P917" s="34">
        <f t="shared" si="125"/>
        <v>0.7568443521911149</v>
      </c>
      <c r="Q917" s="34">
        <f t="shared" si="126"/>
        <v>0.56103725169793994</v>
      </c>
      <c r="R917" s="46">
        <f t="shared" si="127"/>
        <v>99.480796731819211</v>
      </c>
    </row>
    <row r="918" spans="2:18" ht="12.75" customHeight="1" x14ac:dyDescent="0.25">
      <c r="B918" s="17" t="s">
        <v>0</v>
      </c>
      <c r="C918" s="44" t="s">
        <v>186</v>
      </c>
      <c r="D918" s="22" t="s">
        <v>9</v>
      </c>
      <c r="E918" s="20">
        <v>2</v>
      </c>
      <c r="F918" s="17" t="s">
        <v>120</v>
      </c>
      <c r="G918" s="17" t="s">
        <v>216</v>
      </c>
      <c r="H918" s="17" t="s">
        <v>217</v>
      </c>
      <c r="I918" s="17" t="s">
        <v>218</v>
      </c>
      <c r="J918" s="27" t="s">
        <v>187</v>
      </c>
      <c r="K918" s="29">
        <v>767</v>
      </c>
      <c r="L918" s="31">
        <v>234617.00000155001</v>
      </c>
      <c r="M918" s="31">
        <v>131650.400003141</v>
      </c>
      <c r="N918" s="31">
        <v>96368.860000022993</v>
      </c>
      <c r="O918" s="34">
        <f t="shared" si="124"/>
        <v>0.56112898895762553</v>
      </c>
      <c r="P918" s="34">
        <f t="shared" si="125"/>
        <v>0.73200582753811427</v>
      </c>
      <c r="Q918" s="34">
        <f t="shared" si="126"/>
        <v>0.43887101104237447</v>
      </c>
      <c r="R918" s="46">
        <f t="shared" si="127"/>
        <v>125.64388526730508</v>
      </c>
    </row>
    <row r="919" spans="2:18" ht="12.75" customHeight="1" x14ac:dyDescent="0.25">
      <c r="B919" s="17" t="s">
        <v>0</v>
      </c>
      <c r="C919" s="44" t="s">
        <v>139</v>
      </c>
      <c r="D919" s="22" t="s">
        <v>2</v>
      </c>
      <c r="E919" s="20">
        <v>1</v>
      </c>
      <c r="F919" s="17" t="s">
        <v>120</v>
      </c>
      <c r="G919" s="17" t="s">
        <v>216</v>
      </c>
      <c r="H919" s="17" t="s">
        <v>217</v>
      </c>
      <c r="I919" s="17" t="s">
        <v>218</v>
      </c>
      <c r="J919" s="27" t="s">
        <v>140</v>
      </c>
      <c r="K919" s="29">
        <v>924</v>
      </c>
      <c r="L919" s="31">
        <v>295640.37999991997</v>
      </c>
      <c r="M919" s="31">
        <v>122854.83999822199</v>
      </c>
      <c r="N919" s="31">
        <v>87567.819999083993</v>
      </c>
      <c r="O919" s="34">
        <f t="shared" si="124"/>
        <v>0.4155550063839562</v>
      </c>
      <c r="P919" s="34">
        <f t="shared" si="125"/>
        <v>0.71277468596557791</v>
      </c>
      <c r="Q919" s="34">
        <f t="shared" si="126"/>
        <v>0.58444499361604385</v>
      </c>
      <c r="R919" s="46">
        <f t="shared" si="127"/>
        <v>94.770367964376618</v>
      </c>
    </row>
    <row r="920" spans="2:18" ht="12.75" customHeight="1" x14ac:dyDescent="0.25">
      <c r="B920" s="17" t="s">
        <v>0</v>
      </c>
      <c r="C920" s="44" t="s">
        <v>178</v>
      </c>
      <c r="D920" s="22" t="s">
        <v>9</v>
      </c>
      <c r="E920" s="20">
        <v>2</v>
      </c>
      <c r="F920" s="17" t="s">
        <v>120</v>
      </c>
      <c r="G920" s="17" t="s">
        <v>216</v>
      </c>
      <c r="H920" s="17" t="s">
        <v>217</v>
      </c>
      <c r="I920" s="17" t="s">
        <v>218</v>
      </c>
      <c r="J920" s="27" t="s">
        <v>179</v>
      </c>
      <c r="K920" s="29">
        <v>865</v>
      </c>
      <c r="L920" s="31">
        <v>339962.66999935999</v>
      </c>
      <c r="M920" s="31">
        <v>112054.48999978199</v>
      </c>
      <c r="N920" s="31">
        <v>78474.56999855199</v>
      </c>
      <c r="O920" s="34">
        <f t="shared" si="124"/>
        <v>0.32960821845525845</v>
      </c>
      <c r="P920" s="34">
        <f t="shared" si="125"/>
        <v>0.70032508290122664</v>
      </c>
      <c r="Q920" s="34">
        <f t="shared" si="126"/>
        <v>0.67039178154474155</v>
      </c>
      <c r="R920" s="46">
        <f t="shared" si="127"/>
        <v>90.722046241100571</v>
      </c>
    </row>
    <row r="921" spans="2:18" ht="12.75" customHeight="1" x14ac:dyDescent="0.25">
      <c r="B921" s="17" t="s">
        <v>0</v>
      </c>
      <c r="C921" s="44" t="s">
        <v>147</v>
      </c>
      <c r="D921" s="22" t="s">
        <v>9</v>
      </c>
      <c r="E921" s="20">
        <v>2</v>
      </c>
      <c r="F921" s="17" t="s">
        <v>120</v>
      </c>
      <c r="G921" s="17" t="s">
        <v>216</v>
      </c>
      <c r="H921" s="17" t="s">
        <v>217</v>
      </c>
      <c r="I921" s="17" t="s">
        <v>218</v>
      </c>
      <c r="J921" s="27" t="s">
        <v>148</v>
      </c>
      <c r="K921" s="29">
        <v>797</v>
      </c>
      <c r="L921" s="31">
        <v>211383.000000195</v>
      </c>
      <c r="M921" s="31">
        <v>93757.839999732998</v>
      </c>
      <c r="N921" s="31">
        <v>68769.639999904</v>
      </c>
      <c r="O921" s="34">
        <f t="shared" si="124"/>
        <v>0.44354484513724618</v>
      </c>
      <c r="P921" s="34">
        <f t="shared" si="125"/>
        <v>0.7334814880558238</v>
      </c>
      <c r="Q921" s="34">
        <f t="shared" si="126"/>
        <v>0.55645515486275388</v>
      </c>
      <c r="R921" s="46">
        <f t="shared" si="127"/>
        <v>86.285621078925971</v>
      </c>
    </row>
    <row r="922" spans="2:18" ht="12.75" customHeight="1" x14ac:dyDescent="0.25">
      <c r="B922" s="17" t="s">
        <v>0</v>
      </c>
      <c r="C922" s="44" t="s">
        <v>64</v>
      </c>
      <c r="D922" s="22" t="s">
        <v>2</v>
      </c>
      <c r="E922" s="20">
        <v>1</v>
      </c>
      <c r="F922" s="17" t="s">
        <v>120</v>
      </c>
      <c r="G922" s="17" t="s">
        <v>216</v>
      </c>
      <c r="H922" s="17" t="s">
        <v>217</v>
      </c>
      <c r="I922" s="17" t="s">
        <v>218</v>
      </c>
      <c r="J922" s="27" t="s">
        <v>65</v>
      </c>
      <c r="K922" s="29">
        <v>581</v>
      </c>
      <c r="L922" s="31">
        <v>259619.26999755</v>
      </c>
      <c r="M922" s="31">
        <v>77863.919999852995</v>
      </c>
      <c r="N922" s="31">
        <v>60260.130000377998</v>
      </c>
      <c r="O922" s="34">
        <f t="shared" si="124"/>
        <v>0.29991579592912265</v>
      </c>
      <c r="P922" s="34">
        <f t="shared" si="125"/>
        <v>0.77391595491842391</v>
      </c>
      <c r="Q922" s="34">
        <f t="shared" si="126"/>
        <v>0.70008420407087735</v>
      </c>
      <c r="R922" s="46">
        <f t="shared" si="127"/>
        <v>103.71795180787952</v>
      </c>
    </row>
    <row r="923" spans="2:18" ht="12.75" customHeight="1" x14ac:dyDescent="0.25">
      <c r="B923" s="17" t="s">
        <v>0</v>
      </c>
      <c r="C923" s="44" t="s">
        <v>135</v>
      </c>
      <c r="D923" s="22" t="s">
        <v>2</v>
      </c>
      <c r="E923" s="20">
        <v>1</v>
      </c>
      <c r="F923" s="17" t="s">
        <v>120</v>
      </c>
      <c r="G923" s="17" t="s">
        <v>216</v>
      </c>
      <c r="H923" s="17" t="s">
        <v>217</v>
      </c>
      <c r="I923" s="17" t="s">
        <v>218</v>
      </c>
      <c r="J923" s="27" t="s">
        <v>136</v>
      </c>
      <c r="K923" s="29">
        <v>790</v>
      </c>
      <c r="L923" s="31">
        <v>235638.99999963</v>
      </c>
      <c r="M923" s="31">
        <v>73003.13000087002</v>
      </c>
      <c r="N923" s="31">
        <v>53598.559999924</v>
      </c>
      <c r="O923" s="34">
        <f t="shared" si="124"/>
        <v>0.30980919966976878</v>
      </c>
      <c r="P923" s="34">
        <f t="shared" si="125"/>
        <v>0.73419536942162944</v>
      </c>
      <c r="Q923" s="34">
        <f t="shared" si="126"/>
        <v>0.69019080033023128</v>
      </c>
      <c r="R923" s="46">
        <f t="shared" si="127"/>
        <v>67.846278480916453</v>
      </c>
    </row>
    <row r="924" spans="2:18" ht="12.75" customHeight="1" x14ac:dyDescent="0.25">
      <c r="B924" s="17" t="s">
        <v>0</v>
      </c>
      <c r="C924" s="44" t="s">
        <v>92</v>
      </c>
      <c r="D924" s="22" t="s">
        <v>2</v>
      </c>
      <c r="E924" s="20">
        <v>1</v>
      </c>
      <c r="F924" s="17" t="s">
        <v>120</v>
      </c>
      <c r="G924" s="17" t="s">
        <v>216</v>
      </c>
      <c r="H924" s="17" t="s">
        <v>217</v>
      </c>
      <c r="I924" s="17" t="s">
        <v>218</v>
      </c>
      <c r="J924" s="27" t="s">
        <v>93</v>
      </c>
      <c r="K924" s="29">
        <v>672</v>
      </c>
      <c r="L924" s="31">
        <v>171052.99999972002</v>
      </c>
      <c r="M924" s="31">
        <v>69515.400000078982</v>
      </c>
      <c r="N924" s="31">
        <v>51119.410000215998</v>
      </c>
      <c r="O924" s="34">
        <f t="shared" si="124"/>
        <v>0.40639684776176255</v>
      </c>
      <c r="P924" s="34">
        <f t="shared" si="125"/>
        <v>0.7353681342574151</v>
      </c>
      <c r="Q924" s="34">
        <f t="shared" si="126"/>
        <v>0.59360315223823745</v>
      </c>
      <c r="R924" s="46">
        <f t="shared" si="127"/>
        <v>76.070550595559524</v>
      </c>
    </row>
    <row r="925" spans="2:18" ht="12.75" customHeight="1" x14ac:dyDescent="0.25">
      <c r="B925" s="17" t="s">
        <v>0</v>
      </c>
      <c r="C925" s="44" t="s">
        <v>18</v>
      </c>
      <c r="D925" s="22" t="s">
        <v>2</v>
      </c>
      <c r="E925" s="20">
        <v>1</v>
      </c>
      <c r="F925" s="17" t="s">
        <v>120</v>
      </c>
      <c r="G925" s="17" t="s">
        <v>216</v>
      </c>
      <c r="H925" s="17" t="s">
        <v>217</v>
      </c>
      <c r="I925" s="17" t="s">
        <v>218</v>
      </c>
      <c r="J925" s="27" t="s">
        <v>19</v>
      </c>
      <c r="K925" s="29">
        <v>882</v>
      </c>
      <c r="L925" s="31">
        <v>284938.999999288</v>
      </c>
      <c r="M925" s="31">
        <v>65824.190000330011</v>
      </c>
      <c r="N925" s="31">
        <v>46969.600000124003</v>
      </c>
      <c r="O925" s="34">
        <f t="shared" si="124"/>
        <v>0.23101151474699669</v>
      </c>
      <c r="P925" s="34">
        <f t="shared" si="125"/>
        <v>0.71356138221964482</v>
      </c>
      <c r="Q925" s="34">
        <f t="shared" si="126"/>
        <v>0.76898848525300334</v>
      </c>
      <c r="R925" s="46">
        <f t="shared" si="127"/>
        <v>53.253514739369621</v>
      </c>
    </row>
    <row r="926" spans="2:18" ht="12.75" customHeight="1" x14ac:dyDescent="0.25">
      <c r="B926" s="17" t="s">
        <v>0</v>
      </c>
      <c r="C926" s="44" t="s">
        <v>221</v>
      </c>
      <c r="D926" s="22" t="s">
        <v>9</v>
      </c>
      <c r="E926" s="20">
        <v>2</v>
      </c>
      <c r="F926" s="17" t="s">
        <v>120</v>
      </c>
      <c r="G926" s="17" t="s">
        <v>216</v>
      </c>
      <c r="H926" s="17" t="s">
        <v>217</v>
      </c>
      <c r="I926" s="17" t="s">
        <v>218</v>
      </c>
      <c r="J926" s="27" t="s">
        <v>222</v>
      </c>
      <c r="K926" s="29">
        <v>772</v>
      </c>
      <c r="L926" s="31">
        <v>132777</v>
      </c>
      <c r="M926" s="31">
        <v>58800.220000139001</v>
      </c>
      <c r="N926" s="31">
        <v>45660.630000213001</v>
      </c>
      <c r="O926" s="34">
        <f t="shared" si="124"/>
        <v>0.44284943928646531</v>
      </c>
      <c r="P926" s="34">
        <f t="shared" si="125"/>
        <v>0.7765384211165377</v>
      </c>
      <c r="Q926" s="34">
        <f t="shared" si="126"/>
        <v>0.55715056071353475</v>
      </c>
      <c r="R926" s="46">
        <f t="shared" si="127"/>
        <v>59.145893782659329</v>
      </c>
    </row>
    <row r="927" spans="2:18" ht="12.75" customHeight="1" x14ac:dyDescent="0.25">
      <c r="B927" s="17" t="s">
        <v>0</v>
      </c>
      <c r="C927" s="44" t="s">
        <v>180</v>
      </c>
      <c r="D927" s="22" t="s">
        <v>2</v>
      </c>
      <c r="E927" s="20">
        <v>1</v>
      </c>
      <c r="F927" s="17" t="s">
        <v>120</v>
      </c>
      <c r="G927" s="17" t="s">
        <v>216</v>
      </c>
      <c r="H927" s="17" t="s">
        <v>217</v>
      </c>
      <c r="I927" s="17" t="s">
        <v>218</v>
      </c>
      <c r="J927" s="27" t="s">
        <v>181</v>
      </c>
      <c r="K927" s="29">
        <v>533</v>
      </c>
      <c r="L927" s="31">
        <v>121578.00000153002</v>
      </c>
      <c r="M927" s="31">
        <v>52383.829999959002</v>
      </c>
      <c r="N927" s="31">
        <v>39151.439999864007</v>
      </c>
      <c r="O927" s="34">
        <f t="shared" si="124"/>
        <v>0.43086602838753529</v>
      </c>
      <c r="P927" s="34">
        <f t="shared" si="125"/>
        <v>0.74739552262395947</v>
      </c>
      <c r="Q927" s="34">
        <f t="shared" si="126"/>
        <v>0.56913397161246471</v>
      </c>
      <c r="R927" s="46">
        <f t="shared" si="127"/>
        <v>73.454859286799262</v>
      </c>
    </row>
    <row r="928" spans="2:18" ht="12.75" customHeight="1" x14ac:dyDescent="0.25">
      <c r="B928" s="17" t="s">
        <v>0</v>
      </c>
      <c r="C928" s="44" t="s">
        <v>1</v>
      </c>
      <c r="D928" s="22" t="s">
        <v>2</v>
      </c>
      <c r="E928" s="20">
        <v>1</v>
      </c>
      <c r="F928" s="17" t="s">
        <v>120</v>
      </c>
      <c r="G928" s="17" t="s">
        <v>216</v>
      </c>
      <c r="H928" s="17" t="s">
        <v>217</v>
      </c>
      <c r="I928" s="17" t="s">
        <v>218</v>
      </c>
      <c r="J928" s="27" t="s">
        <v>6</v>
      </c>
      <c r="K928" s="29">
        <v>611</v>
      </c>
      <c r="L928" s="31">
        <v>220069.51000024</v>
      </c>
      <c r="M928" s="31">
        <v>50583.229999872994</v>
      </c>
      <c r="N928" s="31">
        <v>37931.610000010005</v>
      </c>
      <c r="O928" s="34">
        <f t="shared" ref="O928:O945" si="128">IFERROR(M928/L928,0)</f>
        <v>0.22985115021075764</v>
      </c>
      <c r="P928" s="34">
        <f t="shared" ref="P928:P945" si="129">IFERROR(N928/M928,0)</f>
        <v>0.74988509037689455</v>
      </c>
      <c r="Q928" s="34">
        <f t="shared" ref="Q928:Q945" si="130">IFERROR(1-(M928/L928),0)</f>
        <v>0.77014884978924236</v>
      </c>
      <c r="R928" s="46">
        <f t="shared" ref="R928:R945" si="131">IFERROR(N928/K928,0)</f>
        <v>62.081194762700498</v>
      </c>
    </row>
    <row r="929" spans="2:18" ht="12.75" customHeight="1" x14ac:dyDescent="0.25">
      <c r="B929" s="17" t="s">
        <v>0</v>
      </c>
      <c r="C929" s="44" t="s">
        <v>223</v>
      </c>
      <c r="D929" s="22" t="s">
        <v>9</v>
      </c>
      <c r="E929" s="20">
        <v>2</v>
      </c>
      <c r="F929" s="17" t="s">
        <v>120</v>
      </c>
      <c r="G929" s="17" t="s">
        <v>216</v>
      </c>
      <c r="H929" s="17" t="s">
        <v>217</v>
      </c>
      <c r="I929" s="17" t="s">
        <v>218</v>
      </c>
      <c r="J929" s="27" t="s">
        <v>224</v>
      </c>
      <c r="K929" s="29">
        <v>522</v>
      </c>
      <c r="L929" s="31">
        <v>92775.179999996995</v>
      </c>
      <c r="M929" s="31">
        <v>43816.460000137005</v>
      </c>
      <c r="N929" s="31">
        <v>30916.680000018998</v>
      </c>
      <c r="O929" s="34">
        <f t="shared" si="128"/>
        <v>0.47228644557885446</v>
      </c>
      <c r="P929" s="34">
        <f t="shared" si="129"/>
        <v>0.70559511197212932</v>
      </c>
      <c r="Q929" s="34">
        <f t="shared" si="130"/>
        <v>0.52771355442114554</v>
      </c>
      <c r="R929" s="46">
        <f t="shared" si="131"/>
        <v>59.227356321875476</v>
      </c>
    </row>
    <row r="930" spans="2:18" ht="12.75" customHeight="1" x14ac:dyDescent="0.25">
      <c r="B930" s="17" t="s">
        <v>0</v>
      </c>
      <c r="C930" s="44" t="s">
        <v>182</v>
      </c>
      <c r="D930" s="22" t="s">
        <v>2</v>
      </c>
      <c r="E930" s="20">
        <v>1</v>
      </c>
      <c r="F930" s="17" t="s">
        <v>120</v>
      </c>
      <c r="G930" s="17" t="s">
        <v>216</v>
      </c>
      <c r="H930" s="17" t="s">
        <v>217</v>
      </c>
      <c r="I930" s="17" t="s">
        <v>218</v>
      </c>
      <c r="J930" s="27" t="s">
        <v>183</v>
      </c>
      <c r="K930" s="29">
        <v>339</v>
      </c>
      <c r="L930" s="31">
        <v>122616</v>
      </c>
      <c r="M930" s="31">
        <v>40134.379999846009</v>
      </c>
      <c r="N930" s="31">
        <v>29885.619999885999</v>
      </c>
      <c r="O930" s="34">
        <f t="shared" si="128"/>
        <v>0.32731764206829461</v>
      </c>
      <c r="P930" s="34">
        <f t="shared" si="129"/>
        <v>0.74463888566362968</v>
      </c>
      <c r="Q930" s="34">
        <f t="shared" si="130"/>
        <v>0.67268235793170539</v>
      </c>
      <c r="R930" s="46">
        <f t="shared" si="131"/>
        <v>88.158171091109139</v>
      </c>
    </row>
    <row r="931" spans="2:18" ht="12.75" customHeight="1" x14ac:dyDescent="0.25">
      <c r="B931" s="17" t="s">
        <v>0</v>
      </c>
      <c r="C931" s="44" t="s">
        <v>26</v>
      </c>
      <c r="D931" s="22" t="s">
        <v>2</v>
      </c>
      <c r="E931" s="20">
        <v>1</v>
      </c>
      <c r="F931" s="17" t="s">
        <v>120</v>
      </c>
      <c r="G931" s="17" t="s">
        <v>216</v>
      </c>
      <c r="H931" s="17" t="s">
        <v>217</v>
      </c>
      <c r="I931" s="17" t="s">
        <v>218</v>
      </c>
      <c r="J931" s="27" t="s">
        <v>27</v>
      </c>
      <c r="K931" s="29">
        <v>332</v>
      </c>
      <c r="L931" s="31">
        <v>85450.999999700012</v>
      </c>
      <c r="M931" s="31">
        <v>34715.930000373999</v>
      </c>
      <c r="N931" s="31">
        <v>26371.149999939997</v>
      </c>
      <c r="O931" s="34">
        <f t="shared" si="128"/>
        <v>0.40626710044933206</v>
      </c>
      <c r="P931" s="34">
        <f t="shared" si="129"/>
        <v>0.75962677651602295</v>
      </c>
      <c r="Q931" s="34">
        <f t="shared" si="130"/>
        <v>0.59373289955066788</v>
      </c>
      <c r="R931" s="46">
        <f t="shared" si="131"/>
        <v>79.431174698614441</v>
      </c>
    </row>
    <row r="932" spans="2:18" ht="12.75" customHeight="1" x14ac:dyDescent="0.25">
      <c r="B932" s="17" t="s">
        <v>0</v>
      </c>
      <c r="C932" s="44" t="s">
        <v>168</v>
      </c>
      <c r="D932" s="22" t="s">
        <v>2</v>
      </c>
      <c r="E932" s="20">
        <v>1</v>
      </c>
      <c r="F932" s="17" t="s">
        <v>120</v>
      </c>
      <c r="G932" s="17" t="s">
        <v>216</v>
      </c>
      <c r="H932" s="17" t="s">
        <v>217</v>
      </c>
      <c r="I932" s="17" t="s">
        <v>218</v>
      </c>
      <c r="J932" s="27" t="s">
        <v>169</v>
      </c>
      <c r="K932" s="29">
        <v>752</v>
      </c>
      <c r="L932" s="31">
        <v>94752</v>
      </c>
      <c r="M932" s="31">
        <v>19317.459999835999</v>
      </c>
      <c r="N932" s="31">
        <v>19317.459999835999</v>
      </c>
      <c r="O932" s="34">
        <f t="shared" si="128"/>
        <v>0.20387390239610773</v>
      </c>
      <c r="P932" s="34">
        <f t="shared" si="129"/>
        <v>1</v>
      </c>
      <c r="Q932" s="34">
        <f t="shared" si="130"/>
        <v>0.7961260976038923</v>
      </c>
      <c r="R932" s="46">
        <f t="shared" si="131"/>
        <v>25.688111701909573</v>
      </c>
    </row>
    <row r="933" spans="2:18" ht="12.75" customHeight="1" x14ac:dyDescent="0.25">
      <c r="B933" s="17" t="s">
        <v>0</v>
      </c>
      <c r="C933" s="44" t="s">
        <v>155</v>
      </c>
      <c r="D933" s="22" t="s">
        <v>2</v>
      </c>
      <c r="E933" s="20">
        <v>1</v>
      </c>
      <c r="F933" s="17" t="s">
        <v>120</v>
      </c>
      <c r="G933" s="17" t="s">
        <v>216</v>
      </c>
      <c r="H933" s="17" t="s">
        <v>217</v>
      </c>
      <c r="I933" s="17" t="s">
        <v>218</v>
      </c>
      <c r="J933" s="27" t="s">
        <v>156</v>
      </c>
      <c r="K933" s="29">
        <v>324</v>
      </c>
      <c r="L933" s="31">
        <v>91241.000000269996</v>
      </c>
      <c r="M933" s="31">
        <v>26427.72999991</v>
      </c>
      <c r="N933" s="31">
        <v>17798.930000080003</v>
      </c>
      <c r="O933" s="34">
        <f t="shared" si="128"/>
        <v>0.28964752687751993</v>
      </c>
      <c r="P933" s="34">
        <f t="shared" si="129"/>
        <v>0.67349446964005677</v>
      </c>
      <c r="Q933" s="34">
        <f t="shared" si="130"/>
        <v>0.71035247312248007</v>
      </c>
      <c r="R933" s="46">
        <f t="shared" si="131"/>
        <v>54.934969136049389</v>
      </c>
    </row>
    <row r="934" spans="2:18" ht="12.75" customHeight="1" x14ac:dyDescent="0.25">
      <c r="B934" s="17" t="s">
        <v>0</v>
      </c>
      <c r="C934" s="44" t="s">
        <v>60</v>
      </c>
      <c r="D934" s="22" t="s">
        <v>2</v>
      </c>
      <c r="E934" s="20">
        <v>1</v>
      </c>
      <c r="F934" s="17" t="s">
        <v>120</v>
      </c>
      <c r="G934" s="17" t="s">
        <v>216</v>
      </c>
      <c r="H934" s="17" t="s">
        <v>217</v>
      </c>
      <c r="I934" s="17" t="s">
        <v>218</v>
      </c>
      <c r="J934" s="27" t="s">
        <v>61</v>
      </c>
      <c r="K934" s="29">
        <v>290</v>
      </c>
      <c r="L934" s="31">
        <v>75531.000000080006</v>
      </c>
      <c r="M934" s="31">
        <v>23890.380000061999</v>
      </c>
      <c r="N934" s="31">
        <v>17766.140000005998</v>
      </c>
      <c r="O934" s="34">
        <f t="shared" si="128"/>
        <v>0.31629900305883268</v>
      </c>
      <c r="P934" s="34">
        <f t="shared" si="129"/>
        <v>0.74365246596998003</v>
      </c>
      <c r="Q934" s="34">
        <f t="shared" si="130"/>
        <v>0.68370099694116737</v>
      </c>
      <c r="R934" s="46">
        <f t="shared" si="131"/>
        <v>61.262551724158612</v>
      </c>
    </row>
    <row r="935" spans="2:18" ht="12.75" customHeight="1" x14ac:dyDescent="0.25">
      <c r="B935" s="17" t="s">
        <v>0</v>
      </c>
      <c r="C935" s="44" t="s">
        <v>96</v>
      </c>
      <c r="D935" s="22" t="s">
        <v>2</v>
      </c>
      <c r="E935" s="20">
        <v>1</v>
      </c>
      <c r="F935" s="17" t="s">
        <v>120</v>
      </c>
      <c r="G935" s="17" t="s">
        <v>216</v>
      </c>
      <c r="H935" s="17" t="s">
        <v>217</v>
      </c>
      <c r="I935" s="17" t="s">
        <v>218</v>
      </c>
      <c r="J935" s="27" t="s">
        <v>97</v>
      </c>
      <c r="K935" s="29">
        <v>204</v>
      </c>
      <c r="L935" s="31">
        <v>60647.999999899999</v>
      </c>
      <c r="M935" s="31">
        <v>22478.559999987003</v>
      </c>
      <c r="N935" s="31">
        <v>16389.549999941999</v>
      </c>
      <c r="O935" s="34">
        <f t="shared" si="128"/>
        <v>0.37063975728835358</v>
      </c>
      <c r="P935" s="34">
        <f t="shared" si="129"/>
        <v>0.72911921404002189</v>
      </c>
      <c r="Q935" s="34">
        <f t="shared" si="130"/>
        <v>0.62936024271164648</v>
      </c>
      <c r="R935" s="46">
        <f t="shared" si="131"/>
        <v>80.340931372264706</v>
      </c>
    </row>
    <row r="936" spans="2:18" ht="12.75" customHeight="1" x14ac:dyDescent="0.25">
      <c r="B936" s="17" t="s">
        <v>0</v>
      </c>
      <c r="C936" s="44" t="s">
        <v>70</v>
      </c>
      <c r="D936" s="22" t="s">
        <v>2</v>
      </c>
      <c r="E936" s="20">
        <v>1</v>
      </c>
      <c r="F936" s="17" t="s">
        <v>120</v>
      </c>
      <c r="G936" s="17" t="s">
        <v>216</v>
      </c>
      <c r="H936" s="17" t="s">
        <v>217</v>
      </c>
      <c r="I936" s="17" t="s">
        <v>218</v>
      </c>
      <c r="J936" s="27" t="s">
        <v>71</v>
      </c>
      <c r="K936" s="29">
        <v>260</v>
      </c>
      <c r="L936" s="31">
        <v>51237.999999549997</v>
      </c>
      <c r="M936" s="31">
        <v>19918.870000105999</v>
      </c>
      <c r="N936" s="31">
        <v>15318.100000140999</v>
      </c>
      <c r="O936" s="34">
        <f t="shared" si="128"/>
        <v>0.38875190289006084</v>
      </c>
      <c r="P936" s="34">
        <f t="shared" si="129"/>
        <v>0.76902454808226994</v>
      </c>
      <c r="Q936" s="34">
        <f t="shared" si="130"/>
        <v>0.61124809710993921</v>
      </c>
      <c r="R936" s="46">
        <f t="shared" si="131"/>
        <v>58.915769231311536</v>
      </c>
    </row>
    <row r="937" spans="2:18" ht="12.75" customHeight="1" x14ac:dyDescent="0.25">
      <c r="B937" s="17" t="s">
        <v>0</v>
      </c>
      <c r="C937" s="44" t="s">
        <v>76</v>
      </c>
      <c r="D937" s="22" t="s">
        <v>2</v>
      </c>
      <c r="E937" s="20">
        <v>1</v>
      </c>
      <c r="F937" s="17" t="s">
        <v>120</v>
      </c>
      <c r="G937" s="17" t="s">
        <v>216</v>
      </c>
      <c r="H937" s="17" t="s">
        <v>217</v>
      </c>
      <c r="I937" s="17" t="s">
        <v>218</v>
      </c>
      <c r="J937" s="27" t="s">
        <v>77</v>
      </c>
      <c r="K937" s="29">
        <v>167</v>
      </c>
      <c r="L937" s="31">
        <v>47664.00000018</v>
      </c>
      <c r="M937" s="31">
        <v>14312.499999839998</v>
      </c>
      <c r="N937" s="31">
        <v>10129.050000111001</v>
      </c>
      <c r="O937" s="34">
        <f t="shared" si="128"/>
        <v>0.30027903658496868</v>
      </c>
      <c r="P937" s="34">
        <f t="shared" si="129"/>
        <v>0.70770655023400775</v>
      </c>
      <c r="Q937" s="34">
        <f t="shared" si="130"/>
        <v>0.69972096341503132</v>
      </c>
      <c r="R937" s="46">
        <f t="shared" si="131"/>
        <v>60.652994012640725</v>
      </c>
    </row>
    <row r="938" spans="2:18" ht="12.75" customHeight="1" x14ac:dyDescent="0.25">
      <c r="B938" s="17" t="s">
        <v>0</v>
      </c>
      <c r="C938" s="44" t="s">
        <v>225</v>
      </c>
      <c r="D938" s="22" t="s">
        <v>9</v>
      </c>
      <c r="E938" s="20">
        <v>2</v>
      </c>
      <c r="F938" s="17" t="s">
        <v>120</v>
      </c>
      <c r="G938" s="17" t="s">
        <v>216</v>
      </c>
      <c r="H938" s="17" t="s">
        <v>217</v>
      </c>
      <c r="I938" s="17" t="s">
        <v>218</v>
      </c>
      <c r="J938" s="27" t="s">
        <v>226</v>
      </c>
      <c r="K938" s="29">
        <v>54</v>
      </c>
      <c r="L938" s="31">
        <v>50625</v>
      </c>
      <c r="M938" s="31">
        <v>10239.560000050002</v>
      </c>
      <c r="N938" s="31">
        <v>7697.5200000799996</v>
      </c>
      <c r="O938" s="34">
        <f t="shared" si="128"/>
        <v>0.2022629135812346</v>
      </c>
      <c r="P938" s="34">
        <f t="shared" si="129"/>
        <v>0.75174323897144124</v>
      </c>
      <c r="Q938" s="34">
        <f t="shared" si="130"/>
        <v>0.7977370864187654</v>
      </c>
      <c r="R938" s="46">
        <f t="shared" si="131"/>
        <v>142.54666666814813</v>
      </c>
    </row>
    <row r="939" spans="2:18" ht="12.75" customHeight="1" x14ac:dyDescent="0.25">
      <c r="B939" s="17" t="s">
        <v>0</v>
      </c>
      <c r="C939" s="44" t="s">
        <v>149</v>
      </c>
      <c r="D939" s="22" t="s">
        <v>2</v>
      </c>
      <c r="E939" s="20">
        <v>1</v>
      </c>
      <c r="F939" s="17" t="s">
        <v>120</v>
      </c>
      <c r="G939" s="17" t="s">
        <v>216</v>
      </c>
      <c r="H939" s="17" t="s">
        <v>217</v>
      </c>
      <c r="I939" s="17" t="s">
        <v>218</v>
      </c>
      <c r="J939" s="27" t="s">
        <v>150</v>
      </c>
      <c r="K939" s="29">
        <v>98</v>
      </c>
      <c r="L939" s="31">
        <v>13548.000000080001</v>
      </c>
      <c r="M939" s="31">
        <v>9258.4000000239994</v>
      </c>
      <c r="N939" s="31">
        <v>7103.7100000299997</v>
      </c>
      <c r="O939" s="34">
        <f t="shared" si="128"/>
        <v>0.68337762031069738</v>
      </c>
      <c r="P939" s="34">
        <f t="shared" si="129"/>
        <v>0.76727188283197811</v>
      </c>
      <c r="Q939" s="34">
        <f t="shared" si="130"/>
        <v>0.31662237968930262</v>
      </c>
      <c r="R939" s="46">
        <f t="shared" si="131"/>
        <v>72.486836734999997</v>
      </c>
    </row>
    <row r="940" spans="2:18" ht="12.75" customHeight="1" x14ac:dyDescent="0.25">
      <c r="B940" s="17" t="s">
        <v>0</v>
      </c>
      <c r="C940" s="44" t="s">
        <v>227</v>
      </c>
      <c r="D940" s="22" t="s">
        <v>2</v>
      </c>
      <c r="E940" s="20">
        <v>1</v>
      </c>
      <c r="F940" s="17" t="s">
        <v>120</v>
      </c>
      <c r="G940" s="17" t="s">
        <v>216</v>
      </c>
      <c r="H940" s="17" t="s">
        <v>217</v>
      </c>
      <c r="I940" s="17" t="s">
        <v>218</v>
      </c>
      <c r="J940" s="27" t="s">
        <v>228</v>
      </c>
      <c r="K940" s="29">
        <v>83</v>
      </c>
      <c r="L940" s="31">
        <v>20234</v>
      </c>
      <c r="M940" s="31">
        <v>8135.6300000580004</v>
      </c>
      <c r="N940" s="31">
        <v>5671.2499999690008</v>
      </c>
      <c r="O940" s="34">
        <f t="shared" si="128"/>
        <v>0.4020771968003361</v>
      </c>
      <c r="P940" s="34">
        <f t="shared" si="129"/>
        <v>0.69708799440591196</v>
      </c>
      <c r="Q940" s="34">
        <f t="shared" si="130"/>
        <v>0.59792280319966395</v>
      </c>
      <c r="R940" s="46">
        <f t="shared" si="131"/>
        <v>68.328313252638566</v>
      </c>
    </row>
    <row r="941" spans="2:18" ht="12.75" customHeight="1" x14ac:dyDescent="0.25">
      <c r="B941" s="17" t="s">
        <v>0</v>
      </c>
      <c r="C941" s="44" t="s">
        <v>227</v>
      </c>
      <c r="D941" s="22" t="s">
        <v>9</v>
      </c>
      <c r="E941" s="20">
        <v>2</v>
      </c>
      <c r="F941" s="17" t="s">
        <v>120</v>
      </c>
      <c r="G941" s="17" t="s">
        <v>216</v>
      </c>
      <c r="H941" s="17" t="s">
        <v>217</v>
      </c>
      <c r="I941" s="17" t="s">
        <v>218</v>
      </c>
      <c r="J941" s="27" t="s">
        <v>228</v>
      </c>
      <c r="K941" s="29">
        <v>32</v>
      </c>
      <c r="L941" s="31">
        <v>17792</v>
      </c>
      <c r="M941" s="31">
        <v>5202.55</v>
      </c>
      <c r="N941" s="31">
        <v>3521.32</v>
      </c>
      <c r="O941" s="34">
        <f t="shared" si="128"/>
        <v>0.29240950989208636</v>
      </c>
      <c r="P941" s="34">
        <f t="shared" si="129"/>
        <v>0.67684500869765785</v>
      </c>
      <c r="Q941" s="34">
        <f t="shared" si="130"/>
        <v>0.70759049010791364</v>
      </c>
      <c r="R941" s="46">
        <f t="shared" si="131"/>
        <v>110.04125000000001</v>
      </c>
    </row>
    <row r="942" spans="2:18" ht="12.75" customHeight="1" x14ac:dyDescent="0.25">
      <c r="B942" s="17" t="s">
        <v>0</v>
      </c>
      <c r="C942" s="44" t="s">
        <v>219</v>
      </c>
      <c r="D942" s="22" t="s">
        <v>2</v>
      </c>
      <c r="E942" s="20">
        <v>1</v>
      </c>
      <c r="F942" s="17" t="s">
        <v>120</v>
      </c>
      <c r="G942" s="17" t="s">
        <v>216</v>
      </c>
      <c r="H942" s="17" t="s">
        <v>217</v>
      </c>
      <c r="I942" s="17" t="s">
        <v>218</v>
      </c>
      <c r="J942" s="27" t="s">
        <v>220</v>
      </c>
      <c r="K942" s="29">
        <v>40</v>
      </c>
      <c r="L942" s="31">
        <v>14628</v>
      </c>
      <c r="M942" s="31">
        <v>4270.1399999320001</v>
      </c>
      <c r="N942" s="31">
        <v>3402.2000000360003</v>
      </c>
      <c r="O942" s="34">
        <f t="shared" si="128"/>
        <v>0.2919155045072464</v>
      </c>
      <c r="P942" s="34">
        <f t="shared" si="129"/>
        <v>0.7967420272146063</v>
      </c>
      <c r="Q942" s="34">
        <f t="shared" si="130"/>
        <v>0.70808449549275365</v>
      </c>
      <c r="R942" s="46">
        <f t="shared" si="131"/>
        <v>85.055000000900009</v>
      </c>
    </row>
    <row r="943" spans="2:18" ht="12.75" customHeight="1" x14ac:dyDescent="0.25">
      <c r="B943" s="17" t="s">
        <v>0</v>
      </c>
      <c r="C943" s="44" t="s">
        <v>147</v>
      </c>
      <c r="D943" s="22" t="s">
        <v>2</v>
      </c>
      <c r="E943" s="20">
        <v>1</v>
      </c>
      <c r="F943" s="17" t="s">
        <v>120</v>
      </c>
      <c r="G943" s="17" t="s">
        <v>216</v>
      </c>
      <c r="H943" s="17" t="s">
        <v>217</v>
      </c>
      <c r="I943" s="17" t="s">
        <v>218</v>
      </c>
      <c r="J943" s="27" t="s">
        <v>148</v>
      </c>
      <c r="K943" s="29">
        <v>46</v>
      </c>
      <c r="L943" s="31">
        <v>5958</v>
      </c>
      <c r="M943" s="31">
        <v>3417.9099999939999</v>
      </c>
      <c r="N943" s="31">
        <v>2671.2199999939999</v>
      </c>
      <c r="O943" s="34">
        <f t="shared" si="128"/>
        <v>0.57366733803188985</v>
      </c>
      <c r="P943" s="34">
        <f t="shared" si="129"/>
        <v>0.78153608491700755</v>
      </c>
      <c r="Q943" s="34">
        <f t="shared" si="130"/>
        <v>0.42633266196811015</v>
      </c>
      <c r="R943" s="46">
        <f t="shared" si="131"/>
        <v>58.069999999869559</v>
      </c>
    </row>
    <row r="944" spans="2:18" ht="12.75" customHeight="1" x14ac:dyDescent="0.25">
      <c r="B944" s="17" t="s">
        <v>0</v>
      </c>
      <c r="C944" s="44" t="s">
        <v>141</v>
      </c>
      <c r="D944" s="22" t="s">
        <v>9</v>
      </c>
      <c r="E944" s="20">
        <v>2</v>
      </c>
      <c r="F944" s="17" t="s">
        <v>120</v>
      </c>
      <c r="G944" s="17" t="s">
        <v>216</v>
      </c>
      <c r="H944" s="17" t="s">
        <v>217</v>
      </c>
      <c r="I944" s="17" t="s">
        <v>218</v>
      </c>
      <c r="J944" s="27" t="s">
        <v>142</v>
      </c>
      <c r="K944" s="29">
        <v>17</v>
      </c>
      <c r="L944" s="31">
        <v>594.83000000000004</v>
      </c>
      <c r="M944" s="31">
        <v>535.84</v>
      </c>
      <c r="N944" s="31">
        <v>426.87</v>
      </c>
      <c r="O944" s="34">
        <f t="shared" si="128"/>
        <v>0.90082880823092315</v>
      </c>
      <c r="P944" s="34">
        <f t="shared" si="129"/>
        <v>0.79663705583756339</v>
      </c>
      <c r="Q944" s="34">
        <f t="shared" si="130"/>
        <v>9.917119176907685E-2</v>
      </c>
      <c r="R944" s="46">
        <f t="shared" si="131"/>
        <v>25.11</v>
      </c>
    </row>
    <row r="945" spans="2:18" ht="12.75" customHeight="1" thickBot="1" x14ac:dyDescent="0.3">
      <c r="B945" s="15" t="s">
        <v>0</v>
      </c>
      <c r="C945" s="50" t="s">
        <v>174</v>
      </c>
      <c r="D945" s="19" t="s">
        <v>2</v>
      </c>
      <c r="E945" s="16">
        <v>1</v>
      </c>
      <c r="F945" s="15" t="s">
        <v>120</v>
      </c>
      <c r="G945" s="15" t="s">
        <v>216</v>
      </c>
      <c r="H945" s="15" t="s">
        <v>217</v>
      </c>
      <c r="I945" s="15" t="s">
        <v>218</v>
      </c>
      <c r="J945" s="24" t="s">
        <v>175</v>
      </c>
      <c r="K945" s="26">
        <v>13</v>
      </c>
      <c r="L945" s="28">
        <v>1846</v>
      </c>
      <c r="M945" s="28">
        <v>818.58999999399998</v>
      </c>
      <c r="N945" s="28">
        <v>401.44</v>
      </c>
      <c r="O945" s="32">
        <f t="shared" si="128"/>
        <v>0.4434398699859155</v>
      </c>
      <c r="P945" s="32">
        <f t="shared" si="129"/>
        <v>0.49040423167024083</v>
      </c>
      <c r="Q945" s="32">
        <f t="shared" si="130"/>
        <v>0.55656013001408455</v>
      </c>
      <c r="R945" s="49">
        <f t="shared" si="131"/>
        <v>30.88</v>
      </c>
    </row>
    <row r="946" spans="2:18" ht="17.25" customHeight="1" x14ac:dyDescent="0.25">
      <c r="B946" s="48"/>
      <c r="C946" s="58"/>
      <c r="D946" s="51" t="s">
        <v>366</v>
      </c>
      <c r="E946" s="52"/>
      <c r="F946" s="52"/>
      <c r="G946" s="53"/>
      <c r="H946" s="53"/>
      <c r="I946" s="53"/>
      <c r="J946" s="54"/>
      <c r="K946" s="55">
        <f>SUM(K800:K945)</f>
        <v>15272857</v>
      </c>
      <c r="L946" s="56">
        <f>SUM(L800:L945)</f>
        <v>3803016981.4592352</v>
      </c>
      <c r="M946" s="56">
        <f>SUM(M800:M945)</f>
        <v>1654806585.6170652</v>
      </c>
      <c r="N946" s="56">
        <f>SUM(N800:N945)</f>
        <v>1187885249.2167642</v>
      </c>
      <c r="O946" s="57">
        <f>IFERROR(M946/L946,0)</f>
        <v>0.4351299491126932</v>
      </c>
      <c r="P946" s="57">
        <f>IFERROR(N946/M946,0)</f>
        <v>0.7178393291043198</v>
      </c>
      <c r="Q946" s="57">
        <f>IFERROR(1-(M946/L946),0)</f>
        <v>0.5648700508873068</v>
      </c>
      <c r="R946" s="59">
        <f>IFERROR(N946/K946,0)</f>
        <v>77.777540195443734</v>
      </c>
    </row>
    <row r="947" spans="2:18" ht="15.75" thickBot="1" x14ac:dyDescent="0.3">
      <c r="B947" s="60"/>
      <c r="C947" s="64"/>
      <c r="D947" s="62" t="s">
        <v>218</v>
      </c>
      <c r="E947" s="61"/>
      <c r="F947" s="61"/>
      <c r="G947" s="61"/>
      <c r="H947" s="61"/>
      <c r="I947" s="61"/>
      <c r="J947" s="61"/>
      <c r="K947" s="63"/>
      <c r="L947" s="63"/>
      <c r="M947" s="63"/>
      <c r="N947" s="63"/>
      <c r="O947" s="63"/>
      <c r="P947" s="63"/>
      <c r="Q947" s="63"/>
      <c r="R947" s="65"/>
    </row>
    <row r="948" spans="2:18" ht="15.75" thickBot="1" x14ac:dyDescent="0.3"/>
    <row r="949" spans="2:18" ht="15.75" x14ac:dyDescent="0.25">
      <c r="B949" s="1"/>
      <c r="C949" s="7" t="s">
        <v>348</v>
      </c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9"/>
    </row>
    <row r="950" spans="2:18" ht="18" x14ac:dyDescent="0.25">
      <c r="B950" s="2"/>
      <c r="C950" s="8" t="s">
        <v>231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10"/>
    </row>
    <row r="951" spans="2:18" ht="15.75" thickBot="1" x14ac:dyDescent="0.3">
      <c r="B951" s="3"/>
      <c r="C951" s="11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12"/>
    </row>
    <row r="952" spans="2:18" ht="17.25" customHeight="1" thickBot="1" x14ac:dyDescent="0.3">
      <c r="B952" s="14" t="s">
        <v>349</v>
      </c>
      <c r="C952" s="18" t="s">
        <v>350</v>
      </c>
      <c r="D952" s="21" t="s">
        <v>351</v>
      </c>
      <c r="E952" s="23" t="s">
        <v>352</v>
      </c>
      <c r="F952" s="21" t="s">
        <v>353</v>
      </c>
      <c r="G952" s="23" t="s">
        <v>354</v>
      </c>
      <c r="H952" s="23" t="s">
        <v>355</v>
      </c>
      <c r="I952" s="23" t="s">
        <v>356</v>
      </c>
      <c r="J952" s="25" t="s">
        <v>357</v>
      </c>
      <c r="K952" s="25" t="s">
        <v>358</v>
      </c>
      <c r="L952" s="30" t="s">
        <v>359</v>
      </c>
      <c r="M952" s="30" t="s">
        <v>360</v>
      </c>
      <c r="N952" s="30" t="s">
        <v>361</v>
      </c>
      <c r="O952" s="33" t="s">
        <v>362</v>
      </c>
      <c r="P952" s="33" t="s">
        <v>363</v>
      </c>
      <c r="Q952" s="33" t="s">
        <v>364</v>
      </c>
      <c r="R952" s="35" t="s">
        <v>365</v>
      </c>
    </row>
    <row r="953" spans="2:18" ht="12.75" customHeight="1" x14ac:dyDescent="0.25">
      <c r="B953" s="17" t="s">
        <v>0</v>
      </c>
      <c r="C953" s="43" t="s">
        <v>34</v>
      </c>
      <c r="D953" s="37" t="s">
        <v>9</v>
      </c>
      <c r="E953" s="36">
        <v>2</v>
      </c>
      <c r="F953" s="38" t="s">
        <v>120</v>
      </c>
      <c r="G953" s="38" t="s">
        <v>229</v>
      </c>
      <c r="H953" s="38" t="s">
        <v>230</v>
      </c>
      <c r="I953" s="38" t="s">
        <v>231</v>
      </c>
      <c r="J953" s="39" t="s">
        <v>35</v>
      </c>
      <c r="K953" s="40">
        <v>807760</v>
      </c>
      <c r="L953" s="41">
        <v>169275803.1799657</v>
      </c>
      <c r="M953" s="41">
        <v>83947286.809927821</v>
      </c>
      <c r="N953" s="41">
        <v>57496986.409988351</v>
      </c>
      <c r="O953" s="42">
        <f t="shared" ref="O953:O962" si="132">IFERROR(M953/L953,0)</f>
        <v>0.49592018016112555</v>
      </c>
      <c r="P953" s="42">
        <f t="shared" ref="P953:P962" si="133">IFERROR(N953/M953,0)</f>
        <v>0.68491774534860383</v>
      </c>
      <c r="Q953" s="42">
        <f t="shared" ref="Q953:Q962" si="134">IFERROR(1-(M953/L953),0)</f>
        <v>0.50407981983887451</v>
      </c>
      <c r="R953" s="45">
        <f t="shared" ref="R953:R962" si="135">IFERROR(N953/K953,0)</f>
        <v>71.180779451802948</v>
      </c>
    </row>
    <row r="954" spans="2:18" ht="12.75" customHeight="1" x14ac:dyDescent="0.25">
      <c r="B954" s="17" t="s">
        <v>0</v>
      </c>
      <c r="C954" s="44" t="s">
        <v>166</v>
      </c>
      <c r="D954" s="22" t="s">
        <v>9</v>
      </c>
      <c r="E954" s="20">
        <v>2</v>
      </c>
      <c r="F954" s="17" t="s">
        <v>120</v>
      </c>
      <c r="G954" s="17" t="s">
        <v>229</v>
      </c>
      <c r="H954" s="17" t="s">
        <v>230</v>
      </c>
      <c r="I954" s="17" t="s">
        <v>231</v>
      </c>
      <c r="J954" s="27" t="s">
        <v>167</v>
      </c>
      <c r="K954" s="29">
        <v>376261</v>
      </c>
      <c r="L954" s="31">
        <v>62383463.090013981</v>
      </c>
      <c r="M954" s="31">
        <v>41505149.960011698</v>
      </c>
      <c r="N954" s="31">
        <v>27350996.60000591</v>
      </c>
      <c r="O954" s="34">
        <f t="shared" si="132"/>
        <v>0.66532295425990262</v>
      </c>
      <c r="P954" s="34">
        <f t="shared" si="133"/>
        <v>0.65897838283580079</v>
      </c>
      <c r="Q954" s="34">
        <f t="shared" si="134"/>
        <v>0.33467704574009738</v>
      </c>
      <c r="R954" s="46">
        <f t="shared" si="135"/>
        <v>72.691553469548822</v>
      </c>
    </row>
    <row r="955" spans="2:18" ht="12.75" customHeight="1" x14ac:dyDescent="0.25">
      <c r="B955" s="17" t="s">
        <v>0</v>
      </c>
      <c r="C955" s="44" t="s">
        <v>34</v>
      </c>
      <c r="D955" s="22" t="s">
        <v>2</v>
      </c>
      <c r="E955" s="20">
        <v>1</v>
      </c>
      <c r="F955" s="17" t="s">
        <v>120</v>
      </c>
      <c r="G955" s="17" t="s">
        <v>229</v>
      </c>
      <c r="H955" s="17" t="s">
        <v>230</v>
      </c>
      <c r="I955" s="17" t="s">
        <v>231</v>
      </c>
      <c r="J955" s="27" t="s">
        <v>35</v>
      </c>
      <c r="K955" s="29">
        <v>5012</v>
      </c>
      <c r="L955" s="31">
        <v>1467383.2000020379</v>
      </c>
      <c r="M955" s="31">
        <v>293000.98000062798</v>
      </c>
      <c r="N955" s="31">
        <v>193642.1400009465</v>
      </c>
      <c r="O955" s="34">
        <f t="shared" si="132"/>
        <v>0.1996758447283716</v>
      </c>
      <c r="P955" s="34">
        <f t="shared" si="133"/>
        <v>0.66089246527616208</v>
      </c>
      <c r="Q955" s="34">
        <f t="shared" si="134"/>
        <v>0.80032415527162837</v>
      </c>
      <c r="R955" s="46">
        <f t="shared" si="135"/>
        <v>38.63570231463418</v>
      </c>
    </row>
    <row r="956" spans="2:18" ht="12.75" customHeight="1" x14ac:dyDescent="0.25">
      <c r="B956" s="17" t="s">
        <v>0</v>
      </c>
      <c r="C956" s="44" t="s">
        <v>166</v>
      </c>
      <c r="D956" s="22" t="s">
        <v>2</v>
      </c>
      <c r="E956" s="20">
        <v>1</v>
      </c>
      <c r="F956" s="17" t="s">
        <v>120</v>
      </c>
      <c r="G956" s="17" t="s">
        <v>229</v>
      </c>
      <c r="H956" s="17" t="s">
        <v>230</v>
      </c>
      <c r="I956" s="17" t="s">
        <v>231</v>
      </c>
      <c r="J956" s="27" t="s">
        <v>167</v>
      </c>
      <c r="K956" s="29">
        <v>3041</v>
      </c>
      <c r="L956" s="31">
        <v>968566.40999791084</v>
      </c>
      <c r="M956" s="31">
        <v>234631.119999752</v>
      </c>
      <c r="N956" s="31">
        <v>155051.31999975597</v>
      </c>
      <c r="O956" s="34">
        <f t="shared" si="132"/>
        <v>0.24224577435042177</v>
      </c>
      <c r="P956" s="34">
        <f t="shared" si="133"/>
        <v>0.66083015756784458</v>
      </c>
      <c r="Q956" s="34">
        <f t="shared" si="134"/>
        <v>0.75775422564957817</v>
      </c>
      <c r="R956" s="46">
        <f t="shared" si="135"/>
        <v>50.9869516605577</v>
      </c>
    </row>
    <row r="957" spans="2:18" ht="12.75" customHeight="1" x14ac:dyDescent="0.25">
      <c r="B957" s="17" t="s">
        <v>0</v>
      </c>
      <c r="C957" s="44" t="s">
        <v>50</v>
      </c>
      <c r="D957" s="22" t="s">
        <v>9</v>
      </c>
      <c r="E957" s="20">
        <v>2</v>
      </c>
      <c r="F957" s="17" t="s">
        <v>120</v>
      </c>
      <c r="G957" s="17" t="s">
        <v>229</v>
      </c>
      <c r="H957" s="17" t="s">
        <v>230</v>
      </c>
      <c r="I957" s="17" t="s">
        <v>231</v>
      </c>
      <c r="J957" s="27" t="s">
        <v>51</v>
      </c>
      <c r="K957" s="29">
        <v>439</v>
      </c>
      <c r="L957" s="31">
        <v>139011.37000036001</v>
      </c>
      <c r="M957" s="31">
        <v>44212.810000530997</v>
      </c>
      <c r="N957" s="31">
        <v>31918.770000042001</v>
      </c>
      <c r="O957" s="34">
        <f t="shared" si="132"/>
        <v>0.31805175361135207</v>
      </c>
      <c r="P957" s="34">
        <f t="shared" si="133"/>
        <v>0.72193488718899923</v>
      </c>
      <c r="Q957" s="34">
        <f t="shared" si="134"/>
        <v>0.68194824638864793</v>
      </c>
      <c r="R957" s="46">
        <f t="shared" si="135"/>
        <v>72.707904328113898</v>
      </c>
    </row>
    <row r="958" spans="2:18" ht="12.75" customHeight="1" x14ac:dyDescent="0.25">
      <c r="B958" s="17" t="s">
        <v>0</v>
      </c>
      <c r="C958" s="44" t="s">
        <v>46</v>
      </c>
      <c r="D958" s="22" t="s">
        <v>9</v>
      </c>
      <c r="E958" s="20">
        <v>2</v>
      </c>
      <c r="F958" s="17" t="s">
        <v>120</v>
      </c>
      <c r="G958" s="17" t="s">
        <v>229</v>
      </c>
      <c r="H958" s="17" t="s">
        <v>230</v>
      </c>
      <c r="I958" s="17" t="s">
        <v>231</v>
      </c>
      <c r="J958" s="27" t="s">
        <v>47</v>
      </c>
      <c r="K958" s="29">
        <v>90</v>
      </c>
      <c r="L958" s="31">
        <v>30205</v>
      </c>
      <c r="M958" s="31">
        <v>9872.8600001199993</v>
      </c>
      <c r="N958" s="31">
        <v>7452.4800000149999</v>
      </c>
      <c r="O958" s="34">
        <f t="shared" si="132"/>
        <v>0.32686177785532194</v>
      </c>
      <c r="P958" s="34">
        <f t="shared" si="133"/>
        <v>0.75484510060148924</v>
      </c>
      <c r="Q958" s="34">
        <f t="shared" si="134"/>
        <v>0.673138222144678</v>
      </c>
      <c r="R958" s="46">
        <f t="shared" si="135"/>
        <v>82.805333333500002</v>
      </c>
    </row>
    <row r="959" spans="2:18" ht="12.75" customHeight="1" x14ac:dyDescent="0.25">
      <c r="B959" s="17" t="s">
        <v>0</v>
      </c>
      <c r="C959" s="44" t="s">
        <v>66</v>
      </c>
      <c r="D959" s="22" t="s">
        <v>9</v>
      </c>
      <c r="E959" s="20">
        <v>2</v>
      </c>
      <c r="F959" s="17" t="s">
        <v>120</v>
      </c>
      <c r="G959" s="17" t="s">
        <v>229</v>
      </c>
      <c r="H959" s="17" t="s">
        <v>230</v>
      </c>
      <c r="I959" s="17" t="s">
        <v>231</v>
      </c>
      <c r="J959" s="27" t="s">
        <v>67</v>
      </c>
      <c r="K959" s="29">
        <v>122</v>
      </c>
      <c r="L959" s="31">
        <v>32362.999999660002</v>
      </c>
      <c r="M959" s="31">
        <v>8527.5799999659994</v>
      </c>
      <c r="N959" s="31">
        <v>6415.5000000099999</v>
      </c>
      <c r="O959" s="34">
        <f t="shared" si="132"/>
        <v>0.26349782158809715</v>
      </c>
      <c r="P959" s="34">
        <f t="shared" si="133"/>
        <v>0.75232363695627358</v>
      </c>
      <c r="Q959" s="34">
        <f t="shared" si="134"/>
        <v>0.7365021784119028</v>
      </c>
      <c r="R959" s="46">
        <f t="shared" si="135"/>
        <v>52.586065573852458</v>
      </c>
    </row>
    <row r="960" spans="2:18" ht="12.75" customHeight="1" x14ac:dyDescent="0.25">
      <c r="B960" s="17" t="s">
        <v>0</v>
      </c>
      <c r="C960" s="44" t="s">
        <v>66</v>
      </c>
      <c r="D960" s="22" t="s">
        <v>2</v>
      </c>
      <c r="E960" s="20">
        <v>1</v>
      </c>
      <c r="F960" s="17" t="s">
        <v>120</v>
      </c>
      <c r="G960" s="17" t="s">
        <v>229</v>
      </c>
      <c r="H960" s="17" t="s">
        <v>230</v>
      </c>
      <c r="I960" s="17" t="s">
        <v>231</v>
      </c>
      <c r="J960" s="27" t="s">
        <v>67</v>
      </c>
      <c r="K960" s="29">
        <v>32</v>
      </c>
      <c r="L960" s="31">
        <v>8146</v>
      </c>
      <c r="M960" s="31">
        <v>2217.6799999999998</v>
      </c>
      <c r="N960" s="31">
        <v>1614.03</v>
      </c>
      <c r="O960" s="34">
        <f t="shared" si="132"/>
        <v>0.2722415909648907</v>
      </c>
      <c r="P960" s="34">
        <f t="shared" si="133"/>
        <v>0.72780112550052312</v>
      </c>
      <c r="Q960" s="34">
        <f t="shared" si="134"/>
        <v>0.72775840903510924</v>
      </c>
      <c r="R960" s="46">
        <f t="shared" si="135"/>
        <v>50.438437499999999</v>
      </c>
    </row>
    <row r="961" spans="2:18" ht="12.75" customHeight="1" x14ac:dyDescent="0.25">
      <c r="B961" s="17" t="s">
        <v>0</v>
      </c>
      <c r="C961" s="44" t="s">
        <v>54</v>
      </c>
      <c r="D961" s="22" t="s">
        <v>9</v>
      </c>
      <c r="E961" s="20">
        <v>2</v>
      </c>
      <c r="F961" s="17" t="s">
        <v>120</v>
      </c>
      <c r="G961" s="17" t="s">
        <v>229</v>
      </c>
      <c r="H961" s="17" t="s">
        <v>230</v>
      </c>
      <c r="I961" s="17" t="s">
        <v>231</v>
      </c>
      <c r="J961" s="27" t="s">
        <v>55</v>
      </c>
      <c r="K961" s="29">
        <v>12</v>
      </c>
      <c r="L961" s="31">
        <v>2424.4899999600002</v>
      </c>
      <c r="M961" s="31">
        <v>1313.49</v>
      </c>
      <c r="N961" s="31">
        <v>954.51</v>
      </c>
      <c r="O961" s="34">
        <f t="shared" si="132"/>
        <v>0.54175929784064702</v>
      </c>
      <c r="P961" s="34">
        <f t="shared" si="133"/>
        <v>0.72669757668501467</v>
      </c>
      <c r="Q961" s="34">
        <f t="shared" si="134"/>
        <v>0.45824070215935298</v>
      </c>
      <c r="R961" s="46">
        <f t="shared" si="135"/>
        <v>79.542500000000004</v>
      </c>
    </row>
    <row r="962" spans="2:18" ht="12.75" customHeight="1" thickBot="1" x14ac:dyDescent="0.3">
      <c r="B962" s="15" t="s">
        <v>0</v>
      </c>
      <c r="C962" s="50" t="s">
        <v>170</v>
      </c>
      <c r="D962" s="19" t="s">
        <v>9</v>
      </c>
      <c r="E962" s="16">
        <v>2</v>
      </c>
      <c r="F962" s="15" t="s">
        <v>120</v>
      </c>
      <c r="G962" s="15" t="s">
        <v>229</v>
      </c>
      <c r="H962" s="15" t="s">
        <v>230</v>
      </c>
      <c r="I962" s="15" t="s">
        <v>231</v>
      </c>
      <c r="J962" s="24" t="s">
        <v>171</v>
      </c>
      <c r="K962" s="26">
        <v>14</v>
      </c>
      <c r="L962" s="28">
        <v>1429.99999996</v>
      </c>
      <c r="M962" s="28">
        <v>1160.6100000039999</v>
      </c>
      <c r="N962" s="28">
        <v>788.35000000399998</v>
      </c>
      <c r="O962" s="32">
        <f t="shared" si="132"/>
        <v>0.81161538464088423</v>
      </c>
      <c r="P962" s="32">
        <f t="shared" si="133"/>
        <v>0.679254874592915</v>
      </c>
      <c r="Q962" s="32">
        <f t="shared" si="134"/>
        <v>0.18838461535911577</v>
      </c>
      <c r="R962" s="49">
        <f t="shared" si="135"/>
        <v>56.310714286</v>
      </c>
    </row>
    <row r="963" spans="2:18" ht="17.25" customHeight="1" x14ac:dyDescent="0.25">
      <c r="B963" s="48"/>
      <c r="C963" s="58"/>
      <c r="D963" s="51" t="s">
        <v>366</v>
      </c>
      <c r="E963" s="52"/>
      <c r="F963" s="52"/>
      <c r="G963" s="53"/>
      <c r="H963" s="53"/>
      <c r="I963" s="53"/>
      <c r="J963" s="54"/>
      <c r="K963" s="55">
        <f>SUM(K953:K962)</f>
        <v>1192783</v>
      </c>
      <c r="L963" s="56">
        <f>SUM(L953:L962)</f>
        <v>234308795.73997959</v>
      </c>
      <c r="M963" s="56">
        <f>SUM(M953:M962)</f>
        <v>126047373.89994051</v>
      </c>
      <c r="N963" s="56">
        <f>SUM(N953:N962)</f>
        <v>85245820.109995052</v>
      </c>
      <c r="O963" s="57">
        <f>IFERROR(M963/L963,0)</f>
        <v>0.53795408534223166</v>
      </c>
      <c r="P963" s="57">
        <f>IFERROR(N963/M963,0)</f>
        <v>0.67629985038534224</v>
      </c>
      <c r="Q963" s="57">
        <f>IFERROR(1-(M963/L963),0)</f>
        <v>0.46204591465776834</v>
      </c>
      <c r="R963" s="59">
        <f>IFERROR(N963/K963,0)</f>
        <v>71.46800391185576</v>
      </c>
    </row>
    <row r="964" spans="2:18" ht="15.75" thickBot="1" x14ac:dyDescent="0.3">
      <c r="B964" s="60"/>
      <c r="C964" s="64"/>
      <c r="D964" s="62" t="s">
        <v>231</v>
      </c>
      <c r="E964" s="61"/>
      <c r="F964" s="61"/>
      <c r="G964" s="61"/>
      <c r="H964" s="61"/>
      <c r="I964" s="61"/>
      <c r="J964" s="61"/>
      <c r="K964" s="63"/>
      <c r="L964" s="63"/>
      <c r="M964" s="63"/>
      <c r="N964" s="63"/>
      <c r="O964" s="63"/>
      <c r="P964" s="63"/>
      <c r="Q964" s="63"/>
      <c r="R964" s="65"/>
    </row>
    <row r="965" spans="2:18" ht="15.75" thickBot="1" x14ac:dyDescent="0.3"/>
    <row r="966" spans="2:18" ht="15.75" x14ac:dyDescent="0.25">
      <c r="B966" s="1"/>
      <c r="C966" s="7" t="s">
        <v>348</v>
      </c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9"/>
    </row>
    <row r="967" spans="2:18" ht="18" x14ac:dyDescent="0.25">
      <c r="B967" s="2"/>
      <c r="C967" s="8" t="s">
        <v>235</v>
      </c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10"/>
    </row>
    <row r="968" spans="2:18" ht="15.75" thickBot="1" x14ac:dyDescent="0.3">
      <c r="B968" s="3"/>
      <c r="C968" s="11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12"/>
    </row>
    <row r="969" spans="2:18" ht="17.25" customHeight="1" thickBot="1" x14ac:dyDescent="0.3">
      <c r="B969" s="14" t="s">
        <v>349</v>
      </c>
      <c r="C969" s="18" t="s">
        <v>350</v>
      </c>
      <c r="D969" s="21" t="s">
        <v>351</v>
      </c>
      <c r="E969" s="23" t="s">
        <v>352</v>
      </c>
      <c r="F969" s="21" t="s">
        <v>353</v>
      </c>
      <c r="G969" s="23" t="s">
        <v>354</v>
      </c>
      <c r="H969" s="23" t="s">
        <v>355</v>
      </c>
      <c r="I969" s="23" t="s">
        <v>356</v>
      </c>
      <c r="J969" s="25" t="s">
        <v>357</v>
      </c>
      <c r="K969" s="25" t="s">
        <v>358</v>
      </c>
      <c r="L969" s="30" t="s">
        <v>359</v>
      </c>
      <c r="M969" s="30" t="s">
        <v>360</v>
      </c>
      <c r="N969" s="30" t="s">
        <v>361</v>
      </c>
      <c r="O969" s="33" t="s">
        <v>362</v>
      </c>
      <c r="P969" s="33" t="s">
        <v>363</v>
      </c>
      <c r="Q969" s="33" t="s">
        <v>364</v>
      </c>
      <c r="R969" s="35" t="s">
        <v>365</v>
      </c>
    </row>
    <row r="970" spans="2:18" ht="12.75" customHeight="1" x14ac:dyDescent="0.25">
      <c r="B970" s="17" t="s">
        <v>0</v>
      </c>
      <c r="C970" s="43" t="s">
        <v>18</v>
      </c>
      <c r="D970" s="37" t="s">
        <v>2</v>
      </c>
      <c r="E970" s="36">
        <v>1</v>
      </c>
      <c r="F970" s="38" t="s">
        <v>232</v>
      </c>
      <c r="G970" s="38" t="s">
        <v>233</v>
      </c>
      <c r="H970" s="38" t="s">
        <v>234</v>
      </c>
      <c r="I970" s="38" t="s">
        <v>235</v>
      </c>
      <c r="J970" s="39" t="s">
        <v>19</v>
      </c>
      <c r="K970" s="40">
        <v>1366412</v>
      </c>
      <c r="L970" s="41">
        <v>652740321.65003037</v>
      </c>
      <c r="M970" s="41">
        <v>81337588.490005583</v>
      </c>
      <c r="N970" s="41">
        <v>62099828.109996699</v>
      </c>
      <c r="O970" s="42">
        <f t="shared" ref="O970:O1001" si="136">IFERROR(M970/L970,0)</f>
        <v>0.12460941325701508</v>
      </c>
      <c r="P970" s="42">
        <f t="shared" ref="P970:P1001" si="137">IFERROR(N970/M970,0)</f>
        <v>0.763482533264768</v>
      </c>
      <c r="Q970" s="42">
        <f t="shared" ref="Q970:Q1001" si="138">IFERROR(1-(M970/L970),0)</f>
        <v>0.87539058674298498</v>
      </c>
      <c r="R970" s="45">
        <f t="shared" ref="R970:R1001" si="139">IFERROR(N970/K970,0)</f>
        <v>45.447367346010353</v>
      </c>
    </row>
    <row r="971" spans="2:18" ht="12.75" customHeight="1" x14ac:dyDescent="0.25">
      <c r="B971" s="17" t="s">
        <v>0</v>
      </c>
      <c r="C971" s="44" t="s">
        <v>18</v>
      </c>
      <c r="D971" s="22" t="s">
        <v>9</v>
      </c>
      <c r="E971" s="20">
        <v>2</v>
      </c>
      <c r="F971" s="17" t="s">
        <v>232</v>
      </c>
      <c r="G971" s="17" t="s">
        <v>233</v>
      </c>
      <c r="H971" s="17" t="s">
        <v>234</v>
      </c>
      <c r="I971" s="17" t="s">
        <v>235</v>
      </c>
      <c r="J971" s="27" t="s">
        <v>19</v>
      </c>
      <c r="K971" s="29">
        <v>189843</v>
      </c>
      <c r="L971" s="31">
        <v>109434471.4500493</v>
      </c>
      <c r="M971" s="31">
        <v>20459579.290005945</v>
      </c>
      <c r="N971" s="31">
        <v>15578669.909998214</v>
      </c>
      <c r="O971" s="34">
        <f t="shared" si="136"/>
        <v>0.18695735465167934</v>
      </c>
      <c r="P971" s="34">
        <f t="shared" si="137"/>
        <v>0.76143647379924628</v>
      </c>
      <c r="Q971" s="34">
        <f t="shared" si="138"/>
        <v>0.8130426453483206</v>
      </c>
      <c r="R971" s="46">
        <f t="shared" si="139"/>
        <v>82.06080766737891</v>
      </c>
    </row>
    <row r="972" spans="2:18" ht="12.75" customHeight="1" x14ac:dyDescent="0.25">
      <c r="B972" s="17" t="s">
        <v>0</v>
      </c>
      <c r="C972" s="44" t="s">
        <v>236</v>
      </c>
      <c r="D972" s="22" t="s">
        <v>9</v>
      </c>
      <c r="E972" s="20">
        <v>2</v>
      </c>
      <c r="F972" s="17" t="s">
        <v>232</v>
      </c>
      <c r="G972" s="17" t="s">
        <v>233</v>
      </c>
      <c r="H972" s="17" t="s">
        <v>234</v>
      </c>
      <c r="I972" s="17" t="s">
        <v>235</v>
      </c>
      <c r="J972" s="27" t="s">
        <v>237</v>
      </c>
      <c r="K972" s="29">
        <v>84289</v>
      </c>
      <c r="L972" s="31">
        <v>145707731.18997639</v>
      </c>
      <c r="M972" s="31">
        <v>14233854.560003491</v>
      </c>
      <c r="N972" s="31">
        <v>10746612.369997978</v>
      </c>
      <c r="O972" s="34">
        <f t="shared" si="136"/>
        <v>9.7687709799318276E-2</v>
      </c>
      <c r="P972" s="34">
        <f t="shared" si="137"/>
        <v>0.75500366571086719</v>
      </c>
      <c r="Q972" s="34">
        <f t="shared" si="138"/>
        <v>0.90231229020068171</v>
      </c>
      <c r="R972" s="46">
        <f t="shared" si="139"/>
        <v>127.49721043075583</v>
      </c>
    </row>
    <row r="973" spans="2:18" ht="12.75" customHeight="1" x14ac:dyDescent="0.25">
      <c r="B973" s="17" t="s">
        <v>0</v>
      </c>
      <c r="C973" s="44" t="s">
        <v>26</v>
      </c>
      <c r="D973" s="22" t="s">
        <v>2</v>
      </c>
      <c r="E973" s="20">
        <v>1</v>
      </c>
      <c r="F973" s="17" t="s">
        <v>232</v>
      </c>
      <c r="G973" s="17" t="s">
        <v>233</v>
      </c>
      <c r="H973" s="17" t="s">
        <v>234</v>
      </c>
      <c r="I973" s="17" t="s">
        <v>235</v>
      </c>
      <c r="J973" s="27" t="s">
        <v>27</v>
      </c>
      <c r="K973" s="29">
        <v>48843</v>
      </c>
      <c r="L973" s="31">
        <v>22837101.219973706</v>
      </c>
      <c r="M973" s="31">
        <v>3050590.0899997456</v>
      </c>
      <c r="N973" s="31">
        <v>2334130.4199985866</v>
      </c>
      <c r="O973" s="34">
        <f t="shared" si="136"/>
        <v>0.13358044265844254</v>
      </c>
      <c r="P973" s="34">
        <f t="shared" si="137"/>
        <v>0.7651406289065803</v>
      </c>
      <c r="Q973" s="34">
        <f t="shared" si="138"/>
        <v>0.8664195573415574</v>
      </c>
      <c r="R973" s="46">
        <f t="shared" si="139"/>
        <v>47.788432733423143</v>
      </c>
    </row>
    <row r="974" spans="2:18" ht="12.75" customHeight="1" x14ac:dyDescent="0.25">
      <c r="B974" s="17" t="s">
        <v>0</v>
      </c>
      <c r="C974" s="44" t="s">
        <v>145</v>
      </c>
      <c r="D974" s="22" t="s">
        <v>9</v>
      </c>
      <c r="E974" s="20">
        <v>2</v>
      </c>
      <c r="F974" s="17" t="s">
        <v>232</v>
      </c>
      <c r="G974" s="17" t="s">
        <v>233</v>
      </c>
      <c r="H974" s="17" t="s">
        <v>234</v>
      </c>
      <c r="I974" s="17" t="s">
        <v>235</v>
      </c>
      <c r="J974" s="27" t="s">
        <v>146</v>
      </c>
      <c r="K974" s="29">
        <v>17100</v>
      </c>
      <c r="L974" s="31">
        <v>14294455.810000228</v>
      </c>
      <c r="M974" s="31">
        <v>2190553.5999997947</v>
      </c>
      <c r="N974" s="31">
        <v>1635035.9400009722</v>
      </c>
      <c r="O974" s="34">
        <f t="shared" si="136"/>
        <v>0.15324498036975356</v>
      </c>
      <c r="P974" s="34">
        <f t="shared" si="137"/>
        <v>0.74640307363450287</v>
      </c>
      <c r="Q974" s="34">
        <f t="shared" si="138"/>
        <v>0.84675501963024646</v>
      </c>
      <c r="R974" s="46">
        <f t="shared" si="139"/>
        <v>95.616136842162121</v>
      </c>
    </row>
    <row r="975" spans="2:18" ht="12.75" customHeight="1" x14ac:dyDescent="0.25">
      <c r="B975" s="17" t="s">
        <v>0</v>
      </c>
      <c r="C975" s="44" t="s">
        <v>157</v>
      </c>
      <c r="D975" s="22" t="s">
        <v>9</v>
      </c>
      <c r="E975" s="20">
        <v>2</v>
      </c>
      <c r="F975" s="17" t="s">
        <v>232</v>
      </c>
      <c r="G975" s="17" t="s">
        <v>233</v>
      </c>
      <c r="H975" s="17" t="s">
        <v>234</v>
      </c>
      <c r="I975" s="17" t="s">
        <v>235</v>
      </c>
      <c r="J975" s="27" t="s">
        <v>158</v>
      </c>
      <c r="K975" s="29">
        <v>10771</v>
      </c>
      <c r="L975" s="31">
        <v>8993771.4100004788</v>
      </c>
      <c r="M975" s="31">
        <v>1286183.4300012931</v>
      </c>
      <c r="N975" s="31">
        <v>957287.51999972598</v>
      </c>
      <c r="O975" s="34">
        <f t="shared" si="136"/>
        <v>0.14300824107794669</v>
      </c>
      <c r="P975" s="34">
        <f t="shared" si="137"/>
        <v>0.74428537770756664</v>
      </c>
      <c r="Q975" s="34">
        <f t="shared" si="138"/>
        <v>0.85699175892205326</v>
      </c>
      <c r="R975" s="46">
        <f t="shared" si="139"/>
        <v>88.876382879929992</v>
      </c>
    </row>
    <row r="976" spans="2:18" ht="12.75" customHeight="1" x14ac:dyDescent="0.25">
      <c r="B976" s="17" t="s">
        <v>0</v>
      </c>
      <c r="C976" s="44" t="s">
        <v>170</v>
      </c>
      <c r="D976" s="22" t="s">
        <v>9</v>
      </c>
      <c r="E976" s="20">
        <v>2</v>
      </c>
      <c r="F976" s="17" t="s">
        <v>232</v>
      </c>
      <c r="G976" s="17" t="s">
        <v>233</v>
      </c>
      <c r="H976" s="17" t="s">
        <v>234</v>
      </c>
      <c r="I976" s="17" t="s">
        <v>235</v>
      </c>
      <c r="J976" s="27" t="s">
        <v>171</v>
      </c>
      <c r="K976" s="29">
        <v>8314</v>
      </c>
      <c r="L976" s="31">
        <v>3962663.4999992093</v>
      </c>
      <c r="M976" s="31">
        <v>1028197.519997468</v>
      </c>
      <c r="N976" s="31">
        <v>787309.92000234942</v>
      </c>
      <c r="O976" s="34">
        <f t="shared" si="136"/>
        <v>0.25947131771286486</v>
      </c>
      <c r="P976" s="34">
        <f t="shared" si="137"/>
        <v>0.76571855571513947</v>
      </c>
      <c r="Q976" s="34">
        <f t="shared" si="138"/>
        <v>0.74052868228713509</v>
      </c>
      <c r="R976" s="46">
        <f t="shared" si="139"/>
        <v>94.69688717853613</v>
      </c>
    </row>
    <row r="977" spans="2:18" ht="12.75" customHeight="1" x14ac:dyDescent="0.25">
      <c r="B977" s="17" t="s">
        <v>0</v>
      </c>
      <c r="C977" s="44" t="s">
        <v>14</v>
      </c>
      <c r="D977" s="22" t="s">
        <v>2</v>
      </c>
      <c r="E977" s="20">
        <v>1</v>
      </c>
      <c r="F977" s="17" t="s">
        <v>232</v>
      </c>
      <c r="G977" s="17" t="s">
        <v>233</v>
      </c>
      <c r="H977" s="17" t="s">
        <v>234</v>
      </c>
      <c r="I977" s="17" t="s">
        <v>235</v>
      </c>
      <c r="J977" s="27" t="s">
        <v>15</v>
      </c>
      <c r="K977" s="29">
        <v>13201</v>
      </c>
      <c r="L977" s="31">
        <v>4960483.5200013239</v>
      </c>
      <c r="M977" s="31">
        <v>987313.95999967412</v>
      </c>
      <c r="N977" s="31">
        <v>754952.45999986713</v>
      </c>
      <c r="O977" s="34">
        <f t="shared" si="136"/>
        <v>0.19903583108757322</v>
      </c>
      <c r="P977" s="34">
        <f t="shared" si="137"/>
        <v>0.76465287698364592</v>
      </c>
      <c r="Q977" s="34">
        <f t="shared" si="138"/>
        <v>0.80096416891242672</v>
      </c>
      <c r="R977" s="46">
        <f t="shared" si="139"/>
        <v>57.189035679105153</v>
      </c>
    </row>
    <row r="978" spans="2:18" ht="12.75" customHeight="1" x14ac:dyDescent="0.25">
      <c r="B978" s="17" t="s">
        <v>0</v>
      </c>
      <c r="C978" s="44" t="s">
        <v>14</v>
      </c>
      <c r="D978" s="22" t="s">
        <v>9</v>
      </c>
      <c r="E978" s="20">
        <v>2</v>
      </c>
      <c r="F978" s="17" t="s">
        <v>232</v>
      </c>
      <c r="G978" s="17" t="s">
        <v>233</v>
      </c>
      <c r="H978" s="17" t="s">
        <v>234</v>
      </c>
      <c r="I978" s="17" t="s">
        <v>235</v>
      </c>
      <c r="J978" s="27" t="s">
        <v>15</v>
      </c>
      <c r="K978" s="29">
        <v>3165</v>
      </c>
      <c r="L978" s="31">
        <v>2451558.5500051486</v>
      </c>
      <c r="M978" s="31">
        <v>621068.13999743981</v>
      </c>
      <c r="N978" s="31">
        <v>478571.81000026094</v>
      </c>
      <c r="O978" s="34">
        <f t="shared" si="136"/>
        <v>0.25333604208479354</v>
      </c>
      <c r="P978" s="34">
        <f t="shared" si="137"/>
        <v>0.77056248611019351</v>
      </c>
      <c r="Q978" s="34">
        <f t="shared" si="138"/>
        <v>0.74666395791520646</v>
      </c>
      <c r="R978" s="46">
        <f t="shared" si="139"/>
        <v>151.20752290687548</v>
      </c>
    </row>
    <row r="979" spans="2:18" ht="12.75" customHeight="1" x14ac:dyDescent="0.25">
      <c r="B979" s="17" t="s">
        <v>0</v>
      </c>
      <c r="C979" s="44" t="s">
        <v>161</v>
      </c>
      <c r="D979" s="22" t="s">
        <v>9</v>
      </c>
      <c r="E979" s="20">
        <v>2</v>
      </c>
      <c r="F979" s="17" t="s">
        <v>232</v>
      </c>
      <c r="G979" s="17" t="s">
        <v>233</v>
      </c>
      <c r="H979" s="17" t="s">
        <v>234</v>
      </c>
      <c r="I979" s="17" t="s">
        <v>235</v>
      </c>
      <c r="J979" s="27" t="s">
        <v>162</v>
      </c>
      <c r="K979" s="29">
        <v>4451</v>
      </c>
      <c r="L979" s="31">
        <v>3805481.7399999998</v>
      </c>
      <c r="M979" s="31">
        <v>631732.03999825893</v>
      </c>
      <c r="N979" s="31">
        <v>475192.99999889603</v>
      </c>
      <c r="O979" s="34">
        <f t="shared" si="136"/>
        <v>0.16600579983291655</v>
      </c>
      <c r="P979" s="34">
        <f t="shared" si="137"/>
        <v>0.75220658429831366</v>
      </c>
      <c r="Q979" s="34">
        <f t="shared" si="138"/>
        <v>0.83399420016708348</v>
      </c>
      <c r="R979" s="46">
        <f t="shared" si="139"/>
        <v>106.76095259467446</v>
      </c>
    </row>
    <row r="980" spans="2:18" ht="12.75" customHeight="1" x14ac:dyDescent="0.25">
      <c r="B980" s="17" t="s">
        <v>0</v>
      </c>
      <c r="C980" s="44" t="s">
        <v>30</v>
      </c>
      <c r="D980" s="22" t="s">
        <v>9</v>
      </c>
      <c r="E980" s="20">
        <v>2</v>
      </c>
      <c r="F980" s="17" t="s">
        <v>232</v>
      </c>
      <c r="G980" s="17" t="s">
        <v>233</v>
      </c>
      <c r="H980" s="17" t="s">
        <v>234</v>
      </c>
      <c r="I980" s="17" t="s">
        <v>235</v>
      </c>
      <c r="J980" s="27" t="s">
        <v>31</v>
      </c>
      <c r="K980" s="29">
        <v>2925</v>
      </c>
      <c r="L980" s="31">
        <v>2471587.03999996</v>
      </c>
      <c r="M980" s="31">
        <v>504278.45999852795</v>
      </c>
      <c r="N980" s="31">
        <v>380703.42000034696</v>
      </c>
      <c r="O980" s="34">
        <f t="shared" si="136"/>
        <v>0.20403022504865381</v>
      </c>
      <c r="P980" s="34">
        <f t="shared" si="137"/>
        <v>0.75494682045602002</v>
      </c>
      <c r="Q980" s="34">
        <f t="shared" si="138"/>
        <v>0.79596977495134613</v>
      </c>
      <c r="R980" s="46">
        <f t="shared" si="139"/>
        <v>130.15501538473401</v>
      </c>
    </row>
    <row r="981" spans="2:18" ht="12.75" customHeight="1" x14ac:dyDescent="0.25">
      <c r="B981" s="17" t="s">
        <v>0</v>
      </c>
      <c r="C981" s="44" t="s">
        <v>56</v>
      </c>
      <c r="D981" s="22" t="s">
        <v>9</v>
      </c>
      <c r="E981" s="20">
        <v>2</v>
      </c>
      <c r="F981" s="17" t="s">
        <v>232</v>
      </c>
      <c r="G981" s="17" t="s">
        <v>233</v>
      </c>
      <c r="H981" s="17" t="s">
        <v>234</v>
      </c>
      <c r="I981" s="17" t="s">
        <v>235</v>
      </c>
      <c r="J981" s="27" t="s">
        <v>57</v>
      </c>
      <c r="K981" s="29">
        <v>2795</v>
      </c>
      <c r="L981" s="31">
        <v>1467250.7599998598</v>
      </c>
      <c r="M981" s="31">
        <v>490439.30999925098</v>
      </c>
      <c r="N981" s="31">
        <v>364859.47999948199</v>
      </c>
      <c r="O981" s="34">
        <f t="shared" si="136"/>
        <v>0.33425732217667947</v>
      </c>
      <c r="P981" s="34">
        <f t="shared" si="137"/>
        <v>0.74394419974214387</v>
      </c>
      <c r="Q981" s="34">
        <f t="shared" si="138"/>
        <v>0.66574267782332053</v>
      </c>
      <c r="R981" s="46">
        <f t="shared" si="139"/>
        <v>130.54006440053024</v>
      </c>
    </row>
    <row r="982" spans="2:18" ht="12.75" customHeight="1" x14ac:dyDescent="0.25">
      <c r="B982" s="17" t="s">
        <v>0</v>
      </c>
      <c r="C982" s="44" t="s">
        <v>26</v>
      </c>
      <c r="D982" s="22" t="s">
        <v>9</v>
      </c>
      <c r="E982" s="20">
        <v>2</v>
      </c>
      <c r="F982" s="17" t="s">
        <v>232</v>
      </c>
      <c r="G982" s="17" t="s">
        <v>233</v>
      </c>
      <c r="H982" s="17" t="s">
        <v>234</v>
      </c>
      <c r="I982" s="17" t="s">
        <v>235</v>
      </c>
      <c r="J982" s="27" t="s">
        <v>27</v>
      </c>
      <c r="K982" s="29">
        <v>4491</v>
      </c>
      <c r="L982" s="31">
        <v>1747823.0699997991</v>
      </c>
      <c r="M982" s="31">
        <v>373159.51999967819</v>
      </c>
      <c r="N982" s="31">
        <v>286286.12000047637</v>
      </c>
      <c r="O982" s="34">
        <f t="shared" si="136"/>
        <v>0.21349959638633279</v>
      </c>
      <c r="P982" s="34">
        <f t="shared" si="137"/>
        <v>0.76719500550521469</v>
      </c>
      <c r="Q982" s="34">
        <f t="shared" si="138"/>
        <v>0.78650040361366724</v>
      </c>
      <c r="R982" s="46">
        <f t="shared" si="139"/>
        <v>63.746631039963567</v>
      </c>
    </row>
    <row r="983" spans="2:18" ht="12.75" customHeight="1" x14ac:dyDescent="0.25">
      <c r="B983" s="17" t="s">
        <v>0</v>
      </c>
      <c r="C983" s="44" t="s">
        <v>12</v>
      </c>
      <c r="D983" s="22" t="s">
        <v>9</v>
      </c>
      <c r="E983" s="20">
        <v>2</v>
      </c>
      <c r="F983" s="17" t="s">
        <v>232</v>
      </c>
      <c r="G983" s="17" t="s">
        <v>233</v>
      </c>
      <c r="H983" s="17" t="s">
        <v>234</v>
      </c>
      <c r="I983" s="17" t="s">
        <v>235</v>
      </c>
      <c r="J983" s="27" t="s">
        <v>13</v>
      </c>
      <c r="K983" s="29">
        <v>1184</v>
      </c>
      <c r="L983" s="31">
        <v>884218.4800024298</v>
      </c>
      <c r="M983" s="31">
        <v>333539.69999983389</v>
      </c>
      <c r="N983" s="31">
        <v>260308.95999947996</v>
      </c>
      <c r="O983" s="34">
        <f t="shared" si="136"/>
        <v>0.37721412472505361</v>
      </c>
      <c r="P983" s="34">
        <f t="shared" si="137"/>
        <v>0.78044370729963963</v>
      </c>
      <c r="Q983" s="34">
        <f t="shared" si="138"/>
        <v>0.62278587527494644</v>
      </c>
      <c r="R983" s="46">
        <f t="shared" si="139"/>
        <v>219.85554054010132</v>
      </c>
    </row>
    <row r="984" spans="2:18" ht="12.75" customHeight="1" x14ac:dyDescent="0.25">
      <c r="B984" s="17" t="s">
        <v>0</v>
      </c>
      <c r="C984" s="44" t="s">
        <v>44</v>
      </c>
      <c r="D984" s="22" t="s">
        <v>9</v>
      </c>
      <c r="E984" s="20">
        <v>2</v>
      </c>
      <c r="F984" s="17" t="s">
        <v>232</v>
      </c>
      <c r="G984" s="17" t="s">
        <v>233</v>
      </c>
      <c r="H984" s="17" t="s">
        <v>234</v>
      </c>
      <c r="I984" s="17" t="s">
        <v>235</v>
      </c>
      <c r="J984" s="27" t="s">
        <v>45</v>
      </c>
      <c r="K984" s="29">
        <v>1746</v>
      </c>
      <c r="L984" s="31">
        <v>578571.69000086002</v>
      </c>
      <c r="M984" s="31">
        <v>147597.819999762</v>
      </c>
      <c r="N984" s="31">
        <v>110692.65999981301</v>
      </c>
      <c r="O984" s="34">
        <f t="shared" si="136"/>
        <v>0.25510722793841262</v>
      </c>
      <c r="P984" s="34">
        <f t="shared" si="137"/>
        <v>0.74996134766754352</v>
      </c>
      <c r="Q984" s="34">
        <f t="shared" si="138"/>
        <v>0.74489277206158744</v>
      </c>
      <c r="R984" s="46">
        <f t="shared" si="139"/>
        <v>63.397857960946745</v>
      </c>
    </row>
    <row r="985" spans="2:18" ht="12.75" customHeight="1" x14ac:dyDescent="0.25">
      <c r="B985" s="17" t="s">
        <v>0</v>
      </c>
      <c r="C985" s="44" t="s">
        <v>12</v>
      </c>
      <c r="D985" s="22" t="s">
        <v>2</v>
      </c>
      <c r="E985" s="20">
        <v>1</v>
      </c>
      <c r="F985" s="17" t="s">
        <v>232</v>
      </c>
      <c r="G985" s="17" t="s">
        <v>233</v>
      </c>
      <c r="H985" s="17" t="s">
        <v>234</v>
      </c>
      <c r="I985" s="17" t="s">
        <v>235</v>
      </c>
      <c r="J985" s="27" t="s">
        <v>13</v>
      </c>
      <c r="K985" s="29">
        <v>2021</v>
      </c>
      <c r="L985" s="31">
        <v>509382.07999914797</v>
      </c>
      <c r="M985" s="31">
        <v>135448.92000023747</v>
      </c>
      <c r="N985" s="31">
        <v>104233.40999994241</v>
      </c>
      <c r="O985" s="34">
        <f t="shared" si="136"/>
        <v>0.26590829422280426</v>
      </c>
      <c r="P985" s="34">
        <f t="shared" si="137"/>
        <v>0.76954035513726993</v>
      </c>
      <c r="Q985" s="34">
        <f t="shared" si="138"/>
        <v>0.73409170577719574</v>
      </c>
      <c r="R985" s="46">
        <f t="shared" si="139"/>
        <v>51.575165759496493</v>
      </c>
    </row>
    <row r="986" spans="2:18" ht="12.75" customHeight="1" x14ac:dyDescent="0.25">
      <c r="B986" s="17" t="s">
        <v>0</v>
      </c>
      <c r="C986" s="44" t="s">
        <v>54</v>
      </c>
      <c r="D986" s="22" t="s">
        <v>9</v>
      </c>
      <c r="E986" s="20">
        <v>2</v>
      </c>
      <c r="F986" s="17" t="s">
        <v>232</v>
      </c>
      <c r="G986" s="17" t="s">
        <v>233</v>
      </c>
      <c r="H986" s="17" t="s">
        <v>234</v>
      </c>
      <c r="I986" s="17" t="s">
        <v>235</v>
      </c>
      <c r="J986" s="27" t="s">
        <v>55</v>
      </c>
      <c r="K986" s="29">
        <v>985</v>
      </c>
      <c r="L986" s="31">
        <v>590600.96999970998</v>
      </c>
      <c r="M986" s="31">
        <v>131966.67000031201</v>
      </c>
      <c r="N986" s="31">
        <v>99914.730000157011</v>
      </c>
      <c r="O986" s="34">
        <f t="shared" si="136"/>
        <v>0.22344472275481839</v>
      </c>
      <c r="P986" s="34">
        <f t="shared" si="137"/>
        <v>0.75712094576547839</v>
      </c>
      <c r="Q986" s="34">
        <f t="shared" si="138"/>
        <v>0.77655527724518159</v>
      </c>
      <c r="R986" s="46">
        <f t="shared" si="139"/>
        <v>101.43627411183454</v>
      </c>
    </row>
    <row r="987" spans="2:18" ht="12.75" customHeight="1" x14ac:dyDescent="0.25">
      <c r="B987" s="17" t="s">
        <v>0</v>
      </c>
      <c r="C987" s="44" t="s">
        <v>66</v>
      </c>
      <c r="D987" s="22" t="s">
        <v>2</v>
      </c>
      <c r="E987" s="20">
        <v>1</v>
      </c>
      <c r="F987" s="17" t="s">
        <v>232</v>
      </c>
      <c r="G987" s="17" t="s">
        <v>233</v>
      </c>
      <c r="H987" s="17" t="s">
        <v>234</v>
      </c>
      <c r="I987" s="17" t="s">
        <v>235</v>
      </c>
      <c r="J987" s="27" t="s">
        <v>67</v>
      </c>
      <c r="K987" s="29">
        <v>2397</v>
      </c>
      <c r="L987" s="31">
        <v>437213.00000068004</v>
      </c>
      <c r="M987" s="31">
        <v>130207.44000029298</v>
      </c>
      <c r="N987" s="31">
        <v>96438.029999949998</v>
      </c>
      <c r="O987" s="34">
        <f t="shared" si="136"/>
        <v>0.29781237062962551</v>
      </c>
      <c r="P987" s="34">
        <f t="shared" si="137"/>
        <v>0.74064915184365043</v>
      </c>
      <c r="Q987" s="34">
        <f t="shared" si="138"/>
        <v>0.70218762937037449</v>
      </c>
      <c r="R987" s="46">
        <f t="shared" si="139"/>
        <v>40.232803504359616</v>
      </c>
    </row>
    <row r="988" spans="2:18" ht="12.75" customHeight="1" x14ac:dyDescent="0.25">
      <c r="B988" s="17" t="s">
        <v>0</v>
      </c>
      <c r="C988" s="44" t="s">
        <v>172</v>
      </c>
      <c r="D988" s="22" t="s">
        <v>9</v>
      </c>
      <c r="E988" s="20">
        <v>2</v>
      </c>
      <c r="F988" s="17" t="s">
        <v>232</v>
      </c>
      <c r="G988" s="17" t="s">
        <v>233</v>
      </c>
      <c r="H988" s="17" t="s">
        <v>234</v>
      </c>
      <c r="I988" s="17" t="s">
        <v>235</v>
      </c>
      <c r="J988" s="27" t="s">
        <v>173</v>
      </c>
      <c r="K988" s="29">
        <v>479</v>
      </c>
      <c r="L988" s="31">
        <v>405514</v>
      </c>
      <c r="M988" s="31">
        <v>65028.619999888986</v>
      </c>
      <c r="N988" s="31">
        <v>49352.250000229003</v>
      </c>
      <c r="O988" s="34">
        <f t="shared" si="136"/>
        <v>0.1603609739734978</v>
      </c>
      <c r="P988" s="34">
        <f t="shared" si="137"/>
        <v>0.75893122136550417</v>
      </c>
      <c r="Q988" s="34">
        <f t="shared" si="138"/>
        <v>0.8396390260265022</v>
      </c>
      <c r="R988" s="46">
        <f t="shared" si="139"/>
        <v>103.03183716122965</v>
      </c>
    </row>
    <row r="989" spans="2:18" ht="12.75" customHeight="1" x14ac:dyDescent="0.25">
      <c r="B989" s="17" t="s">
        <v>0</v>
      </c>
      <c r="C989" s="44" t="s">
        <v>225</v>
      </c>
      <c r="D989" s="22" t="s">
        <v>2</v>
      </c>
      <c r="E989" s="20">
        <v>1</v>
      </c>
      <c r="F989" s="17" t="s">
        <v>232</v>
      </c>
      <c r="G989" s="17" t="s">
        <v>233</v>
      </c>
      <c r="H989" s="17" t="s">
        <v>234</v>
      </c>
      <c r="I989" s="17" t="s">
        <v>235</v>
      </c>
      <c r="J989" s="27" t="s">
        <v>226</v>
      </c>
      <c r="K989" s="29">
        <v>884</v>
      </c>
      <c r="L989" s="31">
        <v>196894.99999963999</v>
      </c>
      <c r="M989" s="31">
        <v>51364.389999982988</v>
      </c>
      <c r="N989" s="31">
        <v>39944.559999917998</v>
      </c>
      <c r="O989" s="34">
        <f t="shared" si="136"/>
        <v>0.26087198760799873</v>
      </c>
      <c r="P989" s="34">
        <f t="shared" si="137"/>
        <v>0.77767028869477917</v>
      </c>
      <c r="Q989" s="34">
        <f t="shared" si="138"/>
        <v>0.73912801239200121</v>
      </c>
      <c r="R989" s="46">
        <f t="shared" si="139"/>
        <v>45.186153846061082</v>
      </c>
    </row>
    <row r="990" spans="2:18" ht="12.75" customHeight="1" x14ac:dyDescent="0.25">
      <c r="B990" s="17" t="s">
        <v>0</v>
      </c>
      <c r="C990" s="44" t="s">
        <v>90</v>
      </c>
      <c r="D990" s="22" t="s">
        <v>9</v>
      </c>
      <c r="E990" s="20">
        <v>2</v>
      </c>
      <c r="F990" s="17" t="s">
        <v>232</v>
      </c>
      <c r="G990" s="17" t="s">
        <v>233</v>
      </c>
      <c r="H990" s="17" t="s">
        <v>234</v>
      </c>
      <c r="I990" s="17" t="s">
        <v>235</v>
      </c>
      <c r="J990" s="27" t="s">
        <v>91</v>
      </c>
      <c r="K990" s="29">
        <v>474</v>
      </c>
      <c r="L990" s="31">
        <v>255008.41999783998</v>
      </c>
      <c r="M990" s="31">
        <v>49965.470000165005</v>
      </c>
      <c r="N990" s="31">
        <v>36831.730000038995</v>
      </c>
      <c r="O990" s="34">
        <f t="shared" si="136"/>
        <v>0.19593654986211134</v>
      </c>
      <c r="P990" s="34">
        <f t="shared" si="137"/>
        <v>0.73714367141782844</v>
      </c>
      <c r="Q990" s="34">
        <f t="shared" si="138"/>
        <v>0.80406345013788871</v>
      </c>
      <c r="R990" s="46">
        <f t="shared" si="139"/>
        <v>77.70407173004007</v>
      </c>
    </row>
    <row r="991" spans="2:18" ht="12.75" customHeight="1" x14ac:dyDescent="0.25">
      <c r="B991" s="17" t="s">
        <v>0</v>
      </c>
      <c r="C991" s="44" t="s">
        <v>30</v>
      </c>
      <c r="D991" s="22" t="s">
        <v>2</v>
      </c>
      <c r="E991" s="20">
        <v>1</v>
      </c>
      <c r="F991" s="17" t="s">
        <v>232</v>
      </c>
      <c r="G991" s="17" t="s">
        <v>233</v>
      </c>
      <c r="H991" s="17" t="s">
        <v>234</v>
      </c>
      <c r="I991" s="17" t="s">
        <v>235</v>
      </c>
      <c r="J991" s="27" t="s">
        <v>31</v>
      </c>
      <c r="K991" s="29">
        <v>656</v>
      </c>
      <c r="L991" s="31">
        <v>636145.39999999397</v>
      </c>
      <c r="M991" s="31">
        <v>40402.119999869807</v>
      </c>
      <c r="N991" s="31">
        <v>31494.949999991903</v>
      </c>
      <c r="O991" s="34">
        <f t="shared" si="136"/>
        <v>6.3510826298311979E-2</v>
      </c>
      <c r="P991" s="34">
        <f t="shared" si="137"/>
        <v>0.7795370638989586</v>
      </c>
      <c r="Q991" s="34">
        <f t="shared" si="138"/>
        <v>0.93648917370168805</v>
      </c>
      <c r="R991" s="46">
        <f t="shared" si="139"/>
        <v>48.010594512182777</v>
      </c>
    </row>
    <row r="992" spans="2:18" ht="12.75" customHeight="1" x14ac:dyDescent="0.25">
      <c r="B992" s="17" t="s">
        <v>0</v>
      </c>
      <c r="C992" s="44" t="s">
        <v>50</v>
      </c>
      <c r="D992" s="22" t="s">
        <v>9</v>
      </c>
      <c r="E992" s="20">
        <v>2</v>
      </c>
      <c r="F992" s="17" t="s">
        <v>232</v>
      </c>
      <c r="G992" s="17" t="s">
        <v>233</v>
      </c>
      <c r="H992" s="17" t="s">
        <v>234</v>
      </c>
      <c r="I992" s="17" t="s">
        <v>235</v>
      </c>
      <c r="J992" s="27" t="s">
        <v>51</v>
      </c>
      <c r="K992" s="29">
        <v>365</v>
      </c>
      <c r="L992" s="31">
        <v>267881.81000061001</v>
      </c>
      <c r="M992" s="31">
        <v>39395.010000139999</v>
      </c>
      <c r="N992" s="31">
        <v>29833.009999794001</v>
      </c>
      <c r="O992" s="34">
        <f t="shared" si="136"/>
        <v>0.1470611610398268</v>
      </c>
      <c r="P992" s="34">
        <f t="shared" si="137"/>
        <v>0.75727890409693976</v>
      </c>
      <c r="Q992" s="34">
        <f t="shared" si="138"/>
        <v>0.8529388389601732</v>
      </c>
      <c r="R992" s="46">
        <f t="shared" si="139"/>
        <v>81.734273972038366</v>
      </c>
    </row>
    <row r="993" spans="2:18" ht="12.75" customHeight="1" x14ac:dyDescent="0.25">
      <c r="B993" s="17" t="s">
        <v>0</v>
      </c>
      <c r="C993" s="44" t="s">
        <v>92</v>
      </c>
      <c r="D993" s="22" t="s">
        <v>9</v>
      </c>
      <c r="E993" s="20">
        <v>2</v>
      </c>
      <c r="F993" s="17" t="s">
        <v>232</v>
      </c>
      <c r="G993" s="17" t="s">
        <v>233</v>
      </c>
      <c r="H993" s="17" t="s">
        <v>234</v>
      </c>
      <c r="I993" s="17" t="s">
        <v>235</v>
      </c>
      <c r="J993" s="27" t="s">
        <v>93</v>
      </c>
      <c r="K993" s="29">
        <v>342</v>
      </c>
      <c r="L993" s="31">
        <v>185664.68000013998</v>
      </c>
      <c r="M993" s="31">
        <v>40679.520000389995</v>
      </c>
      <c r="N993" s="31">
        <v>29554.799999970997</v>
      </c>
      <c r="O993" s="34">
        <f t="shared" si="136"/>
        <v>0.21910209308716835</v>
      </c>
      <c r="P993" s="34">
        <f t="shared" si="137"/>
        <v>0.72652774663240016</v>
      </c>
      <c r="Q993" s="34">
        <f t="shared" si="138"/>
        <v>0.78089790691283167</v>
      </c>
      <c r="R993" s="46">
        <f t="shared" si="139"/>
        <v>86.417543859564319</v>
      </c>
    </row>
    <row r="994" spans="2:18" ht="12.75" customHeight="1" x14ac:dyDescent="0.25">
      <c r="B994" s="17" t="s">
        <v>0</v>
      </c>
      <c r="C994" s="44" t="s">
        <v>7</v>
      </c>
      <c r="D994" s="22" t="s">
        <v>2</v>
      </c>
      <c r="E994" s="20">
        <v>1</v>
      </c>
      <c r="F994" s="17" t="s">
        <v>232</v>
      </c>
      <c r="G994" s="17" t="s">
        <v>233</v>
      </c>
      <c r="H994" s="17" t="s">
        <v>234</v>
      </c>
      <c r="I994" s="17" t="s">
        <v>235</v>
      </c>
      <c r="J994" s="27" t="s">
        <v>8</v>
      </c>
      <c r="K994" s="29">
        <v>925</v>
      </c>
      <c r="L994" s="31">
        <v>306837.36</v>
      </c>
      <c r="M994" s="31">
        <v>35272.900000179703</v>
      </c>
      <c r="N994" s="31">
        <v>28026.789999713099</v>
      </c>
      <c r="O994" s="34">
        <f t="shared" si="136"/>
        <v>0.11495634038886172</v>
      </c>
      <c r="P994" s="34">
        <f t="shared" si="137"/>
        <v>0.79457005235096378</v>
      </c>
      <c r="Q994" s="34">
        <f t="shared" si="138"/>
        <v>0.88504365961113829</v>
      </c>
      <c r="R994" s="46">
        <f t="shared" si="139"/>
        <v>30.29923243212227</v>
      </c>
    </row>
    <row r="995" spans="2:18" ht="12.75" customHeight="1" x14ac:dyDescent="0.25">
      <c r="B995" s="17" t="s">
        <v>0</v>
      </c>
      <c r="C995" s="44" t="s">
        <v>159</v>
      </c>
      <c r="D995" s="22" t="s">
        <v>9</v>
      </c>
      <c r="E995" s="20">
        <v>2</v>
      </c>
      <c r="F995" s="17" t="s">
        <v>232</v>
      </c>
      <c r="G995" s="17" t="s">
        <v>233</v>
      </c>
      <c r="H995" s="17" t="s">
        <v>234</v>
      </c>
      <c r="I995" s="17" t="s">
        <v>235</v>
      </c>
      <c r="J995" s="27" t="s">
        <v>160</v>
      </c>
      <c r="K995" s="29">
        <v>320</v>
      </c>
      <c r="L995" s="31">
        <v>271818</v>
      </c>
      <c r="M995" s="31">
        <v>36397.750000501001</v>
      </c>
      <c r="N995" s="31">
        <v>27805.920000339</v>
      </c>
      <c r="O995" s="34">
        <f t="shared" si="136"/>
        <v>0.13390485545659597</v>
      </c>
      <c r="P995" s="34">
        <f t="shared" si="137"/>
        <v>0.76394612304211829</v>
      </c>
      <c r="Q995" s="34">
        <f t="shared" si="138"/>
        <v>0.86609514454340397</v>
      </c>
      <c r="R995" s="46">
        <f t="shared" si="139"/>
        <v>86.89350000105938</v>
      </c>
    </row>
    <row r="996" spans="2:18" ht="12.75" customHeight="1" x14ac:dyDescent="0.25">
      <c r="B996" s="17" t="s">
        <v>0</v>
      </c>
      <c r="C996" s="44" t="s">
        <v>50</v>
      </c>
      <c r="D996" s="22" t="s">
        <v>2</v>
      </c>
      <c r="E996" s="20">
        <v>1</v>
      </c>
      <c r="F996" s="17" t="s">
        <v>232</v>
      </c>
      <c r="G996" s="17" t="s">
        <v>233</v>
      </c>
      <c r="H996" s="17" t="s">
        <v>234</v>
      </c>
      <c r="I996" s="17" t="s">
        <v>235</v>
      </c>
      <c r="J996" s="27" t="s">
        <v>51</v>
      </c>
      <c r="K996" s="29">
        <v>596</v>
      </c>
      <c r="L996" s="31">
        <v>275319</v>
      </c>
      <c r="M996" s="31">
        <v>34042.289999982997</v>
      </c>
      <c r="N996" s="31">
        <v>26903.579999940001</v>
      </c>
      <c r="O996" s="34">
        <f t="shared" si="136"/>
        <v>0.12364671526477648</v>
      </c>
      <c r="P996" s="34">
        <f t="shared" si="137"/>
        <v>0.7902987724960171</v>
      </c>
      <c r="Q996" s="34">
        <f t="shared" si="138"/>
        <v>0.87635328473522356</v>
      </c>
      <c r="R996" s="46">
        <f t="shared" si="139"/>
        <v>45.14023489922819</v>
      </c>
    </row>
    <row r="997" spans="2:18" ht="12.75" customHeight="1" x14ac:dyDescent="0.25">
      <c r="B997" s="17" t="s">
        <v>0</v>
      </c>
      <c r="C997" s="44" t="s">
        <v>186</v>
      </c>
      <c r="D997" s="22" t="s">
        <v>2</v>
      </c>
      <c r="E997" s="20">
        <v>1</v>
      </c>
      <c r="F997" s="17" t="s">
        <v>232</v>
      </c>
      <c r="G997" s="17" t="s">
        <v>233</v>
      </c>
      <c r="H997" s="17" t="s">
        <v>234</v>
      </c>
      <c r="I997" s="17" t="s">
        <v>235</v>
      </c>
      <c r="J997" s="27" t="s">
        <v>187</v>
      </c>
      <c r="K997" s="29">
        <v>346</v>
      </c>
      <c r="L997" s="31">
        <v>112782.00000017</v>
      </c>
      <c r="M997" s="31">
        <v>32969.090000475</v>
      </c>
      <c r="N997" s="31">
        <v>25732.039999993001</v>
      </c>
      <c r="O997" s="34">
        <f t="shared" si="136"/>
        <v>0.29232581440677863</v>
      </c>
      <c r="P997" s="34">
        <f t="shared" si="137"/>
        <v>0.78048984669040811</v>
      </c>
      <c r="Q997" s="34">
        <f t="shared" si="138"/>
        <v>0.70767418559322137</v>
      </c>
      <c r="R997" s="46">
        <f t="shared" si="139"/>
        <v>74.370057803447978</v>
      </c>
    </row>
    <row r="998" spans="2:18" ht="12.75" customHeight="1" x14ac:dyDescent="0.25">
      <c r="B998" s="17" t="s">
        <v>0</v>
      </c>
      <c r="C998" s="44" t="s">
        <v>46</v>
      </c>
      <c r="D998" s="22" t="s">
        <v>9</v>
      </c>
      <c r="E998" s="20">
        <v>2</v>
      </c>
      <c r="F998" s="17" t="s">
        <v>232</v>
      </c>
      <c r="G998" s="17" t="s">
        <v>233</v>
      </c>
      <c r="H998" s="17" t="s">
        <v>234</v>
      </c>
      <c r="I998" s="17" t="s">
        <v>235</v>
      </c>
      <c r="J998" s="27" t="s">
        <v>47</v>
      </c>
      <c r="K998" s="29">
        <v>315</v>
      </c>
      <c r="L998" s="31">
        <v>142889.51000020001</v>
      </c>
      <c r="M998" s="31">
        <v>31657.38000003</v>
      </c>
      <c r="N998" s="31">
        <v>23488.570000006999</v>
      </c>
      <c r="O998" s="34">
        <f t="shared" si="136"/>
        <v>0.22155146308490867</v>
      </c>
      <c r="P998" s="34">
        <f t="shared" si="137"/>
        <v>0.74196190588054789</v>
      </c>
      <c r="Q998" s="34">
        <f t="shared" si="138"/>
        <v>0.7784485369150913</v>
      </c>
      <c r="R998" s="46">
        <f t="shared" si="139"/>
        <v>74.566888888911109</v>
      </c>
    </row>
    <row r="999" spans="2:18" ht="12.75" customHeight="1" x14ac:dyDescent="0.25">
      <c r="B999" s="17" t="s">
        <v>0</v>
      </c>
      <c r="C999" s="44" t="s">
        <v>44</v>
      </c>
      <c r="D999" s="22" t="s">
        <v>2</v>
      </c>
      <c r="E999" s="20">
        <v>1</v>
      </c>
      <c r="F999" s="17" t="s">
        <v>232</v>
      </c>
      <c r="G999" s="17" t="s">
        <v>233</v>
      </c>
      <c r="H999" s="17" t="s">
        <v>234</v>
      </c>
      <c r="I999" s="17" t="s">
        <v>235</v>
      </c>
      <c r="J999" s="27" t="s">
        <v>45</v>
      </c>
      <c r="K999" s="29">
        <v>334</v>
      </c>
      <c r="L999" s="31">
        <v>95416.990000099991</v>
      </c>
      <c r="M999" s="31">
        <v>18424.669999968002</v>
      </c>
      <c r="N999" s="31">
        <v>14696.909999960999</v>
      </c>
      <c r="O999" s="34">
        <f t="shared" si="136"/>
        <v>0.19309632383026015</v>
      </c>
      <c r="P999" s="34">
        <f t="shared" si="137"/>
        <v>0.7976756164417883</v>
      </c>
      <c r="Q999" s="34">
        <f t="shared" si="138"/>
        <v>0.8069036761697399</v>
      </c>
      <c r="R999" s="46">
        <f t="shared" si="139"/>
        <v>44.002724550781437</v>
      </c>
    </row>
    <row r="1000" spans="2:18" ht="12.75" customHeight="1" x14ac:dyDescent="0.25">
      <c r="B1000" s="17" t="s">
        <v>0</v>
      </c>
      <c r="C1000" s="44" t="s">
        <v>28</v>
      </c>
      <c r="D1000" s="22" t="s">
        <v>9</v>
      </c>
      <c r="E1000" s="20">
        <v>2</v>
      </c>
      <c r="F1000" s="17" t="s">
        <v>232</v>
      </c>
      <c r="G1000" s="17" t="s">
        <v>233</v>
      </c>
      <c r="H1000" s="17" t="s">
        <v>234</v>
      </c>
      <c r="I1000" s="17" t="s">
        <v>235</v>
      </c>
      <c r="J1000" s="27" t="s">
        <v>29</v>
      </c>
      <c r="K1000" s="29">
        <v>162</v>
      </c>
      <c r="L1000" s="31">
        <v>233786</v>
      </c>
      <c r="M1000" s="31">
        <v>20299.039999847002</v>
      </c>
      <c r="N1000" s="31">
        <v>14363.879999946999</v>
      </c>
      <c r="O1000" s="34">
        <f t="shared" si="136"/>
        <v>8.6827440479100557E-2</v>
      </c>
      <c r="P1000" s="34">
        <f t="shared" si="137"/>
        <v>0.70761375907704316</v>
      </c>
      <c r="Q1000" s="34">
        <f t="shared" si="138"/>
        <v>0.91317255952089949</v>
      </c>
      <c r="R1000" s="46">
        <f t="shared" si="139"/>
        <v>88.665925925598756</v>
      </c>
    </row>
    <row r="1001" spans="2:18" ht="12.75" customHeight="1" x14ac:dyDescent="0.25">
      <c r="B1001" s="17" t="s">
        <v>0</v>
      </c>
      <c r="C1001" s="44" t="s">
        <v>54</v>
      </c>
      <c r="D1001" s="22" t="s">
        <v>2</v>
      </c>
      <c r="E1001" s="20">
        <v>1</v>
      </c>
      <c r="F1001" s="17" t="s">
        <v>232</v>
      </c>
      <c r="G1001" s="17" t="s">
        <v>233</v>
      </c>
      <c r="H1001" s="17" t="s">
        <v>234</v>
      </c>
      <c r="I1001" s="17" t="s">
        <v>235</v>
      </c>
      <c r="J1001" s="27" t="s">
        <v>55</v>
      </c>
      <c r="K1001" s="29">
        <v>268</v>
      </c>
      <c r="L1001" s="31">
        <v>153486.25999974</v>
      </c>
      <c r="M1001" s="31">
        <v>18651.120000007002</v>
      </c>
      <c r="N1001" s="31">
        <v>13913.780000017001</v>
      </c>
      <c r="O1001" s="34">
        <f t="shared" si="136"/>
        <v>0.12151654486882797</v>
      </c>
      <c r="P1001" s="34">
        <f t="shared" si="137"/>
        <v>0.74600238484400816</v>
      </c>
      <c r="Q1001" s="34">
        <f t="shared" si="138"/>
        <v>0.87848345513117199</v>
      </c>
      <c r="R1001" s="46">
        <f t="shared" si="139"/>
        <v>51.917089552302244</v>
      </c>
    </row>
    <row r="1002" spans="2:18" ht="12.75" customHeight="1" x14ac:dyDescent="0.25">
      <c r="B1002" s="17" t="s">
        <v>0</v>
      </c>
      <c r="C1002" s="44" t="s">
        <v>66</v>
      </c>
      <c r="D1002" s="22" t="s">
        <v>9</v>
      </c>
      <c r="E1002" s="20">
        <v>2</v>
      </c>
      <c r="F1002" s="17" t="s">
        <v>232</v>
      </c>
      <c r="G1002" s="17" t="s">
        <v>233</v>
      </c>
      <c r="H1002" s="17" t="s">
        <v>234</v>
      </c>
      <c r="I1002" s="17" t="s">
        <v>235</v>
      </c>
      <c r="J1002" s="27" t="s">
        <v>67</v>
      </c>
      <c r="K1002" s="29">
        <v>157</v>
      </c>
      <c r="L1002" s="31">
        <v>90511.000000059998</v>
      </c>
      <c r="M1002" s="31">
        <v>15498.109999945</v>
      </c>
      <c r="N1002" s="31">
        <v>11819.729999919</v>
      </c>
      <c r="O1002" s="34">
        <f t="shared" ref="O1002:O1028" si="140">IFERROR(M1002/L1002,0)</f>
        <v>0.17122902188612132</v>
      </c>
      <c r="P1002" s="34">
        <f t="shared" ref="P1002:P1028" si="141">IFERROR(N1002/M1002,0)</f>
        <v>0.76265622065922534</v>
      </c>
      <c r="Q1002" s="34">
        <f t="shared" ref="Q1002:Q1028" si="142">IFERROR(1-(M1002/L1002),0)</f>
        <v>0.82877097811387868</v>
      </c>
      <c r="R1002" s="46">
        <f t="shared" ref="R1002:R1028" si="143">IFERROR(N1002/K1002,0)</f>
        <v>75.284904458082806</v>
      </c>
    </row>
    <row r="1003" spans="2:18" ht="12.75" customHeight="1" x14ac:dyDescent="0.25">
      <c r="B1003" s="17" t="s">
        <v>0</v>
      </c>
      <c r="C1003" s="44" t="s">
        <v>70</v>
      </c>
      <c r="D1003" s="22" t="s">
        <v>9</v>
      </c>
      <c r="E1003" s="20">
        <v>2</v>
      </c>
      <c r="F1003" s="17" t="s">
        <v>232</v>
      </c>
      <c r="G1003" s="17" t="s">
        <v>233</v>
      </c>
      <c r="H1003" s="17" t="s">
        <v>234</v>
      </c>
      <c r="I1003" s="17" t="s">
        <v>235</v>
      </c>
      <c r="J1003" s="27" t="s">
        <v>71</v>
      </c>
      <c r="K1003" s="29">
        <v>143</v>
      </c>
      <c r="L1003" s="31">
        <v>85248.760000069989</v>
      </c>
      <c r="M1003" s="31">
        <v>16032.060000076001</v>
      </c>
      <c r="N1003" s="31">
        <v>10368.920000053</v>
      </c>
      <c r="O1003" s="34">
        <f t="shared" si="140"/>
        <v>0.18806209028803278</v>
      </c>
      <c r="P1003" s="34">
        <f t="shared" si="141"/>
        <v>0.64676155154133941</v>
      </c>
      <c r="Q1003" s="34">
        <f t="shared" si="142"/>
        <v>0.81193790971196722</v>
      </c>
      <c r="R1003" s="46">
        <f t="shared" si="143"/>
        <v>72.509930070300697</v>
      </c>
    </row>
    <row r="1004" spans="2:18" ht="12.75" customHeight="1" x14ac:dyDescent="0.25">
      <c r="B1004" s="17" t="s">
        <v>0</v>
      </c>
      <c r="C1004" s="44" t="s">
        <v>48</v>
      </c>
      <c r="D1004" s="22" t="s">
        <v>9</v>
      </c>
      <c r="E1004" s="20">
        <v>2</v>
      </c>
      <c r="F1004" s="17" t="s">
        <v>232</v>
      </c>
      <c r="G1004" s="17" t="s">
        <v>233</v>
      </c>
      <c r="H1004" s="17" t="s">
        <v>234</v>
      </c>
      <c r="I1004" s="17" t="s">
        <v>235</v>
      </c>
      <c r="J1004" s="27" t="s">
        <v>49</v>
      </c>
      <c r="K1004" s="29">
        <v>63</v>
      </c>
      <c r="L1004" s="31">
        <v>49736.9</v>
      </c>
      <c r="M1004" s="31">
        <v>14540.200000050001</v>
      </c>
      <c r="N1004" s="31">
        <v>10359.31000003</v>
      </c>
      <c r="O1004" s="34">
        <f t="shared" si="140"/>
        <v>0.29234230521102039</v>
      </c>
      <c r="P1004" s="34">
        <f t="shared" si="141"/>
        <v>0.71245993865245161</v>
      </c>
      <c r="Q1004" s="34">
        <f t="shared" si="142"/>
        <v>0.70765769478897966</v>
      </c>
      <c r="R1004" s="46">
        <f t="shared" si="143"/>
        <v>164.43349206396826</v>
      </c>
    </row>
    <row r="1005" spans="2:18" ht="12.75" customHeight="1" x14ac:dyDescent="0.25">
      <c r="B1005" s="17" t="s">
        <v>0</v>
      </c>
      <c r="C1005" s="44" t="s">
        <v>236</v>
      </c>
      <c r="D1005" s="22" t="s">
        <v>2</v>
      </c>
      <c r="E1005" s="20">
        <v>1</v>
      </c>
      <c r="F1005" s="17" t="s">
        <v>232</v>
      </c>
      <c r="G1005" s="17" t="s">
        <v>233</v>
      </c>
      <c r="H1005" s="17" t="s">
        <v>234</v>
      </c>
      <c r="I1005" s="17" t="s">
        <v>235</v>
      </c>
      <c r="J1005" s="27" t="s">
        <v>237</v>
      </c>
      <c r="K1005" s="29">
        <v>208</v>
      </c>
      <c r="L1005" s="31">
        <v>61029.999999650005</v>
      </c>
      <c r="M1005" s="31">
        <v>11330.479999959</v>
      </c>
      <c r="N1005" s="31">
        <v>8649.6900000370006</v>
      </c>
      <c r="O1005" s="34">
        <f t="shared" si="140"/>
        <v>0.18565426839298668</v>
      </c>
      <c r="P1005" s="34">
        <f t="shared" si="141"/>
        <v>0.76340013839381038</v>
      </c>
      <c r="Q1005" s="34">
        <f t="shared" si="142"/>
        <v>0.81434573160701329</v>
      </c>
      <c r="R1005" s="46">
        <f t="shared" si="143"/>
        <v>41.585048077100964</v>
      </c>
    </row>
    <row r="1006" spans="2:18" ht="12.75" customHeight="1" x14ac:dyDescent="0.25">
      <c r="B1006" s="17" t="s">
        <v>0</v>
      </c>
      <c r="C1006" s="44" t="s">
        <v>36</v>
      </c>
      <c r="D1006" s="22" t="s">
        <v>9</v>
      </c>
      <c r="E1006" s="20">
        <v>2</v>
      </c>
      <c r="F1006" s="17" t="s">
        <v>232</v>
      </c>
      <c r="G1006" s="17" t="s">
        <v>233</v>
      </c>
      <c r="H1006" s="17" t="s">
        <v>234</v>
      </c>
      <c r="I1006" s="17" t="s">
        <v>235</v>
      </c>
      <c r="J1006" s="27" t="s">
        <v>37</v>
      </c>
      <c r="K1006" s="29">
        <v>86</v>
      </c>
      <c r="L1006" s="31">
        <v>57380</v>
      </c>
      <c r="M1006" s="31">
        <v>12308.329999760001</v>
      </c>
      <c r="N1006" s="31">
        <v>8599.0399999100009</v>
      </c>
      <c r="O1006" s="34">
        <f t="shared" si="140"/>
        <v>0.21450557685186478</v>
      </c>
      <c r="P1006" s="34">
        <f t="shared" si="141"/>
        <v>0.69863580193882302</v>
      </c>
      <c r="Q1006" s="34">
        <f t="shared" si="142"/>
        <v>0.78549442314813522</v>
      </c>
      <c r="R1006" s="46">
        <f t="shared" si="143"/>
        <v>99.988837208255831</v>
      </c>
    </row>
    <row r="1007" spans="2:18" ht="12.75" customHeight="1" x14ac:dyDescent="0.25">
      <c r="B1007" s="17" t="s">
        <v>0</v>
      </c>
      <c r="C1007" s="44" t="s">
        <v>32</v>
      </c>
      <c r="D1007" s="22" t="s">
        <v>2</v>
      </c>
      <c r="E1007" s="20">
        <v>1</v>
      </c>
      <c r="F1007" s="17" t="s">
        <v>232</v>
      </c>
      <c r="G1007" s="17" t="s">
        <v>233</v>
      </c>
      <c r="H1007" s="17" t="s">
        <v>234</v>
      </c>
      <c r="I1007" s="17" t="s">
        <v>235</v>
      </c>
      <c r="J1007" s="27" t="s">
        <v>33</v>
      </c>
      <c r="K1007" s="29">
        <v>203</v>
      </c>
      <c r="L1007" s="31">
        <v>115986.00000003001</v>
      </c>
      <c r="M1007" s="31">
        <v>10916.850000063399</v>
      </c>
      <c r="N1007" s="31">
        <v>8422.4900000123998</v>
      </c>
      <c r="O1007" s="34">
        <f t="shared" si="140"/>
        <v>9.4122135430660378E-2</v>
      </c>
      <c r="P1007" s="34">
        <f t="shared" si="141"/>
        <v>0.77151284481910865</v>
      </c>
      <c r="Q1007" s="34">
        <f t="shared" si="142"/>
        <v>0.90587786456933961</v>
      </c>
      <c r="R1007" s="46">
        <f t="shared" si="143"/>
        <v>41.490098522228571</v>
      </c>
    </row>
    <row r="1008" spans="2:18" ht="12.75" customHeight="1" x14ac:dyDescent="0.25">
      <c r="B1008" s="17" t="s">
        <v>0</v>
      </c>
      <c r="C1008" s="44" t="s">
        <v>58</v>
      </c>
      <c r="D1008" s="22" t="s">
        <v>9</v>
      </c>
      <c r="E1008" s="20">
        <v>2</v>
      </c>
      <c r="F1008" s="17" t="s">
        <v>232</v>
      </c>
      <c r="G1008" s="17" t="s">
        <v>233</v>
      </c>
      <c r="H1008" s="17" t="s">
        <v>234</v>
      </c>
      <c r="I1008" s="17" t="s">
        <v>235</v>
      </c>
      <c r="J1008" s="27" t="s">
        <v>59</v>
      </c>
      <c r="K1008" s="29">
        <v>73</v>
      </c>
      <c r="L1008" s="31">
        <v>56420</v>
      </c>
      <c r="M1008" s="31">
        <v>8927.1099999079997</v>
      </c>
      <c r="N1008" s="31">
        <v>6857.3599999100006</v>
      </c>
      <c r="O1008" s="34">
        <f t="shared" si="140"/>
        <v>0.15822598369209501</v>
      </c>
      <c r="P1008" s="34">
        <f t="shared" si="141"/>
        <v>0.7681500507981498</v>
      </c>
      <c r="Q1008" s="34">
        <f t="shared" si="142"/>
        <v>0.84177401630790505</v>
      </c>
      <c r="R1008" s="46">
        <f t="shared" si="143"/>
        <v>93.936438354931511</v>
      </c>
    </row>
    <row r="1009" spans="2:18" ht="12.75" customHeight="1" x14ac:dyDescent="0.25">
      <c r="B1009" s="17" t="s">
        <v>0</v>
      </c>
      <c r="C1009" s="44" t="s">
        <v>110</v>
      </c>
      <c r="D1009" s="22" t="s">
        <v>9</v>
      </c>
      <c r="E1009" s="20">
        <v>2</v>
      </c>
      <c r="F1009" s="17" t="s">
        <v>232</v>
      </c>
      <c r="G1009" s="17" t="s">
        <v>233</v>
      </c>
      <c r="H1009" s="17" t="s">
        <v>234</v>
      </c>
      <c r="I1009" s="17" t="s">
        <v>235</v>
      </c>
      <c r="J1009" s="27" t="s">
        <v>111</v>
      </c>
      <c r="K1009" s="29">
        <v>47</v>
      </c>
      <c r="L1009" s="31">
        <v>29490.99999996</v>
      </c>
      <c r="M1009" s="31">
        <v>6515.9200000199999</v>
      </c>
      <c r="N1009" s="31">
        <v>5173.0600000599998</v>
      </c>
      <c r="O1009" s="34">
        <f t="shared" si="140"/>
        <v>0.22094605133867409</v>
      </c>
      <c r="P1009" s="34">
        <f t="shared" si="141"/>
        <v>0.79391091358459309</v>
      </c>
      <c r="Q1009" s="34">
        <f t="shared" si="142"/>
        <v>0.77905394866132593</v>
      </c>
      <c r="R1009" s="46">
        <f t="shared" si="143"/>
        <v>110.06510638425532</v>
      </c>
    </row>
    <row r="1010" spans="2:18" ht="12.75" customHeight="1" x14ac:dyDescent="0.25">
      <c r="B1010" s="17" t="s">
        <v>0</v>
      </c>
      <c r="C1010" s="44" t="s">
        <v>22</v>
      </c>
      <c r="D1010" s="22" t="s">
        <v>9</v>
      </c>
      <c r="E1010" s="20">
        <v>2</v>
      </c>
      <c r="F1010" s="17" t="s">
        <v>232</v>
      </c>
      <c r="G1010" s="17" t="s">
        <v>233</v>
      </c>
      <c r="H1010" s="17" t="s">
        <v>234</v>
      </c>
      <c r="I1010" s="17" t="s">
        <v>235</v>
      </c>
      <c r="J1010" s="27" t="s">
        <v>23</v>
      </c>
      <c r="K1010" s="29">
        <v>16</v>
      </c>
      <c r="L1010" s="31">
        <v>18608</v>
      </c>
      <c r="M1010" s="31">
        <v>6197.31</v>
      </c>
      <c r="N1010" s="31">
        <v>4859.8599999999997</v>
      </c>
      <c r="O1010" s="34">
        <f t="shared" si="140"/>
        <v>0.33304546431642307</v>
      </c>
      <c r="P1010" s="34">
        <f t="shared" si="141"/>
        <v>0.78418862377386311</v>
      </c>
      <c r="Q1010" s="34">
        <f t="shared" si="142"/>
        <v>0.66695453568357688</v>
      </c>
      <c r="R1010" s="46">
        <f t="shared" si="143"/>
        <v>303.74124999999998</v>
      </c>
    </row>
    <row r="1011" spans="2:18" ht="12.75" customHeight="1" x14ac:dyDescent="0.25">
      <c r="B1011" s="17" t="s">
        <v>0</v>
      </c>
      <c r="C1011" s="44" t="s">
        <v>225</v>
      </c>
      <c r="D1011" s="22" t="s">
        <v>9</v>
      </c>
      <c r="E1011" s="20">
        <v>2</v>
      </c>
      <c r="F1011" s="17" t="s">
        <v>232</v>
      </c>
      <c r="G1011" s="17" t="s">
        <v>233</v>
      </c>
      <c r="H1011" s="17" t="s">
        <v>234</v>
      </c>
      <c r="I1011" s="17" t="s">
        <v>235</v>
      </c>
      <c r="J1011" s="27" t="s">
        <v>226</v>
      </c>
      <c r="K1011" s="29">
        <v>149</v>
      </c>
      <c r="L1011" s="31">
        <v>58263.99999995</v>
      </c>
      <c r="M1011" s="31">
        <v>8103.5400000129994</v>
      </c>
      <c r="N1011" s="31">
        <v>4742.8900000029998</v>
      </c>
      <c r="O1011" s="34">
        <f t="shared" si="140"/>
        <v>0.13908313881676426</v>
      </c>
      <c r="P1011" s="34">
        <f t="shared" si="141"/>
        <v>0.58528618356858753</v>
      </c>
      <c r="Q1011" s="34">
        <f t="shared" si="142"/>
        <v>0.86091686118323574</v>
      </c>
      <c r="R1011" s="46">
        <f t="shared" si="143"/>
        <v>31.831476510087246</v>
      </c>
    </row>
    <row r="1012" spans="2:18" ht="12.75" customHeight="1" x14ac:dyDescent="0.25">
      <c r="B1012" s="17" t="s">
        <v>0</v>
      </c>
      <c r="C1012" s="44" t="s">
        <v>36</v>
      </c>
      <c r="D1012" s="22" t="s">
        <v>2</v>
      </c>
      <c r="E1012" s="20">
        <v>1</v>
      </c>
      <c r="F1012" s="17" t="s">
        <v>232</v>
      </c>
      <c r="G1012" s="17" t="s">
        <v>233</v>
      </c>
      <c r="H1012" s="17" t="s">
        <v>234</v>
      </c>
      <c r="I1012" s="17" t="s">
        <v>235</v>
      </c>
      <c r="J1012" s="27" t="s">
        <v>37</v>
      </c>
      <c r="K1012" s="29">
        <v>39</v>
      </c>
      <c r="L1012" s="31">
        <v>15480.02999985</v>
      </c>
      <c r="M1012" s="31">
        <v>5752.28999982</v>
      </c>
      <c r="N1012" s="31">
        <v>4592.25</v>
      </c>
      <c r="O1012" s="34">
        <f t="shared" si="140"/>
        <v>0.37159424108840483</v>
      </c>
      <c r="P1012" s="34">
        <f t="shared" si="141"/>
        <v>0.79833422865392745</v>
      </c>
      <c r="Q1012" s="34">
        <f t="shared" si="142"/>
        <v>0.62840575891159522</v>
      </c>
      <c r="R1012" s="46">
        <f t="shared" si="143"/>
        <v>117.75</v>
      </c>
    </row>
    <row r="1013" spans="2:18" ht="12.75" customHeight="1" x14ac:dyDescent="0.25">
      <c r="B1013" s="17" t="s">
        <v>0</v>
      </c>
      <c r="C1013" s="44" t="s">
        <v>7</v>
      </c>
      <c r="D1013" s="22" t="s">
        <v>9</v>
      </c>
      <c r="E1013" s="20">
        <v>2</v>
      </c>
      <c r="F1013" s="17" t="s">
        <v>232</v>
      </c>
      <c r="G1013" s="17" t="s">
        <v>233</v>
      </c>
      <c r="H1013" s="17" t="s">
        <v>234</v>
      </c>
      <c r="I1013" s="17" t="s">
        <v>235</v>
      </c>
      <c r="J1013" s="27" t="s">
        <v>8</v>
      </c>
      <c r="K1013" s="29">
        <v>50</v>
      </c>
      <c r="L1013" s="31">
        <v>13585.000000060001</v>
      </c>
      <c r="M1013" s="31">
        <v>4815.3299999880001</v>
      </c>
      <c r="N1013" s="31">
        <v>3785.2099999849997</v>
      </c>
      <c r="O1013" s="34">
        <f t="shared" si="140"/>
        <v>0.35445933014109182</v>
      </c>
      <c r="P1013" s="34">
        <f t="shared" si="141"/>
        <v>0.78607488998561525</v>
      </c>
      <c r="Q1013" s="34">
        <f t="shared" si="142"/>
        <v>0.64554066985890812</v>
      </c>
      <c r="R1013" s="46">
        <f t="shared" si="143"/>
        <v>75.704199999699995</v>
      </c>
    </row>
    <row r="1014" spans="2:18" ht="12.75" customHeight="1" x14ac:dyDescent="0.25">
      <c r="B1014" s="17" t="s">
        <v>0</v>
      </c>
      <c r="C1014" s="44" t="s">
        <v>103</v>
      </c>
      <c r="D1014" s="22" t="s">
        <v>9</v>
      </c>
      <c r="E1014" s="20">
        <v>2</v>
      </c>
      <c r="F1014" s="17" t="s">
        <v>232</v>
      </c>
      <c r="G1014" s="17" t="s">
        <v>233</v>
      </c>
      <c r="H1014" s="17" t="s">
        <v>234</v>
      </c>
      <c r="I1014" s="17" t="s">
        <v>235</v>
      </c>
      <c r="J1014" s="27" t="s">
        <v>104</v>
      </c>
      <c r="K1014" s="29">
        <v>56</v>
      </c>
      <c r="L1014" s="31">
        <v>33600</v>
      </c>
      <c r="M1014" s="31">
        <v>4142.4900000119997</v>
      </c>
      <c r="N1014" s="31">
        <v>2829.059999995</v>
      </c>
      <c r="O1014" s="34">
        <f t="shared" si="140"/>
        <v>0.12328839285749998</v>
      </c>
      <c r="P1014" s="34">
        <f t="shared" si="141"/>
        <v>0.68293707407544857</v>
      </c>
      <c r="Q1014" s="34">
        <f t="shared" si="142"/>
        <v>0.87671160714250007</v>
      </c>
      <c r="R1014" s="46">
        <f t="shared" si="143"/>
        <v>50.518928571339288</v>
      </c>
    </row>
    <row r="1015" spans="2:18" ht="12.75" customHeight="1" x14ac:dyDescent="0.25">
      <c r="B1015" s="17" t="s">
        <v>0</v>
      </c>
      <c r="C1015" s="44" t="s">
        <v>68</v>
      </c>
      <c r="D1015" s="22" t="s">
        <v>9</v>
      </c>
      <c r="E1015" s="20">
        <v>2</v>
      </c>
      <c r="F1015" s="17" t="s">
        <v>232</v>
      </c>
      <c r="G1015" s="17" t="s">
        <v>233</v>
      </c>
      <c r="H1015" s="17" t="s">
        <v>234</v>
      </c>
      <c r="I1015" s="17" t="s">
        <v>235</v>
      </c>
      <c r="J1015" s="27" t="s">
        <v>69</v>
      </c>
      <c r="K1015" s="29">
        <v>57</v>
      </c>
      <c r="L1015" s="31">
        <v>37747.999999499996</v>
      </c>
      <c r="M1015" s="31">
        <v>3619.8099999839997</v>
      </c>
      <c r="N1015" s="31">
        <v>2731.0599999840001</v>
      </c>
      <c r="O1015" s="34">
        <f t="shared" si="140"/>
        <v>9.5894087104798853E-2</v>
      </c>
      <c r="P1015" s="34">
        <f t="shared" si="141"/>
        <v>0.75447606365971476</v>
      </c>
      <c r="Q1015" s="34">
        <f t="shared" si="142"/>
        <v>0.90410591289520115</v>
      </c>
      <c r="R1015" s="46">
        <f t="shared" si="143"/>
        <v>47.913333333052634</v>
      </c>
    </row>
    <row r="1016" spans="2:18" ht="12.75" customHeight="1" x14ac:dyDescent="0.25">
      <c r="B1016" s="17" t="s">
        <v>0</v>
      </c>
      <c r="C1016" s="44" t="s">
        <v>176</v>
      </c>
      <c r="D1016" s="22" t="s">
        <v>9</v>
      </c>
      <c r="E1016" s="20">
        <v>2</v>
      </c>
      <c r="F1016" s="17" t="s">
        <v>232</v>
      </c>
      <c r="G1016" s="17" t="s">
        <v>233</v>
      </c>
      <c r="H1016" s="17" t="s">
        <v>234</v>
      </c>
      <c r="I1016" s="17" t="s">
        <v>235</v>
      </c>
      <c r="J1016" s="27" t="s">
        <v>177</v>
      </c>
      <c r="K1016" s="29">
        <v>22</v>
      </c>
      <c r="L1016" s="31">
        <v>14476</v>
      </c>
      <c r="M1016" s="31">
        <v>2606.26999996</v>
      </c>
      <c r="N1016" s="31">
        <v>1711.680000008</v>
      </c>
      <c r="O1016" s="34">
        <f t="shared" si="140"/>
        <v>0.18004075711246201</v>
      </c>
      <c r="P1016" s="34">
        <f t="shared" si="141"/>
        <v>0.65675467239935625</v>
      </c>
      <c r="Q1016" s="34">
        <f t="shared" si="142"/>
        <v>0.81995924288753796</v>
      </c>
      <c r="R1016" s="46">
        <f t="shared" si="143"/>
        <v>77.803636363999999</v>
      </c>
    </row>
    <row r="1017" spans="2:18" ht="12.75" customHeight="1" x14ac:dyDescent="0.25">
      <c r="B1017" s="17" t="s">
        <v>0</v>
      </c>
      <c r="C1017" s="44" t="s">
        <v>46</v>
      </c>
      <c r="D1017" s="22" t="s">
        <v>2</v>
      </c>
      <c r="E1017" s="20">
        <v>1</v>
      </c>
      <c r="F1017" s="17" t="s">
        <v>232</v>
      </c>
      <c r="G1017" s="17" t="s">
        <v>233</v>
      </c>
      <c r="H1017" s="17" t="s">
        <v>234</v>
      </c>
      <c r="I1017" s="17" t="s">
        <v>235</v>
      </c>
      <c r="J1017" s="27" t="s">
        <v>47</v>
      </c>
      <c r="K1017" s="29">
        <v>35</v>
      </c>
      <c r="L1017" s="31">
        <v>7945</v>
      </c>
      <c r="M1017" s="31">
        <v>2064.610000008</v>
      </c>
      <c r="N1017" s="31">
        <v>1660.01</v>
      </c>
      <c r="O1017" s="34">
        <f t="shared" si="140"/>
        <v>0.25986280679773444</v>
      </c>
      <c r="P1017" s="34">
        <f t="shared" si="141"/>
        <v>0.80403078547210738</v>
      </c>
      <c r="Q1017" s="34">
        <f t="shared" si="142"/>
        <v>0.74013719320226556</v>
      </c>
      <c r="R1017" s="46">
        <f t="shared" si="143"/>
        <v>47.42885714285714</v>
      </c>
    </row>
    <row r="1018" spans="2:18" ht="12.75" customHeight="1" x14ac:dyDescent="0.25">
      <c r="B1018" s="17" t="s">
        <v>0</v>
      </c>
      <c r="C1018" s="44" t="s">
        <v>196</v>
      </c>
      <c r="D1018" s="22" t="s">
        <v>9</v>
      </c>
      <c r="E1018" s="20">
        <v>2</v>
      </c>
      <c r="F1018" s="17" t="s">
        <v>232</v>
      </c>
      <c r="G1018" s="17" t="s">
        <v>233</v>
      </c>
      <c r="H1018" s="17" t="s">
        <v>234</v>
      </c>
      <c r="I1018" s="17" t="s">
        <v>235</v>
      </c>
      <c r="J1018" s="27" t="s">
        <v>197</v>
      </c>
      <c r="K1018" s="29">
        <v>61</v>
      </c>
      <c r="L1018" s="31">
        <v>14685.75</v>
      </c>
      <c r="M1018" s="31">
        <v>2446.409999987</v>
      </c>
      <c r="N1018" s="31">
        <v>1658.8000000029999</v>
      </c>
      <c r="O1018" s="34">
        <f t="shared" si="140"/>
        <v>0.16658393340394601</v>
      </c>
      <c r="P1018" s="34">
        <f t="shared" si="141"/>
        <v>0.67805478231850536</v>
      </c>
      <c r="Q1018" s="34">
        <f t="shared" si="142"/>
        <v>0.83341606659605394</v>
      </c>
      <c r="R1018" s="46">
        <f t="shared" si="143"/>
        <v>27.193442622999999</v>
      </c>
    </row>
    <row r="1019" spans="2:18" ht="12.75" customHeight="1" x14ac:dyDescent="0.25">
      <c r="B1019" s="17" t="s">
        <v>0</v>
      </c>
      <c r="C1019" s="44" t="s">
        <v>20</v>
      </c>
      <c r="D1019" s="22" t="s">
        <v>2</v>
      </c>
      <c r="E1019" s="20">
        <v>1</v>
      </c>
      <c r="F1019" s="17" t="s">
        <v>232</v>
      </c>
      <c r="G1019" s="17" t="s">
        <v>233</v>
      </c>
      <c r="H1019" s="17" t="s">
        <v>234</v>
      </c>
      <c r="I1019" s="17" t="s">
        <v>235</v>
      </c>
      <c r="J1019" s="27" t="s">
        <v>21</v>
      </c>
      <c r="K1019" s="29">
        <v>44</v>
      </c>
      <c r="L1019" s="31">
        <v>6858.7000000000007</v>
      </c>
      <c r="M1019" s="31">
        <v>1956.440000009</v>
      </c>
      <c r="N1019" s="31">
        <v>1528.15</v>
      </c>
      <c r="O1019" s="34">
        <f t="shared" si="140"/>
        <v>0.28524939128537474</v>
      </c>
      <c r="P1019" s="34">
        <f t="shared" si="141"/>
        <v>0.78108707652315956</v>
      </c>
      <c r="Q1019" s="34">
        <f t="shared" si="142"/>
        <v>0.71475060871462526</v>
      </c>
      <c r="R1019" s="46">
        <f t="shared" si="143"/>
        <v>34.730681818181822</v>
      </c>
    </row>
    <row r="1020" spans="2:18" ht="12.75" customHeight="1" x14ac:dyDescent="0.25">
      <c r="B1020" s="17" t="s">
        <v>0</v>
      </c>
      <c r="C1020" s="44" t="s">
        <v>52</v>
      </c>
      <c r="D1020" s="22" t="s">
        <v>2</v>
      </c>
      <c r="E1020" s="20">
        <v>1</v>
      </c>
      <c r="F1020" s="17" t="s">
        <v>232</v>
      </c>
      <c r="G1020" s="17" t="s">
        <v>233</v>
      </c>
      <c r="H1020" s="17" t="s">
        <v>234</v>
      </c>
      <c r="I1020" s="17" t="s">
        <v>235</v>
      </c>
      <c r="J1020" s="27" t="s">
        <v>53</v>
      </c>
      <c r="K1020" s="29">
        <v>147</v>
      </c>
      <c r="L1020" s="31">
        <v>6082.000000004</v>
      </c>
      <c r="M1020" s="31">
        <v>1333.5299999998001</v>
      </c>
      <c r="N1020" s="31">
        <v>1060.6999999989</v>
      </c>
      <c r="O1020" s="34">
        <f t="shared" si="140"/>
        <v>0.21925846760916196</v>
      </c>
      <c r="P1020" s="34">
        <f t="shared" si="141"/>
        <v>0.79540767736688267</v>
      </c>
      <c r="Q1020" s="34">
        <f t="shared" si="142"/>
        <v>0.78074153239083799</v>
      </c>
      <c r="R1020" s="46">
        <f t="shared" si="143"/>
        <v>7.2156462584959185</v>
      </c>
    </row>
    <row r="1021" spans="2:18" ht="12.75" customHeight="1" x14ac:dyDescent="0.25">
      <c r="B1021" s="17" t="s">
        <v>0</v>
      </c>
      <c r="C1021" s="44" t="s">
        <v>56</v>
      </c>
      <c r="D1021" s="22" t="s">
        <v>2</v>
      </c>
      <c r="E1021" s="20">
        <v>1</v>
      </c>
      <c r="F1021" s="17" t="s">
        <v>232</v>
      </c>
      <c r="G1021" s="17" t="s">
        <v>233</v>
      </c>
      <c r="H1021" s="17" t="s">
        <v>234</v>
      </c>
      <c r="I1021" s="17" t="s">
        <v>235</v>
      </c>
      <c r="J1021" s="27" t="s">
        <v>57</v>
      </c>
      <c r="K1021" s="29">
        <v>114</v>
      </c>
      <c r="L1021" s="31">
        <v>13948.780000084998</v>
      </c>
      <c r="M1021" s="31">
        <v>1028.3699999973999</v>
      </c>
      <c r="N1021" s="31">
        <v>787.63000000149998</v>
      </c>
      <c r="O1021" s="34">
        <f t="shared" si="140"/>
        <v>7.3724727179805938E-2</v>
      </c>
      <c r="P1021" s="34">
        <f t="shared" si="141"/>
        <v>0.76590137791212443</v>
      </c>
      <c r="Q1021" s="34">
        <f t="shared" si="142"/>
        <v>0.92627527282019406</v>
      </c>
      <c r="R1021" s="46">
        <f t="shared" si="143"/>
        <v>6.9090350877324562</v>
      </c>
    </row>
    <row r="1022" spans="2:18" ht="12.75" customHeight="1" x14ac:dyDescent="0.25">
      <c r="B1022" s="17" t="s">
        <v>0</v>
      </c>
      <c r="C1022" s="44" t="s">
        <v>38</v>
      </c>
      <c r="D1022" s="22" t="s">
        <v>2</v>
      </c>
      <c r="E1022" s="20">
        <v>1</v>
      </c>
      <c r="F1022" s="17" t="s">
        <v>232</v>
      </c>
      <c r="G1022" s="17" t="s">
        <v>233</v>
      </c>
      <c r="H1022" s="17" t="s">
        <v>234</v>
      </c>
      <c r="I1022" s="17" t="s">
        <v>235</v>
      </c>
      <c r="J1022" s="27" t="s">
        <v>39</v>
      </c>
      <c r="K1022" s="29">
        <v>13</v>
      </c>
      <c r="L1022" s="31">
        <v>11453</v>
      </c>
      <c r="M1022" s="31">
        <v>916.24</v>
      </c>
      <c r="N1022" s="31">
        <v>741.52</v>
      </c>
      <c r="O1022" s="34">
        <f t="shared" si="140"/>
        <v>0.08</v>
      </c>
      <c r="P1022" s="34">
        <f t="shared" si="141"/>
        <v>0.80930760499432464</v>
      </c>
      <c r="Q1022" s="34">
        <f t="shared" si="142"/>
        <v>0.92</v>
      </c>
      <c r="R1022" s="46">
        <f t="shared" si="143"/>
        <v>57.04</v>
      </c>
    </row>
    <row r="1023" spans="2:18" ht="12.75" customHeight="1" x14ac:dyDescent="0.25">
      <c r="B1023" s="17" t="s">
        <v>0</v>
      </c>
      <c r="C1023" s="44" t="s">
        <v>64</v>
      </c>
      <c r="D1023" s="22" t="s">
        <v>9</v>
      </c>
      <c r="E1023" s="20">
        <v>2</v>
      </c>
      <c r="F1023" s="17" t="s">
        <v>232</v>
      </c>
      <c r="G1023" s="17" t="s">
        <v>233</v>
      </c>
      <c r="H1023" s="17" t="s">
        <v>234</v>
      </c>
      <c r="I1023" s="17" t="s">
        <v>235</v>
      </c>
      <c r="J1023" s="27" t="s">
        <v>65</v>
      </c>
      <c r="K1023" s="29">
        <v>18</v>
      </c>
      <c r="L1023" s="31">
        <v>2707.0199999999995</v>
      </c>
      <c r="M1023" s="31">
        <v>935.47000000800006</v>
      </c>
      <c r="N1023" s="31">
        <v>717.49999999800002</v>
      </c>
      <c r="O1023" s="34">
        <f t="shared" si="140"/>
        <v>0.34557188347629503</v>
      </c>
      <c r="P1023" s="34">
        <f t="shared" si="141"/>
        <v>0.76699413128359439</v>
      </c>
      <c r="Q1023" s="34">
        <f t="shared" si="142"/>
        <v>0.65442811652370492</v>
      </c>
      <c r="R1023" s="46">
        <f t="shared" si="143"/>
        <v>39.861111111</v>
      </c>
    </row>
    <row r="1024" spans="2:18" ht="12.75" customHeight="1" x14ac:dyDescent="0.25">
      <c r="B1024" s="17" t="s">
        <v>0</v>
      </c>
      <c r="C1024" s="44" t="s">
        <v>38</v>
      </c>
      <c r="D1024" s="22" t="s">
        <v>9</v>
      </c>
      <c r="E1024" s="20">
        <v>2</v>
      </c>
      <c r="F1024" s="17" t="s">
        <v>232</v>
      </c>
      <c r="G1024" s="17" t="s">
        <v>233</v>
      </c>
      <c r="H1024" s="17" t="s">
        <v>234</v>
      </c>
      <c r="I1024" s="17" t="s">
        <v>235</v>
      </c>
      <c r="J1024" s="27" t="s">
        <v>39</v>
      </c>
      <c r="K1024" s="29">
        <v>14</v>
      </c>
      <c r="L1024" s="31">
        <v>2212</v>
      </c>
      <c r="M1024" s="31">
        <v>713.30000000000007</v>
      </c>
      <c r="N1024" s="31">
        <v>568.34999999399997</v>
      </c>
      <c r="O1024" s="34">
        <f t="shared" si="140"/>
        <v>0.3224683544303798</v>
      </c>
      <c r="P1024" s="34">
        <f t="shared" si="141"/>
        <v>0.79678956959764469</v>
      </c>
      <c r="Q1024" s="34">
        <f t="shared" si="142"/>
        <v>0.6775316455696202</v>
      </c>
      <c r="R1024" s="46">
        <f t="shared" si="143"/>
        <v>40.596428570999997</v>
      </c>
    </row>
    <row r="1025" spans="2:18" ht="12.75" customHeight="1" x14ac:dyDescent="0.25">
      <c r="B1025" s="17" t="s">
        <v>0</v>
      </c>
      <c r="C1025" s="44" t="s">
        <v>28</v>
      </c>
      <c r="D1025" s="22" t="s">
        <v>2</v>
      </c>
      <c r="E1025" s="20">
        <v>1</v>
      </c>
      <c r="F1025" s="17" t="s">
        <v>232</v>
      </c>
      <c r="G1025" s="17" t="s">
        <v>233</v>
      </c>
      <c r="H1025" s="17" t="s">
        <v>234</v>
      </c>
      <c r="I1025" s="17" t="s">
        <v>235</v>
      </c>
      <c r="J1025" s="27" t="s">
        <v>29</v>
      </c>
      <c r="K1025" s="29">
        <v>14</v>
      </c>
      <c r="L1025" s="31">
        <v>14042.699999999999</v>
      </c>
      <c r="M1025" s="31">
        <v>687.52000000600003</v>
      </c>
      <c r="N1025" s="31">
        <v>508.810000006</v>
      </c>
      <c r="O1025" s="34">
        <f t="shared" si="140"/>
        <v>4.8959245729524953E-2</v>
      </c>
      <c r="P1025" s="34">
        <f t="shared" si="141"/>
        <v>0.74006574354427446</v>
      </c>
      <c r="Q1025" s="34">
        <f t="shared" si="142"/>
        <v>0.95104075427047507</v>
      </c>
      <c r="R1025" s="46">
        <f t="shared" si="143"/>
        <v>36.343571429000001</v>
      </c>
    </row>
    <row r="1026" spans="2:18" ht="12.75" customHeight="1" x14ac:dyDescent="0.25">
      <c r="B1026" s="17" t="s">
        <v>0</v>
      </c>
      <c r="C1026" s="44" t="s">
        <v>52</v>
      </c>
      <c r="D1026" s="22" t="s">
        <v>9</v>
      </c>
      <c r="E1026" s="20">
        <v>2</v>
      </c>
      <c r="F1026" s="17" t="s">
        <v>232</v>
      </c>
      <c r="G1026" s="17" t="s">
        <v>233</v>
      </c>
      <c r="H1026" s="17" t="s">
        <v>234</v>
      </c>
      <c r="I1026" s="17" t="s">
        <v>235</v>
      </c>
      <c r="J1026" s="27" t="s">
        <v>53</v>
      </c>
      <c r="K1026" s="29">
        <v>28</v>
      </c>
      <c r="L1026" s="31">
        <v>1619.999999996</v>
      </c>
      <c r="M1026" s="31">
        <v>528.87000000800003</v>
      </c>
      <c r="N1026" s="31">
        <v>421.42000000799999</v>
      </c>
      <c r="O1026" s="34">
        <f t="shared" si="140"/>
        <v>0.3264629629687073</v>
      </c>
      <c r="P1026" s="34">
        <f t="shared" si="141"/>
        <v>0.79683097926073576</v>
      </c>
      <c r="Q1026" s="34">
        <f t="shared" si="142"/>
        <v>0.67353703703129275</v>
      </c>
      <c r="R1026" s="46">
        <f t="shared" si="143"/>
        <v>15.050714286</v>
      </c>
    </row>
    <row r="1027" spans="2:18" ht="12.75" customHeight="1" x14ac:dyDescent="0.25">
      <c r="B1027" s="17" t="s">
        <v>0</v>
      </c>
      <c r="C1027" s="44" t="s">
        <v>68</v>
      </c>
      <c r="D1027" s="22" t="s">
        <v>2</v>
      </c>
      <c r="E1027" s="20">
        <v>1</v>
      </c>
      <c r="F1027" s="17" t="s">
        <v>232</v>
      </c>
      <c r="G1027" s="17" t="s">
        <v>233</v>
      </c>
      <c r="H1027" s="17" t="s">
        <v>234</v>
      </c>
      <c r="I1027" s="17" t="s">
        <v>235</v>
      </c>
      <c r="J1027" s="27" t="s">
        <v>69</v>
      </c>
      <c r="K1027" s="29">
        <v>53</v>
      </c>
      <c r="L1027" s="31">
        <v>16236.61</v>
      </c>
      <c r="M1027" s="31">
        <v>461.73000000059994</v>
      </c>
      <c r="N1027" s="31">
        <v>365.51999999919997</v>
      </c>
      <c r="O1027" s="34">
        <f t="shared" si="140"/>
        <v>2.84375864173987E-2</v>
      </c>
      <c r="P1027" s="34">
        <f t="shared" si="141"/>
        <v>0.79163147293596914</v>
      </c>
      <c r="Q1027" s="34">
        <f t="shared" si="142"/>
        <v>0.97156241358260131</v>
      </c>
      <c r="R1027" s="46">
        <f t="shared" si="143"/>
        <v>6.8966037735698107</v>
      </c>
    </row>
    <row r="1028" spans="2:18" ht="12.75" customHeight="1" thickBot="1" x14ac:dyDescent="0.3">
      <c r="B1028" s="15" t="s">
        <v>0</v>
      </c>
      <c r="C1028" s="50" t="s">
        <v>32</v>
      </c>
      <c r="D1028" s="19" t="s">
        <v>9</v>
      </c>
      <c r="E1028" s="16">
        <v>2</v>
      </c>
      <c r="F1028" s="15" t="s">
        <v>232</v>
      </c>
      <c r="G1028" s="15" t="s">
        <v>233</v>
      </c>
      <c r="H1028" s="15" t="s">
        <v>234</v>
      </c>
      <c r="I1028" s="15" t="s">
        <v>235</v>
      </c>
      <c r="J1028" s="24" t="s">
        <v>33</v>
      </c>
      <c r="K1028" s="26">
        <v>13</v>
      </c>
      <c r="L1028" s="28">
        <v>2600</v>
      </c>
      <c r="M1028" s="28">
        <v>317.82000000400001</v>
      </c>
      <c r="N1028" s="28">
        <v>253.18999999799999</v>
      </c>
      <c r="O1028" s="32">
        <f t="shared" si="140"/>
        <v>0.12223846154000001</v>
      </c>
      <c r="P1028" s="32">
        <f t="shared" si="141"/>
        <v>0.79664590017875969</v>
      </c>
      <c r="Q1028" s="32">
        <f t="shared" si="142"/>
        <v>0.87776153845999993</v>
      </c>
      <c r="R1028" s="49">
        <f t="shared" si="143"/>
        <v>19.476153845999999</v>
      </c>
    </row>
    <row r="1029" spans="2:18" ht="17.25" customHeight="1" x14ac:dyDescent="0.25">
      <c r="B1029" s="48"/>
      <c r="C1029" s="58"/>
      <c r="D1029" s="51" t="s">
        <v>366</v>
      </c>
      <c r="E1029" s="52"/>
      <c r="F1029" s="52"/>
      <c r="G1029" s="53"/>
      <c r="H1029" s="53"/>
      <c r="I1029" s="53"/>
      <c r="J1029" s="54"/>
      <c r="K1029" s="55">
        <f>SUM(K970:K1028)</f>
        <v>1773322</v>
      </c>
      <c r="L1029" s="56">
        <f>SUM(L970:L1028)</f>
        <v>982252087.81003642</v>
      </c>
      <c r="M1029" s="56">
        <f>SUM(M970:M1028)</f>
        <v>128732544.74000765</v>
      </c>
      <c r="N1029" s="56">
        <f>SUM(N970:N1028)</f>
        <v>98048744.249992967</v>
      </c>
      <c r="O1029" s="57">
        <f>IFERROR(M1029/L1029,0)</f>
        <v>0.13105856056465212</v>
      </c>
      <c r="P1029" s="57">
        <f>IFERROR(N1029/M1029,0)</f>
        <v>0.76164690481350561</v>
      </c>
      <c r="Q1029" s="57">
        <f>IFERROR(1-(M1029/L1029),0)</f>
        <v>0.86894143943534785</v>
      </c>
      <c r="R1029" s="59">
        <f>IFERROR(N1029/K1029,0)</f>
        <v>55.29099861728043</v>
      </c>
    </row>
    <row r="1030" spans="2:18" ht="15.75" thickBot="1" x14ac:dyDescent="0.3">
      <c r="B1030" s="60"/>
      <c r="C1030" s="64"/>
      <c r="D1030" s="62" t="s">
        <v>235</v>
      </c>
      <c r="E1030" s="61"/>
      <c r="F1030" s="61"/>
      <c r="G1030" s="61"/>
      <c r="H1030" s="61"/>
      <c r="I1030" s="61"/>
      <c r="J1030" s="61"/>
      <c r="K1030" s="63"/>
      <c r="L1030" s="63"/>
      <c r="M1030" s="63"/>
      <c r="N1030" s="63"/>
      <c r="O1030" s="63"/>
      <c r="P1030" s="63"/>
      <c r="Q1030" s="63"/>
      <c r="R1030" s="65"/>
    </row>
    <row r="1031" spans="2:18" ht="15.75" thickBot="1" x14ac:dyDescent="0.3"/>
    <row r="1032" spans="2:18" ht="15.75" x14ac:dyDescent="0.25">
      <c r="B1032" s="1"/>
      <c r="C1032" s="7" t="s">
        <v>348</v>
      </c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9"/>
    </row>
    <row r="1033" spans="2:18" ht="18" x14ac:dyDescent="0.25">
      <c r="B1033" s="2"/>
      <c r="C1033" s="8" t="s">
        <v>240</v>
      </c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10"/>
    </row>
    <row r="1034" spans="2:18" ht="15.75" thickBot="1" x14ac:dyDescent="0.3">
      <c r="B1034" s="3"/>
      <c r="C1034" s="11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12"/>
    </row>
    <row r="1035" spans="2:18" ht="17.25" customHeight="1" thickBot="1" x14ac:dyDescent="0.3">
      <c r="B1035" s="14" t="s">
        <v>349</v>
      </c>
      <c r="C1035" s="18" t="s">
        <v>350</v>
      </c>
      <c r="D1035" s="21" t="s">
        <v>351</v>
      </c>
      <c r="E1035" s="23" t="s">
        <v>352</v>
      </c>
      <c r="F1035" s="21" t="s">
        <v>353</v>
      </c>
      <c r="G1035" s="23" t="s">
        <v>354</v>
      </c>
      <c r="H1035" s="23" t="s">
        <v>355</v>
      </c>
      <c r="I1035" s="23" t="s">
        <v>356</v>
      </c>
      <c r="J1035" s="25" t="s">
        <v>357</v>
      </c>
      <c r="K1035" s="25" t="s">
        <v>358</v>
      </c>
      <c r="L1035" s="30" t="s">
        <v>359</v>
      </c>
      <c r="M1035" s="30" t="s">
        <v>360</v>
      </c>
      <c r="N1035" s="30" t="s">
        <v>361</v>
      </c>
      <c r="O1035" s="33" t="s">
        <v>362</v>
      </c>
      <c r="P1035" s="33" t="s">
        <v>363</v>
      </c>
      <c r="Q1035" s="33" t="s">
        <v>364</v>
      </c>
      <c r="R1035" s="35" t="s">
        <v>365</v>
      </c>
    </row>
    <row r="1036" spans="2:18" ht="12.75" customHeight="1" x14ac:dyDescent="0.25">
      <c r="B1036" s="17" t="s">
        <v>0</v>
      </c>
      <c r="C1036" s="43" t="s">
        <v>34</v>
      </c>
      <c r="D1036" s="37" t="s">
        <v>9</v>
      </c>
      <c r="E1036" s="36">
        <v>2</v>
      </c>
      <c r="F1036" s="38" t="s">
        <v>232</v>
      </c>
      <c r="G1036" s="38" t="s">
        <v>238</v>
      </c>
      <c r="H1036" s="38" t="s">
        <v>239</v>
      </c>
      <c r="I1036" s="38" t="s">
        <v>240</v>
      </c>
      <c r="J1036" s="39" t="s">
        <v>35</v>
      </c>
      <c r="K1036" s="40">
        <v>563051</v>
      </c>
      <c r="L1036" s="41">
        <v>66892675.180053964</v>
      </c>
      <c r="M1036" s="41">
        <v>21518375.340002578</v>
      </c>
      <c r="N1036" s="41">
        <v>15860538.750006141</v>
      </c>
      <c r="O1036" s="42">
        <f t="shared" ref="O1036:O1076" si="144">IFERROR(M1036/L1036,0)</f>
        <v>0.32168507661088308</v>
      </c>
      <c r="P1036" s="42">
        <f t="shared" ref="P1036:P1076" si="145">IFERROR(N1036/M1036,0)</f>
        <v>0.7370695277594429</v>
      </c>
      <c r="Q1036" s="42">
        <f t="shared" ref="Q1036:Q1076" si="146">IFERROR(1-(M1036/L1036),0)</f>
        <v>0.67831492338911692</v>
      </c>
      <c r="R1036" s="45">
        <f t="shared" ref="R1036:R1076" si="147">IFERROR(N1036/K1036,0)</f>
        <v>28.168920310959649</v>
      </c>
    </row>
    <row r="1037" spans="2:18" ht="12.75" customHeight="1" x14ac:dyDescent="0.25">
      <c r="B1037" s="17" t="s">
        <v>0</v>
      </c>
      <c r="C1037" s="44" t="s">
        <v>166</v>
      </c>
      <c r="D1037" s="22" t="s">
        <v>9</v>
      </c>
      <c r="E1037" s="20">
        <v>2</v>
      </c>
      <c r="F1037" s="17" t="s">
        <v>232</v>
      </c>
      <c r="G1037" s="17" t="s">
        <v>238</v>
      </c>
      <c r="H1037" s="17" t="s">
        <v>239</v>
      </c>
      <c r="I1037" s="17" t="s">
        <v>240</v>
      </c>
      <c r="J1037" s="27" t="s">
        <v>167</v>
      </c>
      <c r="K1037" s="29">
        <v>101459</v>
      </c>
      <c r="L1037" s="31">
        <v>9017220.1399953999</v>
      </c>
      <c r="M1037" s="31">
        <v>3622110.3900009221</v>
      </c>
      <c r="N1037" s="31">
        <v>2537604.819997686</v>
      </c>
      <c r="O1037" s="34">
        <f t="shared" si="144"/>
        <v>0.40168814044311113</v>
      </c>
      <c r="P1037" s="34">
        <f t="shared" si="145"/>
        <v>0.70058737773506674</v>
      </c>
      <c r="Q1037" s="34">
        <f t="shared" si="146"/>
        <v>0.59831185955688881</v>
      </c>
      <c r="R1037" s="46">
        <f t="shared" si="147"/>
        <v>25.011135729680817</v>
      </c>
    </row>
    <row r="1038" spans="2:18" ht="12.75" customHeight="1" x14ac:dyDescent="0.25">
      <c r="B1038" s="17" t="s">
        <v>0</v>
      </c>
      <c r="C1038" s="44" t="s">
        <v>16</v>
      </c>
      <c r="D1038" s="22" t="s">
        <v>9</v>
      </c>
      <c r="E1038" s="20">
        <v>2</v>
      </c>
      <c r="F1038" s="17" t="s">
        <v>232</v>
      </c>
      <c r="G1038" s="17" t="s">
        <v>238</v>
      </c>
      <c r="H1038" s="17" t="s">
        <v>239</v>
      </c>
      <c r="I1038" s="17" t="s">
        <v>240</v>
      </c>
      <c r="J1038" s="27" t="s">
        <v>17</v>
      </c>
      <c r="K1038" s="29">
        <v>5607</v>
      </c>
      <c r="L1038" s="31">
        <v>3095363.9699758594</v>
      </c>
      <c r="M1038" s="31">
        <v>599126.07000438008</v>
      </c>
      <c r="N1038" s="31">
        <v>462730.17000057804</v>
      </c>
      <c r="O1038" s="34">
        <f t="shared" si="144"/>
        <v>0.19355593584978398</v>
      </c>
      <c r="P1038" s="34">
        <f t="shared" si="145"/>
        <v>0.77234190459646523</v>
      </c>
      <c r="Q1038" s="34">
        <f t="shared" si="146"/>
        <v>0.80644406415021597</v>
      </c>
      <c r="R1038" s="46">
        <f t="shared" si="147"/>
        <v>82.527228464522565</v>
      </c>
    </row>
    <row r="1039" spans="2:18" ht="12.75" customHeight="1" x14ac:dyDescent="0.25">
      <c r="B1039" s="17" t="s">
        <v>0</v>
      </c>
      <c r="C1039" s="44" t="s">
        <v>20</v>
      </c>
      <c r="D1039" s="22" t="s">
        <v>9</v>
      </c>
      <c r="E1039" s="20">
        <v>2</v>
      </c>
      <c r="F1039" s="17" t="s">
        <v>232</v>
      </c>
      <c r="G1039" s="17" t="s">
        <v>238</v>
      </c>
      <c r="H1039" s="17" t="s">
        <v>239</v>
      </c>
      <c r="I1039" s="17" t="s">
        <v>240</v>
      </c>
      <c r="J1039" s="27" t="s">
        <v>21</v>
      </c>
      <c r="K1039" s="29">
        <v>4161</v>
      </c>
      <c r="L1039" s="31">
        <v>1489829.1099986252</v>
      </c>
      <c r="M1039" s="31">
        <v>454944.82999427011</v>
      </c>
      <c r="N1039" s="31">
        <v>353690.55000046111</v>
      </c>
      <c r="O1039" s="34">
        <f t="shared" si="144"/>
        <v>0.30536712361237855</v>
      </c>
      <c r="P1039" s="34">
        <f t="shared" si="145"/>
        <v>0.77743613440978265</v>
      </c>
      <c r="Q1039" s="34">
        <f t="shared" si="146"/>
        <v>0.6946328763876215</v>
      </c>
      <c r="R1039" s="46">
        <f t="shared" si="147"/>
        <v>85.001333814097833</v>
      </c>
    </row>
    <row r="1040" spans="2:18" ht="12.75" customHeight="1" x14ac:dyDescent="0.25">
      <c r="B1040" s="17" t="s">
        <v>0</v>
      </c>
      <c r="C1040" s="44" t="s">
        <v>58</v>
      </c>
      <c r="D1040" s="22" t="s">
        <v>9</v>
      </c>
      <c r="E1040" s="20">
        <v>2</v>
      </c>
      <c r="F1040" s="17" t="s">
        <v>232</v>
      </c>
      <c r="G1040" s="17" t="s">
        <v>238</v>
      </c>
      <c r="H1040" s="17" t="s">
        <v>239</v>
      </c>
      <c r="I1040" s="17" t="s">
        <v>240</v>
      </c>
      <c r="J1040" s="27" t="s">
        <v>59</v>
      </c>
      <c r="K1040" s="29">
        <v>3922</v>
      </c>
      <c r="L1040" s="31">
        <v>985280.23000927002</v>
      </c>
      <c r="M1040" s="31">
        <v>402808.31000341591</v>
      </c>
      <c r="N1040" s="31">
        <v>307930.32999894896</v>
      </c>
      <c r="O1040" s="34">
        <f t="shared" si="144"/>
        <v>0.40882613670186613</v>
      </c>
      <c r="P1040" s="34">
        <f t="shared" si="145"/>
        <v>0.76445873223503669</v>
      </c>
      <c r="Q1040" s="34">
        <f t="shared" si="146"/>
        <v>0.59117386329813382</v>
      </c>
      <c r="R1040" s="46">
        <f t="shared" si="147"/>
        <v>78.513597653990047</v>
      </c>
    </row>
    <row r="1041" spans="2:18" ht="12.75" customHeight="1" x14ac:dyDescent="0.25">
      <c r="B1041" s="17" t="s">
        <v>0</v>
      </c>
      <c r="C1041" s="44" t="s">
        <v>7</v>
      </c>
      <c r="D1041" s="22" t="s">
        <v>9</v>
      </c>
      <c r="E1041" s="20">
        <v>2</v>
      </c>
      <c r="F1041" s="17" t="s">
        <v>232</v>
      </c>
      <c r="G1041" s="17" t="s">
        <v>238</v>
      </c>
      <c r="H1041" s="17" t="s">
        <v>239</v>
      </c>
      <c r="I1041" s="17" t="s">
        <v>240</v>
      </c>
      <c r="J1041" s="27" t="s">
        <v>8</v>
      </c>
      <c r="K1041" s="29">
        <v>3523</v>
      </c>
      <c r="L1041" s="31">
        <v>1530541.9900000601</v>
      </c>
      <c r="M1041" s="31">
        <v>342630.06999999896</v>
      </c>
      <c r="N1041" s="31">
        <v>265127.48999995406</v>
      </c>
      <c r="O1041" s="34">
        <f t="shared" si="144"/>
        <v>0.22386192096564794</v>
      </c>
      <c r="P1041" s="34">
        <f t="shared" si="145"/>
        <v>0.77380099767645871</v>
      </c>
      <c r="Q1041" s="34">
        <f t="shared" si="146"/>
        <v>0.77613807903435206</v>
      </c>
      <c r="R1041" s="46">
        <f t="shared" si="147"/>
        <v>75.256170877080351</v>
      </c>
    </row>
    <row r="1042" spans="2:18" ht="12.75" customHeight="1" x14ac:dyDescent="0.25">
      <c r="B1042" s="17" t="s">
        <v>0</v>
      </c>
      <c r="C1042" s="44" t="s">
        <v>54</v>
      </c>
      <c r="D1042" s="22" t="s">
        <v>9</v>
      </c>
      <c r="E1042" s="20">
        <v>2</v>
      </c>
      <c r="F1042" s="17" t="s">
        <v>232</v>
      </c>
      <c r="G1042" s="17" t="s">
        <v>238</v>
      </c>
      <c r="H1042" s="17" t="s">
        <v>239</v>
      </c>
      <c r="I1042" s="17" t="s">
        <v>240</v>
      </c>
      <c r="J1042" s="27" t="s">
        <v>55</v>
      </c>
      <c r="K1042" s="29">
        <v>2970</v>
      </c>
      <c r="L1042" s="31">
        <v>632622.43000619207</v>
      </c>
      <c r="M1042" s="31">
        <v>332442.10999670805</v>
      </c>
      <c r="N1042" s="31">
        <v>262483.14000004827</v>
      </c>
      <c r="O1042" s="34">
        <f t="shared" si="144"/>
        <v>0.52549845567988185</v>
      </c>
      <c r="P1042" s="34">
        <f t="shared" si="145"/>
        <v>0.78956044408046699</v>
      </c>
      <c r="Q1042" s="34">
        <f t="shared" si="146"/>
        <v>0.47450154432011815</v>
      </c>
      <c r="R1042" s="46">
        <f t="shared" si="147"/>
        <v>88.378161616177863</v>
      </c>
    </row>
    <row r="1043" spans="2:18" ht="12.75" customHeight="1" x14ac:dyDescent="0.25">
      <c r="B1043" s="17" t="s">
        <v>0</v>
      </c>
      <c r="C1043" s="44" t="s">
        <v>90</v>
      </c>
      <c r="D1043" s="22" t="s">
        <v>9</v>
      </c>
      <c r="E1043" s="20">
        <v>2</v>
      </c>
      <c r="F1043" s="17" t="s">
        <v>232</v>
      </c>
      <c r="G1043" s="17" t="s">
        <v>238</v>
      </c>
      <c r="H1043" s="17" t="s">
        <v>239</v>
      </c>
      <c r="I1043" s="17" t="s">
        <v>240</v>
      </c>
      <c r="J1043" s="27" t="s">
        <v>91</v>
      </c>
      <c r="K1043" s="29">
        <v>3029</v>
      </c>
      <c r="L1043" s="31">
        <v>863374.47999979008</v>
      </c>
      <c r="M1043" s="31">
        <v>331777.98000283801</v>
      </c>
      <c r="N1043" s="31">
        <v>255521.46000021396</v>
      </c>
      <c r="O1043" s="34">
        <f t="shared" si="144"/>
        <v>0.38428050363837335</v>
      </c>
      <c r="P1043" s="34">
        <f t="shared" si="145"/>
        <v>0.77015798335389296</v>
      </c>
      <c r="Q1043" s="34">
        <f t="shared" si="146"/>
        <v>0.61571949636162659</v>
      </c>
      <c r="R1043" s="46">
        <f t="shared" si="147"/>
        <v>84.358355893104644</v>
      </c>
    </row>
    <row r="1044" spans="2:18" ht="12.75" customHeight="1" x14ac:dyDescent="0.25">
      <c r="B1044" s="17" t="s">
        <v>0</v>
      </c>
      <c r="C1044" s="44" t="s">
        <v>28</v>
      </c>
      <c r="D1044" s="22" t="s">
        <v>9</v>
      </c>
      <c r="E1044" s="20">
        <v>2</v>
      </c>
      <c r="F1044" s="17" t="s">
        <v>232</v>
      </c>
      <c r="G1044" s="17" t="s">
        <v>238</v>
      </c>
      <c r="H1044" s="17" t="s">
        <v>239</v>
      </c>
      <c r="I1044" s="17" t="s">
        <v>240</v>
      </c>
      <c r="J1044" s="27" t="s">
        <v>29</v>
      </c>
      <c r="K1044" s="29">
        <v>1890</v>
      </c>
      <c r="L1044" s="31">
        <v>439630.94000860996</v>
      </c>
      <c r="M1044" s="31">
        <v>201529.21000515099</v>
      </c>
      <c r="N1044" s="31">
        <v>157648.10999921599</v>
      </c>
      <c r="O1044" s="34">
        <f t="shared" si="144"/>
        <v>0.45840542979346299</v>
      </c>
      <c r="P1044" s="34">
        <f t="shared" si="145"/>
        <v>0.78225935582830186</v>
      </c>
      <c r="Q1044" s="34">
        <f t="shared" si="146"/>
        <v>0.54159457020653701</v>
      </c>
      <c r="R1044" s="46">
        <f t="shared" si="147"/>
        <v>83.411698412283585</v>
      </c>
    </row>
    <row r="1045" spans="2:18" ht="12.75" customHeight="1" x14ac:dyDescent="0.25">
      <c r="B1045" s="17" t="s">
        <v>0</v>
      </c>
      <c r="C1045" s="44" t="s">
        <v>74</v>
      </c>
      <c r="D1045" s="22" t="s">
        <v>9</v>
      </c>
      <c r="E1045" s="20">
        <v>2</v>
      </c>
      <c r="F1045" s="17" t="s">
        <v>232</v>
      </c>
      <c r="G1045" s="17" t="s">
        <v>238</v>
      </c>
      <c r="H1045" s="17" t="s">
        <v>239</v>
      </c>
      <c r="I1045" s="17" t="s">
        <v>240</v>
      </c>
      <c r="J1045" s="27" t="s">
        <v>75</v>
      </c>
      <c r="K1045" s="29">
        <v>1741</v>
      </c>
      <c r="L1045" s="31">
        <v>356887.98000415001</v>
      </c>
      <c r="M1045" s="31">
        <v>197962.79000130002</v>
      </c>
      <c r="N1045" s="31">
        <v>155477.44000057798</v>
      </c>
      <c r="O1045" s="34">
        <f t="shared" si="144"/>
        <v>0.55469167103637962</v>
      </c>
      <c r="P1045" s="34">
        <f t="shared" si="145"/>
        <v>0.78538719321725536</v>
      </c>
      <c r="Q1045" s="34">
        <f t="shared" si="146"/>
        <v>0.44530832896362038</v>
      </c>
      <c r="R1045" s="46">
        <f t="shared" si="147"/>
        <v>89.303526709120035</v>
      </c>
    </row>
    <row r="1046" spans="2:18" ht="12.75" customHeight="1" x14ac:dyDescent="0.25">
      <c r="B1046" s="17" t="s">
        <v>0</v>
      </c>
      <c r="C1046" s="44" t="s">
        <v>18</v>
      </c>
      <c r="D1046" s="22" t="s">
        <v>9</v>
      </c>
      <c r="E1046" s="20">
        <v>2</v>
      </c>
      <c r="F1046" s="17" t="s">
        <v>232</v>
      </c>
      <c r="G1046" s="17" t="s">
        <v>238</v>
      </c>
      <c r="H1046" s="17" t="s">
        <v>239</v>
      </c>
      <c r="I1046" s="17" t="s">
        <v>240</v>
      </c>
      <c r="J1046" s="27" t="s">
        <v>19</v>
      </c>
      <c r="K1046" s="29">
        <v>1987</v>
      </c>
      <c r="L1046" s="31">
        <v>479501.99999989005</v>
      </c>
      <c r="M1046" s="31">
        <v>183995.37999897104</v>
      </c>
      <c r="N1046" s="31">
        <v>141096.53999993499</v>
      </c>
      <c r="O1046" s="34">
        <f t="shared" si="144"/>
        <v>0.38372181971923625</v>
      </c>
      <c r="P1046" s="34">
        <f t="shared" si="145"/>
        <v>0.76684827630304653</v>
      </c>
      <c r="Q1046" s="34">
        <f t="shared" si="146"/>
        <v>0.61627818028076375</v>
      </c>
      <c r="R1046" s="46">
        <f t="shared" si="147"/>
        <v>71.009833920450419</v>
      </c>
    </row>
    <row r="1047" spans="2:18" ht="12.75" customHeight="1" x14ac:dyDescent="0.25">
      <c r="B1047" s="17" t="s">
        <v>0</v>
      </c>
      <c r="C1047" s="44" t="s">
        <v>46</v>
      </c>
      <c r="D1047" s="22" t="s">
        <v>9</v>
      </c>
      <c r="E1047" s="20">
        <v>2</v>
      </c>
      <c r="F1047" s="17" t="s">
        <v>232</v>
      </c>
      <c r="G1047" s="17" t="s">
        <v>238</v>
      </c>
      <c r="H1047" s="17" t="s">
        <v>239</v>
      </c>
      <c r="I1047" s="17" t="s">
        <v>240</v>
      </c>
      <c r="J1047" s="27" t="s">
        <v>47</v>
      </c>
      <c r="K1047" s="29">
        <v>2025</v>
      </c>
      <c r="L1047" s="31">
        <v>293547.20999763999</v>
      </c>
      <c r="M1047" s="31">
        <v>171764.04999963997</v>
      </c>
      <c r="N1047" s="31">
        <v>134131.31000016601</v>
      </c>
      <c r="O1047" s="34">
        <f t="shared" si="144"/>
        <v>0.58513262654079012</v>
      </c>
      <c r="P1047" s="34">
        <f t="shared" si="145"/>
        <v>0.780904444209642</v>
      </c>
      <c r="Q1047" s="34">
        <f t="shared" si="146"/>
        <v>0.41486737345920988</v>
      </c>
      <c r="R1047" s="46">
        <f t="shared" si="147"/>
        <v>66.237683950699264</v>
      </c>
    </row>
    <row r="1048" spans="2:18" ht="12.75" customHeight="1" x14ac:dyDescent="0.25">
      <c r="B1048" s="17" t="s">
        <v>0</v>
      </c>
      <c r="C1048" s="44" t="s">
        <v>34</v>
      </c>
      <c r="D1048" s="22" t="s">
        <v>2</v>
      </c>
      <c r="E1048" s="20">
        <v>1</v>
      </c>
      <c r="F1048" s="17" t="s">
        <v>232</v>
      </c>
      <c r="G1048" s="17" t="s">
        <v>238</v>
      </c>
      <c r="H1048" s="17" t="s">
        <v>239</v>
      </c>
      <c r="I1048" s="17" t="s">
        <v>240</v>
      </c>
      <c r="J1048" s="27" t="s">
        <v>35</v>
      </c>
      <c r="K1048" s="29">
        <v>8044</v>
      </c>
      <c r="L1048" s="31">
        <v>873573.09999882593</v>
      </c>
      <c r="M1048" s="31">
        <v>184480.6699996769</v>
      </c>
      <c r="N1048" s="31">
        <v>132366.31000056895</v>
      </c>
      <c r="O1048" s="34">
        <f t="shared" si="144"/>
        <v>0.21117943077680029</v>
      </c>
      <c r="P1048" s="34">
        <f t="shared" si="145"/>
        <v>0.71750774756401725</v>
      </c>
      <c r="Q1048" s="34">
        <f t="shared" si="146"/>
        <v>0.78882056922319976</v>
      </c>
      <c r="R1048" s="46">
        <f t="shared" si="147"/>
        <v>16.455284684307429</v>
      </c>
    </row>
    <row r="1049" spans="2:18" ht="12.75" customHeight="1" x14ac:dyDescent="0.25">
      <c r="B1049" s="17" t="s">
        <v>0</v>
      </c>
      <c r="C1049" s="44" t="s">
        <v>50</v>
      </c>
      <c r="D1049" s="22" t="s">
        <v>9</v>
      </c>
      <c r="E1049" s="20">
        <v>2</v>
      </c>
      <c r="F1049" s="17" t="s">
        <v>232</v>
      </c>
      <c r="G1049" s="17" t="s">
        <v>238</v>
      </c>
      <c r="H1049" s="17" t="s">
        <v>239</v>
      </c>
      <c r="I1049" s="17" t="s">
        <v>240</v>
      </c>
      <c r="J1049" s="27" t="s">
        <v>51</v>
      </c>
      <c r="K1049" s="29">
        <v>1903</v>
      </c>
      <c r="L1049" s="31">
        <v>429669.65000026103</v>
      </c>
      <c r="M1049" s="31">
        <v>152417.24999996301</v>
      </c>
      <c r="N1049" s="31">
        <v>117203.599999661</v>
      </c>
      <c r="O1049" s="34">
        <f t="shared" si="144"/>
        <v>0.35473124527150202</v>
      </c>
      <c r="P1049" s="34">
        <f t="shared" si="145"/>
        <v>0.7689654550235584</v>
      </c>
      <c r="Q1049" s="34">
        <f t="shared" si="146"/>
        <v>0.64526875472849798</v>
      </c>
      <c r="R1049" s="46">
        <f t="shared" si="147"/>
        <v>61.588859695039936</v>
      </c>
    </row>
    <row r="1050" spans="2:18" ht="12.75" customHeight="1" x14ac:dyDescent="0.25">
      <c r="B1050" s="17" t="s">
        <v>0</v>
      </c>
      <c r="C1050" s="44" t="s">
        <v>18</v>
      </c>
      <c r="D1050" s="22" t="s">
        <v>2</v>
      </c>
      <c r="E1050" s="20">
        <v>1</v>
      </c>
      <c r="F1050" s="17" t="s">
        <v>232</v>
      </c>
      <c r="G1050" s="17" t="s">
        <v>238</v>
      </c>
      <c r="H1050" s="17" t="s">
        <v>239</v>
      </c>
      <c r="I1050" s="17" t="s">
        <v>240</v>
      </c>
      <c r="J1050" s="27" t="s">
        <v>19</v>
      </c>
      <c r="K1050" s="29">
        <v>3024</v>
      </c>
      <c r="L1050" s="31">
        <v>587866.16999993997</v>
      </c>
      <c r="M1050" s="31">
        <v>78407.139999975028</v>
      </c>
      <c r="N1050" s="31">
        <v>60955.370000153984</v>
      </c>
      <c r="O1050" s="34">
        <f t="shared" si="144"/>
        <v>0.1333758328021887</v>
      </c>
      <c r="P1050" s="34">
        <f t="shared" si="145"/>
        <v>0.77742116343197054</v>
      </c>
      <c r="Q1050" s="34">
        <f t="shared" si="146"/>
        <v>0.86662416719781132</v>
      </c>
      <c r="R1050" s="46">
        <f t="shared" si="147"/>
        <v>20.157199074124996</v>
      </c>
    </row>
    <row r="1051" spans="2:18" ht="12.75" customHeight="1" x14ac:dyDescent="0.25">
      <c r="B1051" s="17" t="s">
        <v>0</v>
      </c>
      <c r="C1051" s="44" t="s">
        <v>72</v>
      </c>
      <c r="D1051" s="22" t="s">
        <v>9</v>
      </c>
      <c r="E1051" s="20">
        <v>2</v>
      </c>
      <c r="F1051" s="17" t="s">
        <v>232</v>
      </c>
      <c r="G1051" s="17" t="s">
        <v>238</v>
      </c>
      <c r="H1051" s="17" t="s">
        <v>239</v>
      </c>
      <c r="I1051" s="17" t="s">
        <v>240</v>
      </c>
      <c r="J1051" s="27" t="s">
        <v>73</v>
      </c>
      <c r="K1051" s="29">
        <v>669</v>
      </c>
      <c r="L1051" s="31">
        <v>98397</v>
      </c>
      <c r="M1051" s="31">
        <v>72180.680001359986</v>
      </c>
      <c r="N1051" s="31">
        <v>55630.349999997001</v>
      </c>
      <c r="O1051" s="34">
        <f t="shared" si="144"/>
        <v>0.73356586076160846</v>
      </c>
      <c r="P1051" s="34">
        <f t="shared" si="145"/>
        <v>0.77070969681844015</v>
      </c>
      <c r="Q1051" s="34">
        <f t="shared" si="146"/>
        <v>0.26643413923839154</v>
      </c>
      <c r="R1051" s="46">
        <f t="shared" si="147"/>
        <v>83.154484304928246</v>
      </c>
    </row>
    <row r="1052" spans="2:18" ht="12.75" customHeight="1" x14ac:dyDescent="0.25">
      <c r="B1052" s="17" t="s">
        <v>0</v>
      </c>
      <c r="C1052" s="44" t="s">
        <v>236</v>
      </c>
      <c r="D1052" s="22" t="s">
        <v>9</v>
      </c>
      <c r="E1052" s="20">
        <v>2</v>
      </c>
      <c r="F1052" s="17" t="s">
        <v>232</v>
      </c>
      <c r="G1052" s="17" t="s">
        <v>238</v>
      </c>
      <c r="H1052" s="17" t="s">
        <v>239</v>
      </c>
      <c r="I1052" s="17" t="s">
        <v>240</v>
      </c>
      <c r="J1052" s="27" t="s">
        <v>237</v>
      </c>
      <c r="K1052" s="29">
        <v>518</v>
      </c>
      <c r="L1052" s="31">
        <v>179391</v>
      </c>
      <c r="M1052" s="31">
        <v>55539.309999430006</v>
      </c>
      <c r="N1052" s="31">
        <v>43749.040000096007</v>
      </c>
      <c r="O1052" s="34">
        <f t="shared" si="144"/>
        <v>0.30959919951073356</v>
      </c>
      <c r="P1052" s="34">
        <f t="shared" si="145"/>
        <v>0.78771306306371103</v>
      </c>
      <c r="Q1052" s="34">
        <f t="shared" si="146"/>
        <v>0.69040080048926644</v>
      </c>
      <c r="R1052" s="46">
        <f t="shared" si="147"/>
        <v>84.457606177791519</v>
      </c>
    </row>
    <row r="1053" spans="2:18" ht="12.75" customHeight="1" x14ac:dyDescent="0.25">
      <c r="B1053" s="17" t="s">
        <v>0</v>
      </c>
      <c r="C1053" s="44" t="s">
        <v>56</v>
      </c>
      <c r="D1053" s="22" t="s">
        <v>9</v>
      </c>
      <c r="E1053" s="20">
        <v>2</v>
      </c>
      <c r="F1053" s="17" t="s">
        <v>232</v>
      </c>
      <c r="G1053" s="17" t="s">
        <v>238</v>
      </c>
      <c r="H1053" s="17" t="s">
        <v>239</v>
      </c>
      <c r="I1053" s="17" t="s">
        <v>240</v>
      </c>
      <c r="J1053" s="27" t="s">
        <v>57</v>
      </c>
      <c r="K1053" s="29">
        <v>33</v>
      </c>
      <c r="L1053" s="31">
        <v>151635</v>
      </c>
      <c r="M1053" s="31">
        <v>43041.079999499998</v>
      </c>
      <c r="N1053" s="31">
        <v>34238.580000900001</v>
      </c>
      <c r="O1053" s="34">
        <f t="shared" si="144"/>
        <v>0.28384660533188244</v>
      </c>
      <c r="P1053" s="34">
        <f t="shared" si="145"/>
        <v>0.7954860798404163</v>
      </c>
      <c r="Q1053" s="34">
        <f t="shared" si="146"/>
        <v>0.71615339466811756</v>
      </c>
      <c r="R1053" s="46">
        <f t="shared" si="147"/>
        <v>1037.5327273</v>
      </c>
    </row>
    <row r="1054" spans="2:18" ht="12.75" customHeight="1" x14ac:dyDescent="0.25">
      <c r="B1054" s="17" t="s">
        <v>0</v>
      </c>
      <c r="C1054" s="44" t="s">
        <v>105</v>
      </c>
      <c r="D1054" s="22" t="s">
        <v>9</v>
      </c>
      <c r="E1054" s="20">
        <v>2</v>
      </c>
      <c r="F1054" s="17" t="s">
        <v>232</v>
      </c>
      <c r="G1054" s="17" t="s">
        <v>238</v>
      </c>
      <c r="H1054" s="17" t="s">
        <v>239</v>
      </c>
      <c r="I1054" s="17" t="s">
        <v>240</v>
      </c>
      <c r="J1054" s="27" t="s">
        <v>106</v>
      </c>
      <c r="K1054" s="29">
        <v>340</v>
      </c>
      <c r="L1054" s="31">
        <v>82256.470000319998</v>
      </c>
      <c r="M1054" s="31">
        <v>38288.28000069</v>
      </c>
      <c r="N1054" s="31">
        <v>29069.220000019999</v>
      </c>
      <c r="O1054" s="34">
        <f t="shared" si="144"/>
        <v>0.46547438761402049</v>
      </c>
      <c r="P1054" s="34">
        <f t="shared" si="145"/>
        <v>0.75921979257088956</v>
      </c>
      <c r="Q1054" s="34">
        <f t="shared" si="146"/>
        <v>0.53452561238597951</v>
      </c>
      <c r="R1054" s="46">
        <f t="shared" si="147"/>
        <v>85.497705882411765</v>
      </c>
    </row>
    <row r="1055" spans="2:18" ht="12.75" customHeight="1" x14ac:dyDescent="0.25">
      <c r="B1055" s="17" t="s">
        <v>0</v>
      </c>
      <c r="C1055" s="44" t="s">
        <v>16</v>
      </c>
      <c r="D1055" s="22" t="s">
        <v>2</v>
      </c>
      <c r="E1055" s="20">
        <v>1</v>
      </c>
      <c r="F1055" s="17" t="s">
        <v>232</v>
      </c>
      <c r="G1055" s="17" t="s">
        <v>238</v>
      </c>
      <c r="H1055" s="17" t="s">
        <v>239</v>
      </c>
      <c r="I1055" s="17" t="s">
        <v>240</v>
      </c>
      <c r="J1055" s="27" t="s">
        <v>17</v>
      </c>
      <c r="K1055" s="29">
        <v>1278</v>
      </c>
      <c r="L1055" s="31">
        <v>237714.99999974002</v>
      </c>
      <c r="M1055" s="31">
        <v>33049.919999999998</v>
      </c>
      <c r="N1055" s="31">
        <v>25430.049999911</v>
      </c>
      <c r="O1055" s="34">
        <f t="shared" si="144"/>
        <v>0.13903169762125295</v>
      </c>
      <c r="P1055" s="34">
        <f t="shared" si="145"/>
        <v>0.76944361740999678</v>
      </c>
      <c r="Q1055" s="34">
        <f t="shared" si="146"/>
        <v>0.86096830237874711</v>
      </c>
      <c r="R1055" s="46">
        <f t="shared" si="147"/>
        <v>19.898317683811424</v>
      </c>
    </row>
    <row r="1056" spans="2:18" ht="12.75" customHeight="1" x14ac:dyDescent="0.25">
      <c r="B1056" s="17" t="s">
        <v>0</v>
      </c>
      <c r="C1056" s="44" t="s">
        <v>7</v>
      </c>
      <c r="D1056" s="22" t="s">
        <v>2</v>
      </c>
      <c r="E1056" s="20">
        <v>1</v>
      </c>
      <c r="F1056" s="17" t="s">
        <v>232</v>
      </c>
      <c r="G1056" s="17" t="s">
        <v>238</v>
      </c>
      <c r="H1056" s="17" t="s">
        <v>239</v>
      </c>
      <c r="I1056" s="17" t="s">
        <v>240</v>
      </c>
      <c r="J1056" s="27" t="s">
        <v>8</v>
      </c>
      <c r="K1056" s="29">
        <v>1079</v>
      </c>
      <c r="L1056" s="31">
        <v>217861.59000018501</v>
      </c>
      <c r="M1056" s="31">
        <v>27694.430000091997</v>
      </c>
      <c r="N1056" s="31">
        <v>21254.420000072998</v>
      </c>
      <c r="O1056" s="34">
        <f t="shared" si="144"/>
        <v>0.12711937886833782</v>
      </c>
      <c r="P1056" s="34">
        <f t="shared" si="145"/>
        <v>0.76746190479466059</v>
      </c>
      <c r="Q1056" s="34">
        <f t="shared" si="146"/>
        <v>0.8728806211316622</v>
      </c>
      <c r="R1056" s="46">
        <f t="shared" si="147"/>
        <v>19.698257646036144</v>
      </c>
    </row>
    <row r="1057" spans="2:18" ht="12.75" customHeight="1" x14ac:dyDescent="0.25">
      <c r="B1057" s="17" t="s">
        <v>0</v>
      </c>
      <c r="C1057" s="44" t="s">
        <v>166</v>
      </c>
      <c r="D1057" s="22" t="s">
        <v>2</v>
      </c>
      <c r="E1057" s="20">
        <v>1</v>
      </c>
      <c r="F1057" s="17" t="s">
        <v>232</v>
      </c>
      <c r="G1057" s="17" t="s">
        <v>238</v>
      </c>
      <c r="H1057" s="17" t="s">
        <v>239</v>
      </c>
      <c r="I1057" s="17" t="s">
        <v>240</v>
      </c>
      <c r="J1057" s="27" t="s">
        <v>167</v>
      </c>
      <c r="K1057" s="29">
        <v>1038</v>
      </c>
      <c r="L1057" s="31">
        <v>101115.53999995701</v>
      </c>
      <c r="M1057" s="31">
        <v>23109.199999862998</v>
      </c>
      <c r="N1057" s="31">
        <v>15923.759999966998</v>
      </c>
      <c r="O1057" s="34">
        <f t="shared" si="144"/>
        <v>0.22854251680674231</v>
      </c>
      <c r="P1057" s="34">
        <f t="shared" si="145"/>
        <v>0.68906582659985638</v>
      </c>
      <c r="Q1057" s="34">
        <f t="shared" si="146"/>
        <v>0.77145748319325769</v>
      </c>
      <c r="R1057" s="46">
        <f t="shared" si="147"/>
        <v>15.34080924852312</v>
      </c>
    </row>
    <row r="1058" spans="2:18" ht="12.75" customHeight="1" x14ac:dyDescent="0.25">
      <c r="B1058" s="17" t="s">
        <v>0</v>
      </c>
      <c r="C1058" s="44" t="s">
        <v>90</v>
      </c>
      <c r="D1058" s="22" t="s">
        <v>2</v>
      </c>
      <c r="E1058" s="20">
        <v>1</v>
      </c>
      <c r="F1058" s="17" t="s">
        <v>232</v>
      </c>
      <c r="G1058" s="17" t="s">
        <v>238</v>
      </c>
      <c r="H1058" s="17" t="s">
        <v>239</v>
      </c>
      <c r="I1058" s="17" t="s">
        <v>240</v>
      </c>
      <c r="J1058" s="27" t="s">
        <v>91</v>
      </c>
      <c r="K1058" s="29">
        <v>749</v>
      </c>
      <c r="L1058" s="31">
        <v>140703.16999962999</v>
      </c>
      <c r="M1058" s="31">
        <v>19016.500000089</v>
      </c>
      <c r="N1058" s="31">
        <v>14667.729999942001</v>
      </c>
      <c r="O1058" s="34">
        <f t="shared" si="144"/>
        <v>0.13515331602080471</v>
      </c>
      <c r="P1058" s="34">
        <f t="shared" si="145"/>
        <v>0.77131596244699885</v>
      </c>
      <c r="Q1058" s="34">
        <f t="shared" si="146"/>
        <v>0.86484668397919529</v>
      </c>
      <c r="R1058" s="46">
        <f t="shared" si="147"/>
        <v>19.583084112072097</v>
      </c>
    </row>
    <row r="1059" spans="2:18" ht="12.75" customHeight="1" x14ac:dyDescent="0.25">
      <c r="B1059" s="17" t="s">
        <v>0</v>
      </c>
      <c r="C1059" s="44" t="s">
        <v>26</v>
      </c>
      <c r="D1059" s="22" t="s">
        <v>2</v>
      </c>
      <c r="E1059" s="20">
        <v>1</v>
      </c>
      <c r="F1059" s="17" t="s">
        <v>232</v>
      </c>
      <c r="G1059" s="17" t="s">
        <v>238</v>
      </c>
      <c r="H1059" s="17" t="s">
        <v>239</v>
      </c>
      <c r="I1059" s="17" t="s">
        <v>240</v>
      </c>
      <c r="J1059" s="27" t="s">
        <v>27</v>
      </c>
      <c r="K1059" s="29">
        <v>639</v>
      </c>
      <c r="L1059" s="31">
        <v>71501.949999864999</v>
      </c>
      <c r="M1059" s="31">
        <v>17485.369999988001</v>
      </c>
      <c r="N1059" s="31">
        <v>13656.159999957998</v>
      </c>
      <c r="O1059" s="34">
        <f t="shared" si="144"/>
        <v>0.24454395999019626</v>
      </c>
      <c r="P1059" s="34">
        <f t="shared" si="145"/>
        <v>0.78100492011134848</v>
      </c>
      <c r="Q1059" s="34">
        <f t="shared" si="146"/>
        <v>0.75545604000980371</v>
      </c>
      <c r="R1059" s="46">
        <f t="shared" si="147"/>
        <v>21.371142409949918</v>
      </c>
    </row>
    <row r="1060" spans="2:18" ht="12.75" customHeight="1" x14ac:dyDescent="0.25">
      <c r="B1060" s="17" t="s">
        <v>0</v>
      </c>
      <c r="C1060" s="44" t="s">
        <v>66</v>
      </c>
      <c r="D1060" s="22" t="s">
        <v>9</v>
      </c>
      <c r="E1060" s="20">
        <v>2</v>
      </c>
      <c r="F1060" s="17" t="s">
        <v>232</v>
      </c>
      <c r="G1060" s="17" t="s">
        <v>238</v>
      </c>
      <c r="H1060" s="17" t="s">
        <v>239</v>
      </c>
      <c r="I1060" s="17" t="s">
        <v>240</v>
      </c>
      <c r="J1060" s="27" t="s">
        <v>67</v>
      </c>
      <c r="K1060" s="29">
        <v>226</v>
      </c>
      <c r="L1060" s="31">
        <v>43839.280000309998</v>
      </c>
      <c r="M1060" s="31">
        <v>13460.589999895001</v>
      </c>
      <c r="N1060" s="31">
        <v>10639.650000024998</v>
      </c>
      <c r="O1060" s="34">
        <f t="shared" si="144"/>
        <v>0.30704404816410802</v>
      </c>
      <c r="P1060" s="34">
        <f t="shared" si="145"/>
        <v>0.79042969142570962</v>
      </c>
      <c r="Q1060" s="34">
        <f t="shared" si="146"/>
        <v>0.69295595183589198</v>
      </c>
      <c r="R1060" s="46">
        <f t="shared" si="147"/>
        <v>47.078097345243357</v>
      </c>
    </row>
    <row r="1061" spans="2:18" ht="12.75" customHeight="1" x14ac:dyDescent="0.25">
      <c r="B1061" s="17" t="s">
        <v>0</v>
      </c>
      <c r="C1061" s="44" t="s">
        <v>20</v>
      </c>
      <c r="D1061" s="22" t="s">
        <v>2</v>
      </c>
      <c r="E1061" s="20">
        <v>1</v>
      </c>
      <c r="F1061" s="17" t="s">
        <v>232</v>
      </c>
      <c r="G1061" s="17" t="s">
        <v>238</v>
      </c>
      <c r="H1061" s="17" t="s">
        <v>239</v>
      </c>
      <c r="I1061" s="17" t="s">
        <v>240</v>
      </c>
      <c r="J1061" s="27" t="s">
        <v>21</v>
      </c>
      <c r="K1061" s="29">
        <v>317</v>
      </c>
      <c r="L1061" s="31">
        <v>80075.399999999994</v>
      </c>
      <c r="M1061" s="31">
        <v>10795.149999964002</v>
      </c>
      <c r="N1061" s="31">
        <v>8536.5300000170009</v>
      </c>
      <c r="O1061" s="34">
        <f t="shared" si="144"/>
        <v>0.13481231439323441</v>
      </c>
      <c r="P1061" s="34">
        <f t="shared" si="145"/>
        <v>0.79077456080234798</v>
      </c>
      <c r="Q1061" s="34">
        <f t="shared" si="146"/>
        <v>0.86518768560676562</v>
      </c>
      <c r="R1061" s="46">
        <f t="shared" si="147"/>
        <v>26.929116719296534</v>
      </c>
    </row>
    <row r="1062" spans="2:18" ht="12.75" customHeight="1" x14ac:dyDescent="0.25">
      <c r="B1062" s="17" t="s">
        <v>0</v>
      </c>
      <c r="C1062" s="44" t="s">
        <v>58</v>
      </c>
      <c r="D1062" s="22" t="s">
        <v>2</v>
      </c>
      <c r="E1062" s="20">
        <v>1</v>
      </c>
      <c r="F1062" s="17" t="s">
        <v>232</v>
      </c>
      <c r="G1062" s="17" t="s">
        <v>238</v>
      </c>
      <c r="H1062" s="17" t="s">
        <v>239</v>
      </c>
      <c r="I1062" s="17" t="s">
        <v>240</v>
      </c>
      <c r="J1062" s="27" t="s">
        <v>59</v>
      </c>
      <c r="K1062" s="29">
        <v>276</v>
      </c>
      <c r="L1062" s="31">
        <v>74418.000000002998</v>
      </c>
      <c r="M1062" s="31">
        <v>7008.1899999559992</v>
      </c>
      <c r="N1062" s="31">
        <v>5335.8000000020002</v>
      </c>
      <c r="O1062" s="34">
        <f t="shared" si="144"/>
        <v>9.4173318282615992E-2</v>
      </c>
      <c r="P1062" s="34">
        <f t="shared" si="145"/>
        <v>0.76136634423945426</v>
      </c>
      <c r="Q1062" s="34">
        <f t="shared" si="146"/>
        <v>0.90582668171738401</v>
      </c>
      <c r="R1062" s="46">
        <f t="shared" si="147"/>
        <v>19.33260869565942</v>
      </c>
    </row>
    <row r="1063" spans="2:18" ht="12.75" customHeight="1" x14ac:dyDescent="0.25">
      <c r="B1063" s="17" t="s">
        <v>0</v>
      </c>
      <c r="C1063" s="44" t="s">
        <v>50</v>
      </c>
      <c r="D1063" s="22" t="s">
        <v>2</v>
      </c>
      <c r="E1063" s="20">
        <v>1</v>
      </c>
      <c r="F1063" s="17" t="s">
        <v>232</v>
      </c>
      <c r="G1063" s="17" t="s">
        <v>238</v>
      </c>
      <c r="H1063" s="17" t="s">
        <v>239</v>
      </c>
      <c r="I1063" s="17" t="s">
        <v>240</v>
      </c>
      <c r="J1063" s="27" t="s">
        <v>51</v>
      </c>
      <c r="K1063" s="29">
        <v>505</v>
      </c>
      <c r="L1063" s="31">
        <v>44809.08</v>
      </c>
      <c r="M1063" s="31">
        <v>6612.9200000430001</v>
      </c>
      <c r="N1063" s="31">
        <v>5247.1600000279996</v>
      </c>
      <c r="O1063" s="34">
        <f t="shared" si="144"/>
        <v>0.14757991014417166</v>
      </c>
      <c r="P1063" s="34">
        <f t="shared" si="145"/>
        <v>0.79347096290199792</v>
      </c>
      <c r="Q1063" s="34">
        <f t="shared" si="146"/>
        <v>0.85242008985582829</v>
      </c>
      <c r="R1063" s="46">
        <f t="shared" si="147"/>
        <v>10.390415841639603</v>
      </c>
    </row>
    <row r="1064" spans="2:18" ht="12.75" customHeight="1" x14ac:dyDescent="0.25">
      <c r="B1064" s="17" t="s">
        <v>0</v>
      </c>
      <c r="C1064" s="44" t="s">
        <v>66</v>
      </c>
      <c r="D1064" s="22" t="s">
        <v>2</v>
      </c>
      <c r="E1064" s="20">
        <v>1</v>
      </c>
      <c r="F1064" s="17" t="s">
        <v>232</v>
      </c>
      <c r="G1064" s="17" t="s">
        <v>238</v>
      </c>
      <c r="H1064" s="17" t="s">
        <v>239</v>
      </c>
      <c r="I1064" s="17" t="s">
        <v>240</v>
      </c>
      <c r="J1064" s="27" t="s">
        <v>67</v>
      </c>
      <c r="K1064" s="29">
        <v>285</v>
      </c>
      <c r="L1064" s="31">
        <v>74974.99999923</v>
      </c>
      <c r="M1064" s="31">
        <v>6817.6700000630008</v>
      </c>
      <c r="N1064" s="31">
        <v>5227.0200000619998</v>
      </c>
      <c r="O1064" s="34">
        <f t="shared" si="144"/>
        <v>9.0932577527616118E-2</v>
      </c>
      <c r="P1064" s="34">
        <f t="shared" si="145"/>
        <v>0.76668715265093468</v>
      </c>
      <c r="Q1064" s="34">
        <f t="shared" si="146"/>
        <v>0.90906742247238392</v>
      </c>
      <c r="R1064" s="46">
        <f t="shared" si="147"/>
        <v>18.340421052849123</v>
      </c>
    </row>
    <row r="1065" spans="2:18" ht="12.75" customHeight="1" x14ac:dyDescent="0.25">
      <c r="B1065" s="17" t="s">
        <v>0</v>
      </c>
      <c r="C1065" s="44" t="s">
        <v>114</v>
      </c>
      <c r="D1065" s="22" t="s">
        <v>9</v>
      </c>
      <c r="E1065" s="20">
        <v>2</v>
      </c>
      <c r="F1065" s="17" t="s">
        <v>232</v>
      </c>
      <c r="G1065" s="17" t="s">
        <v>238</v>
      </c>
      <c r="H1065" s="17" t="s">
        <v>239</v>
      </c>
      <c r="I1065" s="17" t="s">
        <v>240</v>
      </c>
      <c r="J1065" s="27" t="s">
        <v>118</v>
      </c>
      <c r="K1065" s="29">
        <v>176</v>
      </c>
      <c r="L1065" s="31">
        <v>19650</v>
      </c>
      <c r="M1065" s="31">
        <v>6745.4100000130002</v>
      </c>
      <c r="N1065" s="31">
        <v>5145.180000024</v>
      </c>
      <c r="O1065" s="34">
        <f t="shared" si="144"/>
        <v>0.34327786259608145</v>
      </c>
      <c r="P1065" s="34">
        <f t="shared" si="145"/>
        <v>0.76276757083914604</v>
      </c>
      <c r="Q1065" s="34">
        <f t="shared" si="146"/>
        <v>0.65672213740391849</v>
      </c>
      <c r="R1065" s="46">
        <f t="shared" si="147"/>
        <v>29.233977272863637</v>
      </c>
    </row>
    <row r="1066" spans="2:18" ht="12.75" customHeight="1" x14ac:dyDescent="0.25">
      <c r="B1066" s="17" t="s">
        <v>0</v>
      </c>
      <c r="C1066" s="44" t="s">
        <v>30</v>
      </c>
      <c r="D1066" s="22" t="s">
        <v>9</v>
      </c>
      <c r="E1066" s="20">
        <v>2</v>
      </c>
      <c r="F1066" s="17" t="s">
        <v>232</v>
      </c>
      <c r="G1066" s="17" t="s">
        <v>238</v>
      </c>
      <c r="H1066" s="17" t="s">
        <v>239</v>
      </c>
      <c r="I1066" s="17" t="s">
        <v>240</v>
      </c>
      <c r="J1066" s="27" t="s">
        <v>31</v>
      </c>
      <c r="K1066" s="29">
        <v>145</v>
      </c>
      <c r="L1066" s="31">
        <v>14113.96000015</v>
      </c>
      <c r="M1066" s="31">
        <v>6475.3799999789999</v>
      </c>
      <c r="N1066" s="31">
        <v>4719.7500000089995</v>
      </c>
      <c r="O1066" s="34">
        <f t="shared" si="144"/>
        <v>0.45879257132018092</v>
      </c>
      <c r="P1066" s="34">
        <f t="shared" si="145"/>
        <v>0.72887614317990701</v>
      </c>
      <c r="Q1066" s="34">
        <f t="shared" si="146"/>
        <v>0.54120742867981908</v>
      </c>
      <c r="R1066" s="46">
        <f t="shared" si="147"/>
        <v>32.550000000062063</v>
      </c>
    </row>
    <row r="1067" spans="2:18" ht="12.75" customHeight="1" x14ac:dyDescent="0.25">
      <c r="B1067" s="17" t="s">
        <v>0</v>
      </c>
      <c r="C1067" s="44" t="s">
        <v>26</v>
      </c>
      <c r="D1067" s="22" t="s">
        <v>9</v>
      </c>
      <c r="E1067" s="20">
        <v>2</v>
      </c>
      <c r="F1067" s="17" t="s">
        <v>232</v>
      </c>
      <c r="G1067" s="17" t="s">
        <v>238</v>
      </c>
      <c r="H1067" s="17" t="s">
        <v>239</v>
      </c>
      <c r="I1067" s="17" t="s">
        <v>240</v>
      </c>
      <c r="J1067" s="27" t="s">
        <v>27</v>
      </c>
      <c r="K1067" s="29">
        <v>31</v>
      </c>
      <c r="L1067" s="31">
        <v>10367.02</v>
      </c>
      <c r="M1067" s="31">
        <v>3546.0400001000003</v>
      </c>
      <c r="N1067" s="31">
        <v>2825.329999989</v>
      </c>
      <c r="O1067" s="34">
        <f t="shared" si="144"/>
        <v>0.34205007804557147</v>
      </c>
      <c r="P1067" s="34">
        <f t="shared" si="145"/>
        <v>0.79675638174113217</v>
      </c>
      <c r="Q1067" s="34">
        <f t="shared" si="146"/>
        <v>0.65794992195442847</v>
      </c>
      <c r="R1067" s="46">
        <f t="shared" si="147"/>
        <v>91.139677418999995</v>
      </c>
    </row>
    <row r="1068" spans="2:18" ht="12.75" customHeight="1" x14ac:dyDescent="0.25">
      <c r="B1068" s="17" t="s">
        <v>0</v>
      </c>
      <c r="C1068" s="44" t="s">
        <v>94</v>
      </c>
      <c r="D1068" s="22" t="s">
        <v>9</v>
      </c>
      <c r="E1068" s="20">
        <v>2</v>
      </c>
      <c r="F1068" s="17" t="s">
        <v>232</v>
      </c>
      <c r="G1068" s="17" t="s">
        <v>238</v>
      </c>
      <c r="H1068" s="17" t="s">
        <v>239</v>
      </c>
      <c r="I1068" s="17" t="s">
        <v>240</v>
      </c>
      <c r="J1068" s="27" t="s">
        <v>95</v>
      </c>
      <c r="K1068" s="29">
        <v>117</v>
      </c>
      <c r="L1068" s="31">
        <v>3987.3599999999997</v>
      </c>
      <c r="M1068" s="31">
        <v>2737.6400000429999</v>
      </c>
      <c r="N1068" s="31">
        <v>2099.2399999740001</v>
      </c>
      <c r="O1068" s="34">
        <f t="shared" si="144"/>
        <v>0.68657959151995307</v>
      </c>
      <c r="P1068" s="34">
        <f t="shared" si="145"/>
        <v>0.76680644640676909</v>
      </c>
      <c r="Q1068" s="34">
        <f t="shared" si="146"/>
        <v>0.31342040848004693</v>
      </c>
      <c r="R1068" s="46">
        <f t="shared" si="147"/>
        <v>17.942222222000002</v>
      </c>
    </row>
    <row r="1069" spans="2:18" ht="12.75" customHeight="1" x14ac:dyDescent="0.25">
      <c r="B1069" s="17" t="s">
        <v>0</v>
      </c>
      <c r="C1069" s="44" t="s">
        <v>46</v>
      </c>
      <c r="D1069" s="22" t="s">
        <v>2</v>
      </c>
      <c r="E1069" s="20">
        <v>1</v>
      </c>
      <c r="F1069" s="17" t="s">
        <v>232</v>
      </c>
      <c r="G1069" s="17" t="s">
        <v>238</v>
      </c>
      <c r="H1069" s="17" t="s">
        <v>239</v>
      </c>
      <c r="I1069" s="17" t="s">
        <v>240</v>
      </c>
      <c r="J1069" s="27" t="s">
        <v>47</v>
      </c>
      <c r="K1069" s="29">
        <v>514</v>
      </c>
      <c r="L1069" s="31">
        <v>27041.000000118001</v>
      </c>
      <c r="M1069" s="31">
        <v>2270.8000000149</v>
      </c>
      <c r="N1069" s="31">
        <v>1787.3900000107999</v>
      </c>
      <c r="O1069" s="34">
        <f t="shared" si="144"/>
        <v>8.3976184312894886E-2</v>
      </c>
      <c r="P1069" s="34">
        <f t="shared" si="145"/>
        <v>0.787119076976868</v>
      </c>
      <c r="Q1069" s="34">
        <f t="shared" si="146"/>
        <v>0.91602381568710511</v>
      </c>
      <c r="R1069" s="46">
        <f t="shared" si="147"/>
        <v>3.4774124513828792</v>
      </c>
    </row>
    <row r="1070" spans="2:18" ht="12.75" customHeight="1" x14ac:dyDescent="0.25">
      <c r="B1070" s="17" t="s">
        <v>0</v>
      </c>
      <c r="C1070" s="44" t="s">
        <v>54</v>
      </c>
      <c r="D1070" s="22" t="s">
        <v>2</v>
      </c>
      <c r="E1070" s="20">
        <v>1</v>
      </c>
      <c r="F1070" s="17" t="s">
        <v>232</v>
      </c>
      <c r="G1070" s="17" t="s">
        <v>238</v>
      </c>
      <c r="H1070" s="17" t="s">
        <v>239</v>
      </c>
      <c r="I1070" s="17" t="s">
        <v>240</v>
      </c>
      <c r="J1070" s="27" t="s">
        <v>55</v>
      </c>
      <c r="K1070" s="29">
        <v>48</v>
      </c>
      <c r="L1070" s="31">
        <v>13296</v>
      </c>
      <c r="M1070" s="31">
        <v>1300.8</v>
      </c>
      <c r="N1070" s="31">
        <v>1036.2600000119999</v>
      </c>
      <c r="O1070" s="34">
        <f t="shared" si="144"/>
        <v>9.7833935018050544E-2</v>
      </c>
      <c r="P1070" s="34">
        <f t="shared" si="145"/>
        <v>0.79663284133763834</v>
      </c>
      <c r="Q1070" s="34">
        <f t="shared" si="146"/>
        <v>0.9021660649819494</v>
      </c>
      <c r="R1070" s="46">
        <f t="shared" si="147"/>
        <v>21.588750000249998</v>
      </c>
    </row>
    <row r="1071" spans="2:18" ht="12.75" customHeight="1" x14ac:dyDescent="0.25">
      <c r="B1071" s="17" t="s">
        <v>0</v>
      </c>
      <c r="C1071" s="44" t="s">
        <v>103</v>
      </c>
      <c r="D1071" s="22" t="s">
        <v>9</v>
      </c>
      <c r="E1071" s="20">
        <v>2</v>
      </c>
      <c r="F1071" s="17" t="s">
        <v>232</v>
      </c>
      <c r="G1071" s="17" t="s">
        <v>238</v>
      </c>
      <c r="H1071" s="17" t="s">
        <v>239</v>
      </c>
      <c r="I1071" s="17" t="s">
        <v>240</v>
      </c>
      <c r="J1071" s="27" t="s">
        <v>104</v>
      </c>
      <c r="K1071" s="29">
        <v>64</v>
      </c>
      <c r="L1071" s="31">
        <v>4297.0000000029995</v>
      </c>
      <c r="M1071" s="31">
        <v>1238.0900000040001</v>
      </c>
      <c r="N1071" s="31">
        <v>987.77000000699991</v>
      </c>
      <c r="O1071" s="34">
        <f t="shared" si="144"/>
        <v>0.28812892715921246</v>
      </c>
      <c r="P1071" s="34">
        <f t="shared" si="145"/>
        <v>0.79781760615448682</v>
      </c>
      <c r="Q1071" s="34">
        <f t="shared" si="146"/>
        <v>0.71187107284078754</v>
      </c>
      <c r="R1071" s="46">
        <f t="shared" si="147"/>
        <v>15.433906250109374</v>
      </c>
    </row>
    <row r="1072" spans="2:18" ht="12.75" customHeight="1" x14ac:dyDescent="0.25">
      <c r="B1072" s="17" t="s">
        <v>0</v>
      </c>
      <c r="C1072" s="44" t="s">
        <v>103</v>
      </c>
      <c r="D1072" s="22" t="s">
        <v>2</v>
      </c>
      <c r="E1072" s="20">
        <v>1</v>
      </c>
      <c r="F1072" s="17" t="s">
        <v>232</v>
      </c>
      <c r="G1072" s="17" t="s">
        <v>238</v>
      </c>
      <c r="H1072" s="17" t="s">
        <v>239</v>
      </c>
      <c r="I1072" s="17" t="s">
        <v>240</v>
      </c>
      <c r="J1072" s="27" t="s">
        <v>104</v>
      </c>
      <c r="K1072" s="29">
        <v>38</v>
      </c>
      <c r="L1072" s="31">
        <v>10628.000000139999</v>
      </c>
      <c r="M1072" s="31">
        <v>969.93999999599998</v>
      </c>
      <c r="N1072" s="31">
        <v>754.05000001400003</v>
      </c>
      <c r="O1072" s="34">
        <f t="shared" si="144"/>
        <v>9.1262702294243825E-2</v>
      </c>
      <c r="P1072" s="34">
        <f t="shared" si="145"/>
        <v>0.77741922182517442</v>
      </c>
      <c r="Q1072" s="34">
        <f t="shared" si="146"/>
        <v>0.90873729770575618</v>
      </c>
      <c r="R1072" s="46">
        <f t="shared" si="147"/>
        <v>19.843421053</v>
      </c>
    </row>
    <row r="1073" spans="2:18" ht="12.75" customHeight="1" x14ac:dyDescent="0.25">
      <c r="B1073" s="17" t="s">
        <v>0</v>
      </c>
      <c r="C1073" s="44" t="s">
        <v>74</v>
      </c>
      <c r="D1073" s="22" t="s">
        <v>2</v>
      </c>
      <c r="E1073" s="20">
        <v>1</v>
      </c>
      <c r="F1073" s="17" t="s">
        <v>232</v>
      </c>
      <c r="G1073" s="17" t="s">
        <v>238</v>
      </c>
      <c r="H1073" s="17" t="s">
        <v>239</v>
      </c>
      <c r="I1073" s="17" t="s">
        <v>240</v>
      </c>
      <c r="J1073" s="27" t="s">
        <v>75</v>
      </c>
      <c r="K1073" s="29">
        <v>84</v>
      </c>
      <c r="L1073" s="31">
        <v>4710</v>
      </c>
      <c r="M1073" s="31">
        <v>649.6399999926</v>
      </c>
      <c r="N1073" s="31">
        <v>451.16999999579997</v>
      </c>
      <c r="O1073" s="34">
        <f t="shared" si="144"/>
        <v>0.13792781316191083</v>
      </c>
      <c r="P1073" s="34">
        <f t="shared" si="145"/>
        <v>0.69449233421731915</v>
      </c>
      <c r="Q1073" s="34">
        <f t="shared" si="146"/>
        <v>0.86207218683808917</v>
      </c>
      <c r="R1073" s="46">
        <f t="shared" si="147"/>
        <v>5.3710714285214278</v>
      </c>
    </row>
    <row r="1074" spans="2:18" ht="12.75" customHeight="1" x14ac:dyDescent="0.25">
      <c r="B1074" s="17" t="s">
        <v>0</v>
      </c>
      <c r="C1074" s="44" t="s">
        <v>36</v>
      </c>
      <c r="D1074" s="22" t="s">
        <v>2</v>
      </c>
      <c r="E1074" s="20">
        <v>1</v>
      </c>
      <c r="F1074" s="17" t="s">
        <v>232</v>
      </c>
      <c r="G1074" s="17" t="s">
        <v>238</v>
      </c>
      <c r="H1074" s="17" t="s">
        <v>239</v>
      </c>
      <c r="I1074" s="17" t="s">
        <v>240</v>
      </c>
      <c r="J1074" s="27" t="s">
        <v>37</v>
      </c>
      <c r="K1074" s="29">
        <v>164</v>
      </c>
      <c r="L1074" s="31">
        <v>7544</v>
      </c>
      <c r="M1074" s="31">
        <v>448.17999999200003</v>
      </c>
      <c r="N1074" s="31">
        <v>357.41000000119999</v>
      </c>
      <c r="O1074" s="34">
        <f t="shared" si="144"/>
        <v>5.9408801695652179E-2</v>
      </c>
      <c r="P1074" s="34">
        <f t="shared" si="145"/>
        <v>0.79746976662854152</v>
      </c>
      <c r="Q1074" s="34">
        <f t="shared" si="146"/>
        <v>0.94059119830434779</v>
      </c>
      <c r="R1074" s="46">
        <f t="shared" si="147"/>
        <v>2.1793292683000001</v>
      </c>
    </row>
    <row r="1075" spans="2:18" ht="12.75" customHeight="1" x14ac:dyDescent="0.25">
      <c r="B1075" s="17" t="s">
        <v>0</v>
      </c>
      <c r="C1075" s="44" t="s">
        <v>1</v>
      </c>
      <c r="D1075" s="22" t="s">
        <v>2</v>
      </c>
      <c r="E1075" s="20">
        <v>1</v>
      </c>
      <c r="F1075" s="17" t="s">
        <v>232</v>
      </c>
      <c r="G1075" s="17" t="s">
        <v>238</v>
      </c>
      <c r="H1075" s="17" t="s">
        <v>239</v>
      </c>
      <c r="I1075" s="17" t="s">
        <v>240</v>
      </c>
      <c r="J1075" s="27" t="s">
        <v>6</v>
      </c>
      <c r="K1075" s="29">
        <v>17</v>
      </c>
      <c r="L1075" s="31">
        <v>2533</v>
      </c>
      <c r="M1075" s="31">
        <v>430.87000000600005</v>
      </c>
      <c r="N1075" s="31">
        <v>323.00999999499999</v>
      </c>
      <c r="O1075" s="34">
        <f t="shared" si="144"/>
        <v>0.17010264508724834</v>
      </c>
      <c r="P1075" s="34">
        <f t="shared" si="145"/>
        <v>0.74966927377283621</v>
      </c>
      <c r="Q1075" s="34">
        <f t="shared" si="146"/>
        <v>0.82989735491275163</v>
      </c>
      <c r="R1075" s="46">
        <f t="shared" si="147"/>
        <v>19.000588234999999</v>
      </c>
    </row>
    <row r="1076" spans="2:18" ht="12.75" customHeight="1" thickBot="1" x14ac:dyDescent="0.3">
      <c r="B1076" s="15" t="s">
        <v>0</v>
      </c>
      <c r="C1076" s="50" t="s">
        <v>72</v>
      </c>
      <c r="D1076" s="19" t="s">
        <v>2</v>
      </c>
      <c r="E1076" s="16">
        <v>1</v>
      </c>
      <c r="F1076" s="15" t="s">
        <v>232</v>
      </c>
      <c r="G1076" s="15" t="s">
        <v>238</v>
      </c>
      <c r="H1076" s="15" t="s">
        <v>239</v>
      </c>
      <c r="I1076" s="15" t="s">
        <v>240</v>
      </c>
      <c r="J1076" s="24" t="s">
        <v>73</v>
      </c>
      <c r="K1076" s="26">
        <v>12</v>
      </c>
      <c r="L1076" s="28">
        <v>2273.3999999999996</v>
      </c>
      <c r="M1076" s="28">
        <v>303.60000000000002</v>
      </c>
      <c r="N1076" s="28">
        <v>241.92000000000002</v>
      </c>
      <c r="O1076" s="32">
        <f t="shared" si="144"/>
        <v>0.1335444708366324</v>
      </c>
      <c r="P1076" s="32">
        <f t="shared" si="145"/>
        <v>0.79683794466403157</v>
      </c>
      <c r="Q1076" s="32">
        <f t="shared" si="146"/>
        <v>0.86645552916336754</v>
      </c>
      <c r="R1076" s="49">
        <f t="shared" si="147"/>
        <v>20.16</v>
      </c>
    </row>
    <row r="1077" spans="2:18" ht="17.25" customHeight="1" x14ac:dyDescent="0.25">
      <c r="B1077" s="48"/>
      <c r="C1077" s="58"/>
      <c r="D1077" s="51" t="s">
        <v>366</v>
      </c>
      <c r="E1077" s="52"/>
      <c r="F1077" s="52"/>
      <c r="G1077" s="53"/>
      <c r="H1077" s="53"/>
      <c r="I1077" s="53"/>
      <c r="J1077" s="54"/>
      <c r="K1077" s="55">
        <f>SUM(K1036:K1076)</f>
        <v>717698</v>
      </c>
      <c r="L1077" s="56">
        <f>SUM(L1036:L1076)</f>
        <v>89686718.800048158</v>
      </c>
      <c r="M1077" s="56">
        <f>SUM(M1036:M1076)</f>
        <v>29175987.270010855</v>
      </c>
      <c r="N1077" s="56">
        <f>SUM(N1036:N1076)</f>
        <v>21513839.340005346</v>
      </c>
      <c r="O1077" s="57">
        <f>IFERROR(M1077/L1077,0)</f>
        <v>0.32531000866535426</v>
      </c>
      <c r="P1077" s="57">
        <f>IFERROR(N1077/M1077,0)</f>
        <v>0.7373817084887061</v>
      </c>
      <c r="Q1077" s="57">
        <f>IFERROR(1-(M1077/L1077),0)</f>
        <v>0.6746899913346458</v>
      </c>
      <c r="R1077" s="59">
        <f>IFERROR(N1077/K1077,0)</f>
        <v>29.976172902816149</v>
      </c>
    </row>
    <row r="1078" spans="2:18" ht="15.75" thickBot="1" x14ac:dyDescent="0.3">
      <c r="B1078" s="60"/>
      <c r="C1078" s="64"/>
      <c r="D1078" s="62" t="s">
        <v>240</v>
      </c>
      <c r="E1078" s="61"/>
      <c r="F1078" s="61"/>
      <c r="G1078" s="61"/>
      <c r="H1078" s="61"/>
      <c r="I1078" s="61"/>
      <c r="J1078" s="61"/>
      <c r="K1078" s="63"/>
      <c r="L1078" s="63"/>
      <c r="M1078" s="63"/>
      <c r="N1078" s="63"/>
      <c r="O1078" s="63"/>
      <c r="P1078" s="63"/>
      <c r="Q1078" s="63"/>
      <c r="R1078" s="65"/>
    </row>
    <row r="1079" spans="2:18" ht="15.75" thickBot="1" x14ac:dyDescent="0.3"/>
    <row r="1080" spans="2:18" ht="15.75" x14ac:dyDescent="0.25">
      <c r="B1080" s="1"/>
      <c r="C1080" s="7" t="s">
        <v>348</v>
      </c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9"/>
    </row>
    <row r="1081" spans="2:18" ht="18" x14ac:dyDescent="0.25">
      <c r="B1081" s="2"/>
      <c r="C1081" s="8" t="s">
        <v>243</v>
      </c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10"/>
    </row>
    <row r="1082" spans="2:18" ht="15.75" thickBot="1" x14ac:dyDescent="0.3">
      <c r="B1082" s="3"/>
      <c r="C1082" s="11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12"/>
    </row>
    <row r="1083" spans="2:18" ht="17.25" customHeight="1" thickBot="1" x14ac:dyDescent="0.3">
      <c r="B1083" s="14" t="s">
        <v>349</v>
      </c>
      <c r="C1083" s="18" t="s">
        <v>350</v>
      </c>
      <c r="D1083" s="21" t="s">
        <v>351</v>
      </c>
      <c r="E1083" s="23" t="s">
        <v>352</v>
      </c>
      <c r="F1083" s="21" t="s">
        <v>353</v>
      </c>
      <c r="G1083" s="23" t="s">
        <v>354</v>
      </c>
      <c r="H1083" s="23" t="s">
        <v>355</v>
      </c>
      <c r="I1083" s="23" t="s">
        <v>356</v>
      </c>
      <c r="J1083" s="25" t="s">
        <v>357</v>
      </c>
      <c r="K1083" s="25" t="s">
        <v>358</v>
      </c>
      <c r="L1083" s="30" t="s">
        <v>359</v>
      </c>
      <c r="M1083" s="30" t="s">
        <v>360</v>
      </c>
      <c r="N1083" s="30" t="s">
        <v>361</v>
      </c>
      <c r="O1083" s="33" t="s">
        <v>362</v>
      </c>
      <c r="P1083" s="33" t="s">
        <v>363</v>
      </c>
      <c r="Q1083" s="33" t="s">
        <v>364</v>
      </c>
      <c r="R1083" s="35" t="s">
        <v>365</v>
      </c>
    </row>
    <row r="1084" spans="2:18" ht="12.75" customHeight="1" x14ac:dyDescent="0.25">
      <c r="B1084" s="17" t="s">
        <v>0</v>
      </c>
      <c r="C1084" s="43" t="s">
        <v>18</v>
      </c>
      <c r="D1084" s="37" t="s">
        <v>9</v>
      </c>
      <c r="E1084" s="36">
        <v>2</v>
      </c>
      <c r="F1084" s="38" t="s">
        <v>232</v>
      </c>
      <c r="G1084" s="38" t="s">
        <v>241</v>
      </c>
      <c r="H1084" s="38" t="s">
        <v>242</v>
      </c>
      <c r="I1084" s="38" t="s">
        <v>243</v>
      </c>
      <c r="J1084" s="39" t="s">
        <v>19</v>
      </c>
      <c r="K1084" s="40">
        <v>147607</v>
      </c>
      <c r="L1084" s="41">
        <v>162848508.83000484</v>
      </c>
      <c r="M1084" s="41">
        <v>22980812.519984372</v>
      </c>
      <c r="N1084" s="41">
        <v>17426826.900014792</v>
      </c>
      <c r="O1084" s="42">
        <f t="shared" ref="O1084:O1118" si="148">IFERROR(M1084/L1084,0)</f>
        <v>0.14111773380727546</v>
      </c>
      <c r="P1084" s="42">
        <f t="shared" ref="P1084:P1118" si="149">IFERROR(N1084/M1084,0)</f>
        <v>0.75832074626866341</v>
      </c>
      <c r="Q1084" s="42">
        <f t="shared" ref="Q1084:Q1118" si="150">IFERROR(1-(M1084/L1084),0)</f>
        <v>0.85888226619272456</v>
      </c>
      <c r="R1084" s="45">
        <f t="shared" ref="R1084:R1118" si="151">IFERROR(N1084/K1084,0)</f>
        <v>118.06233376475906</v>
      </c>
    </row>
    <row r="1085" spans="2:18" ht="12.75" customHeight="1" x14ac:dyDescent="0.25">
      <c r="B1085" s="17" t="s">
        <v>0</v>
      </c>
      <c r="C1085" s="44" t="s">
        <v>236</v>
      </c>
      <c r="D1085" s="22" t="s">
        <v>9</v>
      </c>
      <c r="E1085" s="20">
        <v>2</v>
      </c>
      <c r="F1085" s="17" t="s">
        <v>232</v>
      </c>
      <c r="G1085" s="17" t="s">
        <v>241</v>
      </c>
      <c r="H1085" s="17" t="s">
        <v>242</v>
      </c>
      <c r="I1085" s="17" t="s">
        <v>243</v>
      </c>
      <c r="J1085" s="27" t="s">
        <v>237</v>
      </c>
      <c r="K1085" s="29">
        <v>109622</v>
      </c>
      <c r="L1085" s="31">
        <v>249929926.11991552</v>
      </c>
      <c r="M1085" s="31">
        <v>22138538.99478782</v>
      </c>
      <c r="N1085" s="31">
        <v>16726624.086546233</v>
      </c>
      <c r="O1085" s="34">
        <f t="shared" si="148"/>
        <v>8.8578984271638697E-2</v>
      </c>
      <c r="P1085" s="34">
        <f t="shared" si="149"/>
        <v>0.75554326735311039</v>
      </c>
      <c r="Q1085" s="34">
        <f t="shared" si="150"/>
        <v>0.91142101572836132</v>
      </c>
      <c r="R1085" s="46">
        <f t="shared" si="151"/>
        <v>152.58455498482269</v>
      </c>
    </row>
    <row r="1086" spans="2:18" ht="12.75" customHeight="1" x14ac:dyDescent="0.25">
      <c r="B1086" s="17" t="s">
        <v>0</v>
      </c>
      <c r="C1086" s="44" t="s">
        <v>18</v>
      </c>
      <c r="D1086" s="22" t="s">
        <v>2</v>
      </c>
      <c r="E1086" s="20">
        <v>1</v>
      </c>
      <c r="F1086" s="17" t="s">
        <v>232</v>
      </c>
      <c r="G1086" s="17" t="s">
        <v>241</v>
      </c>
      <c r="H1086" s="17" t="s">
        <v>242</v>
      </c>
      <c r="I1086" s="17" t="s">
        <v>243</v>
      </c>
      <c r="J1086" s="27" t="s">
        <v>19</v>
      </c>
      <c r="K1086" s="29">
        <v>250927</v>
      </c>
      <c r="L1086" s="31">
        <v>151508663.51991022</v>
      </c>
      <c r="M1086" s="31">
        <v>19937356.089999694</v>
      </c>
      <c r="N1086" s="31">
        <v>15243865.799998911</v>
      </c>
      <c r="O1086" s="34">
        <f t="shared" si="148"/>
        <v>0.13159218507250356</v>
      </c>
      <c r="P1086" s="34">
        <f t="shared" si="149"/>
        <v>0.76458812949852595</v>
      </c>
      <c r="Q1086" s="34">
        <f t="shared" si="150"/>
        <v>0.86840781492749641</v>
      </c>
      <c r="R1086" s="46">
        <f t="shared" si="151"/>
        <v>60.75020145300789</v>
      </c>
    </row>
    <row r="1087" spans="2:18" ht="12.75" customHeight="1" x14ac:dyDescent="0.25">
      <c r="B1087" s="17" t="s">
        <v>0</v>
      </c>
      <c r="C1087" s="44" t="s">
        <v>90</v>
      </c>
      <c r="D1087" s="22" t="s">
        <v>9</v>
      </c>
      <c r="E1087" s="20">
        <v>2</v>
      </c>
      <c r="F1087" s="17" t="s">
        <v>232</v>
      </c>
      <c r="G1087" s="17" t="s">
        <v>241</v>
      </c>
      <c r="H1087" s="17" t="s">
        <v>242</v>
      </c>
      <c r="I1087" s="17" t="s">
        <v>243</v>
      </c>
      <c r="J1087" s="27" t="s">
        <v>91</v>
      </c>
      <c r="K1087" s="29">
        <v>6426</v>
      </c>
      <c r="L1087" s="31">
        <v>7448840.9999992885</v>
      </c>
      <c r="M1087" s="31">
        <v>1011530.5799969385</v>
      </c>
      <c r="N1087" s="31">
        <v>741558.34999676712</v>
      </c>
      <c r="O1087" s="34">
        <f t="shared" si="148"/>
        <v>0.1357970427878693</v>
      </c>
      <c r="P1087" s="34">
        <f t="shared" si="149"/>
        <v>0.73310522159301561</v>
      </c>
      <c r="Q1087" s="34">
        <f t="shared" si="150"/>
        <v>0.8642029572121307</v>
      </c>
      <c r="R1087" s="46">
        <f t="shared" si="151"/>
        <v>115.39968098300142</v>
      </c>
    </row>
    <row r="1088" spans="2:18" ht="12.75" customHeight="1" x14ac:dyDescent="0.25">
      <c r="B1088" s="17" t="s">
        <v>0</v>
      </c>
      <c r="C1088" s="44" t="s">
        <v>66</v>
      </c>
      <c r="D1088" s="22" t="s">
        <v>9</v>
      </c>
      <c r="E1088" s="20">
        <v>2</v>
      </c>
      <c r="F1088" s="17" t="s">
        <v>232</v>
      </c>
      <c r="G1088" s="17" t="s">
        <v>241</v>
      </c>
      <c r="H1088" s="17" t="s">
        <v>242</v>
      </c>
      <c r="I1088" s="17" t="s">
        <v>243</v>
      </c>
      <c r="J1088" s="27" t="s">
        <v>67</v>
      </c>
      <c r="K1088" s="29">
        <v>3177</v>
      </c>
      <c r="L1088" s="31">
        <v>3369960.33999976</v>
      </c>
      <c r="M1088" s="31">
        <v>495035.68999804498</v>
      </c>
      <c r="N1088" s="31">
        <v>379053.919999248</v>
      </c>
      <c r="O1088" s="34">
        <f t="shared" si="148"/>
        <v>0.1468965922602164</v>
      </c>
      <c r="P1088" s="34">
        <f t="shared" si="149"/>
        <v>0.765710286465901</v>
      </c>
      <c r="Q1088" s="34">
        <f t="shared" si="150"/>
        <v>0.85310340773978366</v>
      </c>
      <c r="R1088" s="46">
        <f t="shared" si="151"/>
        <v>119.31190431200756</v>
      </c>
    </row>
    <row r="1089" spans="2:18" ht="12.75" customHeight="1" x14ac:dyDescent="0.25">
      <c r="B1089" s="17" t="s">
        <v>0</v>
      </c>
      <c r="C1089" s="44" t="s">
        <v>26</v>
      </c>
      <c r="D1089" s="22" t="s">
        <v>2</v>
      </c>
      <c r="E1089" s="20">
        <v>1</v>
      </c>
      <c r="F1089" s="17" t="s">
        <v>232</v>
      </c>
      <c r="G1089" s="17" t="s">
        <v>241</v>
      </c>
      <c r="H1089" s="17" t="s">
        <v>242</v>
      </c>
      <c r="I1089" s="17" t="s">
        <v>243</v>
      </c>
      <c r="J1089" s="27" t="s">
        <v>27</v>
      </c>
      <c r="K1089" s="29">
        <v>3980</v>
      </c>
      <c r="L1089" s="31">
        <v>2002679.5100022601</v>
      </c>
      <c r="M1089" s="31">
        <v>311419.50000010786</v>
      </c>
      <c r="N1089" s="31">
        <v>238014.48000003002</v>
      </c>
      <c r="O1089" s="34">
        <f t="shared" si="148"/>
        <v>0.15550141620001715</v>
      </c>
      <c r="P1089" s="34">
        <f t="shared" si="149"/>
        <v>0.76428894144376824</v>
      </c>
      <c r="Q1089" s="34">
        <f t="shared" si="150"/>
        <v>0.84449858379998288</v>
      </c>
      <c r="R1089" s="46">
        <f t="shared" si="151"/>
        <v>59.802633165836689</v>
      </c>
    </row>
    <row r="1090" spans="2:18" ht="12.75" customHeight="1" x14ac:dyDescent="0.25">
      <c r="B1090" s="17" t="s">
        <v>0</v>
      </c>
      <c r="C1090" s="44" t="s">
        <v>14</v>
      </c>
      <c r="D1090" s="22" t="s">
        <v>2</v>
      </c>
      <c r="E1090" s="20">
        <v>1</v>
      </c>
      <c r="F1090" s="17" t="s">
        <v>232</v>
      </c>
      <c r="G1090" s="17" t="s">
        <v>241</v>
      </c>
      <c r="H1090" s="17" t="s">
        <v>242</v>
      </c>
      <c r="I1090" s="17" t="s">
        <v>243</v>
      </c>
      <c r="J1090" s="27" t="s">
        <v>15</v>
      </c>
      <c r="K1090" s="29">
        <v>5451</v>
      </c>
      <c r="L1090" s="31">
        <v>1729279.3900002532</v>
      </c>
      <c r="M1090" s="31">
        <v>241116.97999925009</v>
      </c>
      <c r="N1090" s="31">
        <v>184921.49000003008</v>
      </c>
      <c r="O1090" s="34">
        <f t="shared" si="148"/>
        <v>0.13943205556807958</v>
      </c>
      <c r="P1090" s="34">
        <f t="shared" si="149"/>
        <v>0.76693682046202316</v>
      </c>
      <c r="Q1090" s="34">
        <f t="shared" si="150"/>
        <v>0.86056794443192042</v>
      </c>
      <c r="R1090" s="46">
        <f t="shared" si="151"/>
        <v>33.924323977257401</v>
      </c>
    </row>
    <row r="1091" spans="2:18" ht="12.75" customHeight="1" x14ac:dyDescent="0.25">
      <c r="B1091" s="17" t="s">
        <v>0</v>
      </c>
      <c r="C1091" s="44" t="s">
        <v>30</v>
      </c>
      <c r="D1091" s="22" t="s">
        <v>9</v>
      </c>
      <c r="E1091" s="20">
        <v>2</v>
      </c>
      <c r="F1091" s="17" t="s">
        <v>232</v>
      </c>
      <c r="G1091" s="17" t="s">
        <v>241</v>
      </c>
      <c r="H1091" s="17" t="s">
        <v>242</v>
      </c>
      <c r="I1091" s="17" t="s">
        <v>243</v>
      </c>
      <c r="J1091" s="27" t="s">
        <v>31</v>
      </c>
      <c r="K1091" s="29">
        <v>511</v>
      </c>
      <c r="L1091" s="31">
        <v>995984.00000039197</v>
      </c>
      <c r="M1091" s="31">
        <v>99570.410000195014</v>
      </c>
      <c r="N1091" s="31">
        <v>75361.320000734006</v>
      </c>
      <c r="O1091" s="34">
        <f t="shared" si="148"/>
        <v>9.9971897139066318E-2</v>
      </c>
      <c r="P1091" s="34">
        <f t="shared" si="149"/>
        <v>0.75686461470417177</v>
      </c>
      <c r="Q1091" s="34">
        <f t="shared" si="150"/>
        <v>0.90002810286093371</v>
      </c>
      <c r="R1091" s="46">
        <f t="shared" si="151"/>
        <v>147.47812133216047</v>
      </c>
    </row>
    <row r="1092" spans="2:18" ht="12.75" customHeight="1" x14ac:dyDescent="0.25">
      <c r="B1092" s="17" t="s">
        <v>0</v>
      </c>
      <c r="C1092" s="44" t="s">
        <v>54</v>
      </c>
      <c r="D1092" s="22" t="s">
        <v>9</v>
      </c>
      <c r="E1092" s="20">
        <v>2</v>
      </c>
      <c r="F1092" s="17" t="s">
        <v>232</v>
      </c>
      <c r="G1092" s="17" t="s">
        <v>241</v>
      </c>
      <c r="H1092" s="17" t="s">
        <v>242</v>
      </c>
      <c r="I1092" s="17" t="s">
        <v>243</v>
      </c>
      <c r="J1092" s="27" t="s">
        <v>55</v>
      </c>
      <c r="K1092" s="29">
        <v>619</v>
      </c>
      <c r="L1092" s="31">
        <v>558307.58999981009</v>
      </c>
      <c r="M1092" s="31">
        <v>94008.740000609978</v>
      </c>
      <c r="N1092" s="31">
        <v>70947.699999813005</v>
      </c>
      <c r="O1092" s="34">
        <f t="shared" si="148"/>
        <v>0.16838162633727038</v>
      </c>
      <c r="P1092" s="34">
        <f t="shared" si="149"/>
        <v>0.75469259559645896</v>
      </c>
      <c r="Q1092" s="34">
        <f t="shared" si="150"/>
        <v>0.83161837366272962</v>
      </c>
      <c r="R1092" s="46">
        <f t="shared" si="151"/>
        <v>114.61663974121649</v>
      </c>
    </row>
    <row r="1093" spans="2:18" ht="12.75" customHeight="1" x14ac:dyDescent="0.25">
      <c r="B1093" s="17" t="s">
        <v>0</v>
      </c>
      <c r="C1093" s="44" t="s">
        <v>161</v>
      </c>
      <c r="D1093" s="22" t="s">
        <v>9</v>
      </c>
      <c r="E1093" s="20">
        <v>2</v>
      </c>
      <c r="F1093" s="17" t="s">
        <v>232</v>
      </c>
      <c r="G1093" s="17" t="s">
        <v>241</v>
      </c>
      <c r="H1093" s="17" t="s">
        <v>242</v>
      </c>
      <c r="I1093" s="17" t="s">
        <v>243</v>
      </c>
      <c r="J1093" s="27" t="s">
        <v>162</v>
      </c>
      <c r="K1093" s="29">
        <v>392</v>
      </c>
      <c r="L1093" s="31">
        <v>996257.58999990998</v>
      </c>
      <c r="M1093" s="31">
        <v>86772.30999939001</v>
      </c>
      <c r="N1093" s="31">
        <v>65002.219999610003</v>
      </c>
      <c r="O1093" s="34">
        <f t="shared" si="148"/>
        <v>8.7098267426397077E-2</v>
      </c>
      <c r="P1093" s="34">
        <f t="shared" si="149"/>
        <v>0.74911247608905362</v>
      </c>
      <c r="Q1093" s="34">
        <f t="shared" si="150"/>
        <v>0.91290173257360296</v>
      </c>
      <c r="R1093" s="46">
        <f t="shared" si="151"/>
        <v>165.82198979492347</v>
      </c>
    </row>
    <row r="1094" spans="2:18" ht="12.75" customHeight="1" x14ac:dyDescent="0.25">
      <c r="B1094" s="17" t="s">
        <v>0</v>
      </c>
      <c r="C1094" s="44" t="s">
        <v>58</v>
      </c>
      <c r="D1094" s="22" t="s">
        <v>9</v>
      </c>
      <c r="E1094" s="20">
        <v>2</v>
      </c>
      <c r="F1094" s="17" t="s">
        <v>232</v>
      </c>
      <c r="G1094" s="17" t="s">
        <v>241</v>
      </c>
      <c r="H1094" s="17" t="s">
        <v>242</v>
      </c>
      <c r="I1094" s="17" t="s">
        <v>243</v>
      </c>
      <c r="J1094" s="27" t="s">
        <v>59</v>
      </c>
      <c r="K1094" s="29">
        <v>562</v>
      </c>
      <c r="L1094" s="31">
        <v>393520.39999963</v>
      </c>
      <c r="M1094" s="31">
        <v>70811.550000200004</v>
      </c>
      <c r="N1094" s="31">
        <v>52372.739999711994</v>
      </c>
      <c r="O1094" s="34">
        <f t="shared" si="148"/>
        <v>0.17994378436357197</v>
      </c>
      <c r="P1094" s="34">
        <f t="shared" si="149"/>
        <v>0.73960730981830036</v>
      </c>
      <c r="Q1094" s="34">
        <f t="shared" si="150"/>
        <v>0.82005621563642805</v>
      </c>
      <c r="R1094" s="46">
        <f t="shared" si="151"/>
        <v>93.189928825110314</v>
      </c>
    </row>
    <row r="1095" spans="2:18" ht="12.75" customHeight="1" x14ac:dyDescent="0.25">
      <c r="B1095" s="17" t="s">
        <v>0</v>
      </c>
      <c r="C1095" s="44" t="s">
        <v>66</v>
      </c>
      <c r="D1095" s="22" t="s">
        <v>2</v>
      </c>
      <c r="E1095" s="20">
        <v>1</v>
      </c>
      <c r="F1095" s="17" t="s">
        <v>232</v>
      </c>
      <c r="G1095" s="17" t="s">
        <v>241</v>
      </c>
      <c r="H1095" s="17" t="s">
        <v>242</v>
      </c>
      <c r="I1095" s="17" t="s">
        <v>243</v>
      </c>
      <c r="J1095" s="27" t="s">
        <v>67</v>
      </c>
      <c r="K1095" s="29">
        <v>538</v>
      </c>
      <c r="L1095" s="31">
        <v>121768.99999985</v>
      </c>
      <c r="M1095" s="31">
        <v>40472.849999961996</v>
      </c>
      <c r="N1095" s="31">
        <v>29377.320000039999</v>
      </c>
      <c r="O1095" s="34">
        <f t="shared" si="148"/>
        <v>0.33237400323573202</v>
      </c>
      <c r="P1095" s="34">
        <f t="shared" si="149"/>
        <v>0.72585251594754474</v>
      </c>
      <c r="Q1095" s="34">
        <f t="shared" si="150"/>
        <v>0.66762599676426793</v>
      </c>
      <c r="R1095" s="46">
        <f t="shared" si="151"/>
        <v>54.604684014944233</v>
      </c>
    </row>
    <row r="1096" spans="2:18" ht="12.75" customHeight="1" x14ac:dyDescent="0.25">
      <c r="B1096" s="17" t="s">
        <v>0</v>
      </c>
      <c r="C1096" s="44" t="s">
        <v>145</v>
      </c>
      <c r="D1096" s="22" t="s">
        <v>9</v>
      </c>
      <c r="E1096" s="20">
        <v>2</v>
      </c>
      <c r="F1096" s="17" t="s">
        <v>232</v>
      </c>
      <c r="G1096" s="17" t="s">
        <v>241</v>
      </c>
      <c r="H1096" s="17" t="s">
        <v>242</v>
      </c>
      <c r="I1096" s="17" t="s">
        <v>243</v>
      </c>
      <c r="J1096" s="27" t="s">
        <v>146</v>
      </c>
      <c r="K1096" s="29">
        <v>775</v>
      </c>
      <c r="L1096" s="31">
        <v>204671.40000011201</v>
      </c>
      <c r="M1096" s="31">
        <v>36672.310000012003</v>
      </c>
      <c r="N1096" s="31">
        <v>27824.720000107005</v>
      </c>
      <c r="O1096" s="34">
        <f t="shared" si="148"/>
        <v>0.17917652393051464</v>
      </c>
      <c r="P1096" s="34">
        <f t="shared" si="149"/>
        <v>0.75873922313859965</v>
      </c>
      <c r="Q1096" s="34">
        <f t="shared" si="150"/>
        <v>0.82082347606948536</v>
      </c>
      <c r="R1096" s="46">
        <f t="shared" si="151"/>
        <v>35.902864516267101</v>
      </c>
    </row>
    <row r="1097" spans="2:18" ht="12.75" customHeight="1" x14ac:dyDescent="0.25">
      <c r="B1097" s="17" t="s">
        <v>0</v>
      </c>
      <c r="C1097" s="44" t="s">
        <v>16</v>
      </c>
      <c r="D1097" s="22" t="s">
        <v>9</v>
      </c>
      <c r="E1097" s="20">
        <v>2</v>
      </c>
      <c r="F1097" s="17" t="s">
        <v>232</v>
      </c>
      <c r="G1097" s="17" t="s">
        <v>241</v>
      </c>
      <c r="H1097" s="17" t="s">
        <v>242</v>
      </c>
      <c r="I1097" s="17" t="s">
        <v>243</v>
      </c>
      <c r="J1097" s="27" t="s">
        <v>17</v>
      </c>
      <c r="K1097" s="29">
        <v>250</v>
      </c>
      <c r="L1097" s="31">
        <v>210775.59000011999</v>
      </c>
      <c r="M1097" s="31">
        <v>34582.460000270003</v>
      </c>
      <c r="N1097" s="31">
        <v>26578.560000027002</v>
      </c>
      <c r="O1097" s="34">
        <f t="shared" si="148"/>
        <v>0.16407241464844347</v>
      </c>
      <c r="P1097" s="34">
        <f t="shared" si="149"/>
        <v>0.76855608304960055</v>
      </c>
      <c r="Q1097" s="34">
        <f t="shared" si="150"/>
        <v>0.83592758535155653</v>
      </c>
      <c r="R1097" s="46">
        <f t="shared" si="151"/>
        <v>106.31424000010801</v>
      </c>
    </row>
    <row r="1098" spans="2:18" ht="12.75" customHeight="1" x14ac:dyDescent="0.25">
      <c r="B1098" s="17" t="s">
        <v>0</v>
      </c>
      <c r="C1098" s="44" t="s">
        <v>20</v>
      </c>
      <c r="D1098" s="22" t="s">
        <v>9</v>
      </c>
      <c r="E1098" s="20">
        <v>2</v>
      </c>
      <c r="F1098" s="17" t="s">
        <v>232</v>
      </c>
      <c r="G1098" s="17" t="s">
        <v>241</v>
      </c>
      <c r="H1098" s="17" t="s">
        <v>242</v>
      </c>
      <c r="I1098" s="17" t="s">
        <v>243</v>
      </c>
      <c r="J1098" s="27" t="s">
        <v>21</v>
      </c>
      <c r="K1098" s="29">
        <v>181</v>
      </c>
      <c r="L1098" s="31">
        <v>725950</v>
      </c>
      <c r="M1098" s="31">
        <v>32682.040000289999</v>
      </c>
      <c r="N1098" s="31">
        <v>25647.77000008</v>
      </c>
      <c r="O1098" s="34">
        <f t="shared" si="148"/>
        <v>4.5019684551677111E-2</v>
      </c>
      <c r="P1098" s="34">
        <f t="shared" si="149"/>
        <v>0.78476649559979783</v>
      </c>
      <c r="Q1098" s="34">
        <f t="shared" si="150"/>
        <v>0.95498031544832285</v>
      </c>
      <c r="R1098" s="46">
        <f t="shared" si="151"/>
        <v>141.70038674077347</v>
      </c>
    </row>
    <row r="1099" spans="2:18" ht="12.75" customHeight="1" x14ac:dyDescent="0.25">
      <c r="B1099" s="17" t="s">
        <v>0</v>
      </c>
      <c r="C1099" s="44" t="s">
        <v>26</v>
      </c>
      <c r="D1099" s="22" t="s">
        <v>9</v>
      </c>
      <c r="E1099" s="20">
        <v>2</v>
      </c>
      <c r="F1099" s="17" t="s">
        <v>232</v>
      </c>
      <c r="G1099" s="17" t="s">
        <v>241</v>
      </c>
      <c r="H1099" s="17" t="s">
        <v>242</v>
      </c>
      <c r="I1099" s="17" t="s">
        <v>243</v>
      </c>
      <c r="J1099" s="27" t="s">
        <v>27</v>
      </c>
      <c r="K1099" s="29">
        <v>247</v>
      </c>
      <c r="L1099" s="31">
        <v>189668.00000042998</v>
      </c>
      <c r="M1099" s="31">
        <v>29676.669999973001</v>
      </c>
      <c r="N1099" s="31">
        <v>22711.409999985</v>
      </c>
      <c r="O1099" s="34">
        <f t="shared" si="148"/>
        <v>0.15646640445360169</v>
      </c>
      <c r="P1099" s="34">
        <f t="shared" si="149"/>
        <v>0.76529509544048113</v>
      </c>
      <c r="Q1099" s="34">
        <f t="shared" si="150"/>
        <v>0.84353359554639828</v>
      </c>
      <c r="R1099" s="46">
        <f t="shared" si="151"/>
        <v>91.949028340020249</v>
      </c>
    </row>
    <row r="1100" spans="2:18" ht="12.75" customHeight="1" x14ac:dyDescent="0.25">
      <c r="B1100" s="17" t="s">
        <v>0</v>
      </c>
      <c r="C1100" s="44" t="s">
        <v>103</v>
      </c>
      <c r="D1100" s="22" t="s">
        <v>9</v>
      </c>
      <c r="E1100" s="20">
        <v>2</v>
      </c>
      <c r="F1100" s="17" t="s">
        <v>232</v>
      </c>
      <c r="G1100" s="17" t="s">
        <v>241</v>
      </c>
      <c r="H1100" s="17" t="s">
        <v>242</v>
      </c>
      <c r="I1100" s="17" t="s">
        <v>243</v>
      </c>
      <c r="J1100" s="27" t="s">
        <v>104</v>
      </c>
      <c r="K1100" s="29">
        <v>186</v>
      </c>
      <c r="L1100" s="31">
        <v>221508.34</v>
      </c>
      <c r="M1100" s="31">
        <v>27912.40999987</v>
      </c>
      <c r="N1100" s="31">
        <v>21055.360000032997</v>
      </c>
      <c r="O1100" s="34">
        <f t="shared" si="148"/>
        <v>0.12601065043361348</v>
      </c>
      <c r="P1100" s="34">
        <f t="shared" si="149"/>
        <v>0.75433687023553542</v>
      </c>
      <c r="Q1100" s="34">
        <f t="shared" si="150"/>
        <v>0.87398934956638652</v>
      </c>
      <c r="R1100" s="46">
        <f t="shared" si="151"/>
        <v>113.20086021523117</v>
      </c>
    </row>
    <row r="1101" spans="2:18" ht="12.75" customHeight="1" x14ac:dyDescent="0.25">
      <c r="B1101" s="17" t="s">
        <v>0</v>
      </c>
      <c r="C1101" s="44" t="s">
        <v>56</v>
      </c>
      <c r="D1101" s="22" t="s">
        <v>9</v>
      </c>
      <c r="E1101" s="20">
        <v>2</v>
      </c>
      <c r="F1101" s="17" t="s">
        <v>232</v>
      </c>
      <c r="G1101" s="17" t="s">
        <v>241</v>
      </c>
      <c r="H1101" s="17" t="s">
        <v>242</v>
      </c>
      <c r="I1101" s="17" t="s">
        <v>243</v>
      </c>
      <c r="J1101" s="27" t="s">
        <v>57</v>
      </c>
      <c r="K1101" s="29">
        <v>100</v>
      </c>
      <c r="L1101" s="31">
        <v>71472.319999910003</v>
      </c>
      <c r="M1101" s="31">
        <v>22922.229999939998</v>
      </c>
      <c r="N1101" s="31">
        <v>16543.53000001</v>
      </c>
      <c r="O1101" s="34">
        <f t="shared" si="148"/>
        <v>0.32071478860583874</v>
      </c>
      <c r="P1101" s="34">
        <f t="shared" si="149"/>
        <v>0.7217242825001452</v>
      </c>
      <c r="Q1101" s="34">
        <f t="shared" si="150"/>
        <v>0.6792852113941612</v>
      </c>
      <c r="R1101" s="46">
        <f t="shared" si="151"/>
        <v>165.4353000001</v>
      </c>
    </row>
    <row r="1102" spans="2:18" ht="12.75" customHeight="1" x14ac:dyDescent="0.25">
      <c r="B1102" s="17" t="s">
        <v>0</v>
      </c>
      <c r="C1102" s="44" t="s">
        <v>96</v>
      </c>
      <c r="D1102" s="22" t="s">
        <v>9</v>
      </c>
      <c r="E1102" s="20">
        <v>2</v>
      </c>
      <c r="F1102" s="17" t="s">
        <v>232</v>
      </c>
      <c r="G1102" s="17" t="s">
        <v>241</v>
      </c>
      <c r="H1102" s="17" t="s">
        <v>242</v>
      </c>
      <c r="I1102" s="17" t="s">
        <v>243</v>
      </c>
      <c r="J1102" s="27" t="s">
        <v>97</v>
      </c>
      <c r="K1102" s="29">
        <v>105</v>
      </c>
      <c r="L1102" s="31">
        <v>50768</v>
      </c>
      <c r="M1102" s="31">
        <v>18787.099999919999</v>
      </c>
      <c r="N1102" s="31">
        <v>13273.679999889999</v>
      </c>
      <c r="O1102" s="34">
        <f t="shared" si="148"/>
        <v>0.37005791049322406</v>
      </c>
      <c r="P1102" s="34">
        <f t="shared" si="149"/>
        <v>0.70653160945257765</v>
      </c>
      <c r="Q1102" s="34">
        <f t="shared" si="150"/>
        <v>0.62994208950677599</v>
      </c>
      <c r="R1102" s="46">
        <f t="shared" si="151"/>
        <v>126.41599999895237</v>
      </c>
    </row>
    <row r="1103" spans="2:18" ht="12.75" customHeight="1" x14ac:dyDescent="0.25">
      <c r="B1103" s="17" t="s">
        <v>0</v>
      </c>
      <c r="C1103" s="44" t="s">
        <v>72</v>
      </c>
      <c r="D1103" s="22" t="s">
        <v>9</v>
      </c>
      <c r="E1103" s="20">
        <v>2</v>
      </c>
      <c r="F1103" s="17" t="s">
        <v>232</v>
      </c>
      <c r="G1103" s="17" t="s">
        <v>241</v>
      </c>
      <c r="H1103" s="17" t="s">
        <v>242</v>
      </c>
      <c r="I1103" s="17" t="s">
        <v>243</v>
      </c>
      <c r="J1103" s="27" t="s">
        <v>73</v>
      </c>
      <c r="K1103" s="29">
        <v>105</v>
      </c>
      <c r="L1103" s="31">
        <v>78647.700000020006</v>
      </c>
      <c r="M1103" s="31">
        <v>15697.829999939997</v>
      </c>
      <c r="N1103" s="31">
        <v>11653.040000008999</v>
      </c>
      <c r="O1103" s="34">
        <f t="shared" si="148"/>
        <v>0.19959680956895121</v>
      </c>
      <c r="P1103" s="34">
        <f t="shared" si="149"/>
        <v>0.74233445005160215</v>
      </c>
      <c r="Q1103" s="34">
        <f t="shared" si="150"/>
        <v>0.80040319043104879</v>
      </c>
      <c r="R1103" s="46">
        <f t="shared" si="151"/>
        <v>110.98133333341904</v>
      </c>
    </row>
    <row r="1104" spans="2:18" ht="12.75" customHeight="1" x14ac:dyDescent="0.25">
      <c r="B1104" s="17" t="s">
        <v>0</v>
      </c>
      <c r="C1104" s="44" t="s">
        <v>186</v>
      </c>
      <c r="D1104" s="22" t="s">
        <v>2</v>
      </c>
      <c r="E1104" s="20">
        <v>1</v>
      </c>
      <c r="F1104" s="17" t="s">
        <v>232</v>
      </c>
      <c r="G1104" s="17" t="s">
        <v>241</v>
      </c>
      <c r="H1104" s="17" t="s">
        <v>242</v>
      </c>
      <c r="I1104" s="17" t="s">
        <v>243</v>
      </c>
      <c r="J1104" s="27" t="s">
        <v>187</v>
      </c>
      <c r="K1104" s="29">
        <v>150</v>
      </c>
      <c r="L1104" s="31">
        <v>48900.000000100001</v>
      </c>
      <c r="M1104" s="31">
        <v>14377.249999720001</v>
      </c>
      <c r="N1104" s="31">
        <v>11263.700000057999</v>
      </c>
      <c r="O1104" s="34">
        <f t="shared" si="148"/>
        <v>0.29401329242721064</v>
      </c>
      <c r="P1104" s="34">
        <f t="shared" si="149"/>
        <v>0.78343911389711951</v>
      </c>
      <c r="Q1104" s="34">
        <f t="shared" si="150"/>
        <v>0.70598670757278936</v>
      </c>
      <c r="R1104" s="46">
        <f t="shared" si="151"/>
        <v>75.091333333720002</v>
      </c>
    </row>
    <row r="1105" spans="2:18" ht="12.75" customHeight="1" x14ac:dyDescent="0.25">
      <c r="B1105" s="17" t="s">
        <v>0</v>
      </c>
      <c r="C1105" s="44" t="s">
        <v>94</v>
      </c>
      <c r="D1105" s="22" t="s">
        <v>9</v>
      </c>
      <c r="E1105" s="20">
        <v>2</v>
      </c>
      <c r="F1105" s="17" t="s">
        <v>232</v>
      </c>
      <c r="G1105" s="17" t="s">
        <v>241</v>
      </c>
      <c r="H1105" s="17" t="s">
        <v>242</v>
      </c>
      <c r="I1105" s="17" t="s">
        <v>243</v>
      </c>
      <c r="J1105" s="27" t="s">
        <v>95</v>
      </c>
      <c r="K1105" s="29">
        <v>88</v>
      </c>
      <c r="L1105" s="31">
        <v>175050</v>
      </c>
      <c r="M1105" s="31">
        <v>15029.32000028</v>
      </c>
      <c r="N1105" s="31">
        <v>11111.460000142</v>
      </c>
      <c r="O1105" s="34">
        <f t="shared" si="148"/>
        <v>8.5857297916481001E-2</v>
      </c>
      <c r="P1105" s="34">
        <f t="shared" si="149"/>
        <v>0.73931887802874585</v>
      </c>
      <c r="Q1105" s="34">
        <f t="shared" si="150"/>
        <v>0.914142702083519</v>
      </c>
      <c r="R1105" s="46">
        <f t="shared" si="151"/>
        <v>126.26659091070455</v>
      </c>
    </row>
    <row r="1106" spans="2:18" ht="12.75" customHeight="1" x14ac:dyDescent="0.25">
      <c r="B1106" s="17" t="s">
        <v>0</v>
      </c>
      <c r="C1106" s="44" t="s">
        <v>54</v>
      </c>
      <c r="D1106" s="22" t="s">
        <v>2</v>
      </c>
      <c r="E1106" s="20">
        <v>1</v>
      </c>
      <c r="F1106" s="17" t="s">
        <v>232</v>
      </c>
      <c r="G1106" s="17" t="s">
        <v>241</v>
      </c>
      <c r="H1106" s="17" t="s">
        <v>242</v>
      </c>
      <c r="I1106" s="17" t="s">
        <v>243</v>
      </c>
      <c r="J1106" s="27" t="s">
        <v>55</v>
      </c>
      <c r="K1106" s="29">
        <v>135</v>
      </c>
      <c r="L1106" s="31">
        <v>137517.00000080001</v>
      </c>
      <c r="M1106" s="31">
        <v>13789.739999769999</v>
      </c>
      <c r="N1106" s="31">
        <v>10135.769999999</v>
      </c>
      <c r="O1106" s="34">
        <f t="shared" si="148"/>
        <v>0.10027662034286508</v>
      </c>
      <c r="P1106" s="34">
        <f t="shared" si="149"/>
        <v>0.73502256026350432</v>
      </c>
      <c r="Q1106" s="34">
        <f t="shared" si="150"/>
        <v>0.89972337965713489</v>
      </c>
      <c r="R1106" s="46">
        <f t="shared" si="151"/>
        <v>75.079777777770374</v>
      </c>
    </row>
    <row r="1107" spans="2:18" ht="12.75" customHeight="1" x14ac:dyDescent="0.25">
      <c r="B1107" s="17" t="s">
        <v>0</v>
      </c>
      <c r="C1107" s="44" t="s">
        <v>52</v>
      </c>
      <c r="D1107" s="22" t="s">
        <v>2</v>
      </c>
      <c r="E1107" s="20">
        <v>1</v>
      </c>
      <c r="F1107" s="17" t="s">
        <v>232</v>
      </c>
      <c r="G1107" s="17" t="s">
        <v>241</v>
      </c>
      <c r="H1107" s="17" t="s">
        <v>242</v>
      </c>
      <c r="I1107" s="17" t="s">
        <v>243</v>
      </c>
      <c r="J1107" s="27" t="s">
        <v>53</v>
      </c>
      <c r="K1107" s="29">
        <v>165</v>
      </c>
      <c r="L1107" s="31">
        <v>44332.479999999996</v>
      </c>
      <c r="M1107" s="31">
        <v>9050.6900000490004</v>
      </c>
      <c r="N1107" s="31">
        <v>6683.3500000006006</v>
      </c>
      <c r="O1107" s="34">
        <f t="shared" si="148"/>
        <v>0.20415483185350788</v>
      </c>
      <c r="P1107" s="34">
        <f t="shared" si="149"/>
        <v>0.73843541210276975</v>
      </c>
      <c r="Q1107" s="34">
        <f t="shared" si="150"/>
        <v>0.79584516814649209</v>
      </c>
      <c r="R1107" s="46">
        <f t="shared" si="151"/>
        <v>40.505151515155156</v>
      </c>
    </row>
    <row r="1108" spans="2:18" ht="12.75" customHeight="1" x14ac:dyDescent="0.25">
      <c r="B1108" s="17" t="s">
        <v>0</v>
      </c>
      <c r="C1108" s="44" t="s">
        <v>56</v>
      </c>
      <c r="D1108" s="22" t="s">
        <v>2</v>
      </c>
      <c r="E1108" s="20">
        <v>1</v>
      </c>
      <c r="F1108" s="17" t="s">
        <v>232</v>
      </c>
      <c r="G1108" s="17" t="s">
        <v>241</v>
      </c>
      <c r="H1108" s="17" t="s">
        <v>242</v>
      </c>
      <c r="I1108" s="17" t="s">
        <v>243</v>
      </c>
      <c r="J1108" s="27" t="s">
        <v>57</v>
      </c>
      <c r="K1108" s="29">
        <v>118</v>
      </c>
      <c r="L1108" s="31">
        <v>97141.52</v>
      </c>
      <c r="M1108" s="31">
        <v>6345.1399999939995</v>
      </c>
      <c r="N1108" s="31">
        <v>5058.0900000009997</v>
      </c>
      <c r="O1108" s="34">
        <f t="shared" si="148"/>
        <v>6.5318516737168611E-2</v>
      </c>
      <c r="P1108" s="34">
        <f t="shared" si="149"/>
        <v>0.79715971594098523</v>
      </c>
      <c r="Q1108" s="34">
        <f t="shared" si="150"/>
        <v>0.9346814832628314</v>
      </c>
      <c r="R1108" s="46">
        <f t="shared" si="151"/>
        <v>42.865169491533898</v>
      </c>
    </row>
    <row r="1109" spans="2:18" ht="12.75" customHeight="1" x14ac:dyDescent="0.25">
      <c r="B1109" s="17" t="s">
        <v>0</v>
      </c>
      <c r="C1109" s="44" t="s">
        <v>105</v>
      </c>
      <c r="D1109" s="22" t="s">
        <v>9</v>
      </c>
      <c r="E1109" s="20">
        <v>2</v>
      </c>
      <c r="F1109" s="17" t="s">
        <v>232</v>
      </c>
      <c r="G1109" s="17" t="s">
        <v>241</v>
      </c>
      <c r="H1109" s="17" t="s">
        <v>242</v>
      </c>
      <c r="I1109" s="17" t="s">
        <v>243</v>
      </c>
      <c r="J1109" s="27" t="s">
        <v>106</v>
      </c>
      <c r="K1109" s="29">
        <v>42</v>
      </c>
      <c r="L1109" s="31">
        <v>24686.780000040002</v>
      </c>
      <c r="M1109" s="31">
        <v>6041.7699999799988</v>
      </c>
      <c r="N1109" s="31">
        <v>4799.2600000040002</v>
      </c>
      <c r="O1109" s="34">
        <f t="shared" si="148"/>
        <v>0.24473706169740278</v>
      </c>
      <c r="P1109" s="34">
        <f t="shared" si="149"/>
        <v>0.79434668979783873</v>
      </c>
      <c r="Q1109" s="34">
        <f t="shared" si="150"/>
        <v>0.75526293830259728</v>
      </c>
      <c r="R1109" s="46">
        <f t="shared" si="151"/>
        <v>114.26809523819048</v>
      </c>
    </row>
    <row r="1110" spans="2:18" ht="12.75" customHeight="1" x14ac:dyDescent="0.25">
      <c r="B1110" s="17" t="s">
        <v>0</v>
      </c>
      <c r="C1110" s="44" t="s">
        <v>98</v>
      </c>
      <c r="D1110" s="22" t="s">
        <v>2</v>
      </c>
      <c r="E1110" s="20">
        <v>1</v>
      </c>
      <c r="F1110" s="17" t="s">
        <v>232</v>
      </c>
      <c r="G1110" s="17" t="s">
        <v>241</v>
      </c>
      <c r="H1110" s="17" t="s">
        <v>242</v>
      </c>
      <c r="I1110" s="17" t="s">
        <v>243</v>
      </c>
      <c r="J1110" s="27" t="s">
        <v>102</v>
      </c>
      <c r="K1110" s="29">
        <v>114</v>
      </c>
      <c r="L1110" s="31">
        <v>25808.309999920002</v>
      </c>
      <c r="M1110" s="31">
        <v>5117.3400000009997</v>
      </c>
      <c r="N1110" s="31">
        <v>4077.3700000060003</v>
      </c>
      <c r="O1110" s="34">
        <f t="shared" si="148"/>
        <v>0.19828264617159597</v>
      </c>
      <c r="P1110" s="34">
        <f t="shared" si="149"/>
        <v>0.79677527778205159</v>
      </c>
      <c r="Q1110" s="34">
        <f t="shared" si="150"/>
        <v>0.80171735382840403</v>
      </c>
      <c r="R1110" s="46">
        <f t="shared" si="151"/>
        <v>35.766403508824567</v>
      </c>
    </row>
    <row r="1111" spans="2:18" ht="12.75" customHeight="1" x14ac:dyDescent="0.25">
      <c r="B1111" s="17" t="s">
        <v>0</v>
      </c>
      <c r="C1111" s="44" t="s">
        <v>157</v>
      </c>
      <c r="D1111" s="22" t="s">
        <v>9</v>
      </c>
      <c r="E1111" s="20">
        <v>2</v>
      </c>
      <c r="F1111" s="17" t="s">
        <v>232</v>
      </c>
      <c r="G1111" s="17" t="s">
        <v>241</v>
      </c>
      <c r="H1111" s="17" t="s">
        <v>242</v>
      </c>
      <c r="I1111" s="17" t="s">
        <v>243</v>
      </c>
      <c r="J1111" s="27" t="s">
        <v>158</v>
      </c>
      <c r="K1111" s="29">
        <v>24</v>
      </c>
      <c r="L1111" s="31">
        <v>24000</v>
      </c>
      <c r="M1111" s="31">
        <v>4946.3500000799995</v>
      </c>
      <c r="N1111" s="31">
        <v>3768.96</v>
      </c>
      <c r="O1111" s="34">
        <f t="shared" si="148"/>
        <v>0.20609791666999999</v>
      </c>
      <c r="P1111" s="34">
        <f t="shared" si="149"/>
        <v>0.76196791572352196</v>
      </c>
      <c r="Q1111" s="34">
        <f t="shared" si="150"/>
        <v>0.79390208333000001</v>
      </c>
      <c r="R1111" s="46">
        <f t="shared" si="151"/>
        <v>157.04</v>
      </c>
    </row>
    <row r="1112" spans="2:18" ht="12.75" customHeight="1" x14ac:dyDescent="0.25">
      <c r="B1112" s="17" t="s">
        <v>0</v>
      </c>
      <c r="C1112" s="44" t="s">
        <v>50</v>
      </c>
      <c r="D1112" s="22" t="s">
        <v>9</v>
      </c>
      <c r="E1112" s="20">
        <v>2</v>
      </c>
      <c r="F1112" s="17" t="s">
        <v>232</v>
      </c>
      <c r="G1112" s="17" t="s">
        <v>241</v>
      </c>
      <c r="H1112" s="17" t="s">
        <v>242</v>
      </c>
      <c r="I1112" s="17" t="s">
        <v>243</v>
      </c>
      <c r="J1112" s="27" t="s">
        <v>51</v>
      </c>
      <c r="K1112" s="29">
        <v>26</v>
      </c>
      <c r="L1112" s="31">
        <v>47632</v>
      </c>
      <c r="M1112" s="31">
        <v>4776.6200001000007</v>
      </c>
      <c r="N1112" s="31">
        <v>3597.8099999400001</v>
      </c>
      <c r="O1112" s="34">
        <f t="shared" si="148"/>
        <v>0.10028174336790395</v>
      </c>
      <c r="P1112" s="34">
        <f t="shared" si="149"/>
        <v>0.7532125226341384</v>
      </c>
      <c r="Q1112" s="34">
        <f t="shared" si="150"/>
        <v>0.89971825663209604</v>
      </c>
      <c r="R1112" s="46">
        <f t="shared" si="151"/>
        <v>138.37730769000001</v>
      </c>
    </row>
    <row r="1113" spans="2:18" ht="12.75" customHeight="1" x14ac:dyDescent="0.25">
      <c r="B1113" s="17" t="s">
        <v>0</v>
      </c>
      <c r="C1113" s="44" t="s">
        <v>14</v>
      </c>
      <c r="D1113" s="22" t="s">
        <v>9</v>
      </c>
      <c r="E1113" s="20">
        <v>2</v>
      </c>
      <c r="F1113" s="17" t="s">
        <v>232</v>
      </c>
      <c r="G1113" s="17" t="s">
        <v>241</v>
      </c>
      <c r="H1113" s="17" t="s">
        <v>242</v>
      </c>
      <c r="I1113" s="17" t="s">
        <v>243</v>
      </c>
      <c r="J1113" s="27" t="s">
        <v>15</v>
      </c>
      <c r="K1113" s="29">
        <v>32</v>
      </c>
      <c r="L1113" s="31">
        <v>13217.999999970001</v>
      </c>
      <c r="M1113" s="31">
        <v>2972.3999999600001</v>
      </c>
      <c r="N1113" s="31">
        <v>2368.2900000529999</v>
      </c>
      <c r="O1113" s="34">
        <f t="shared" si="148"/>
        <v>0.22487517021990816</v>
      </c>
      <c r="P1113" s="34">
        <f t="shared" si="149"/>
        <v>0.79676019381135454</v>
      </c>
      <c r="Q1113" s="34">
        <f t="shared" si="150"/>
        <v>0.7751248297800919</v>
      </c>
      <c r="R1113" s="46">
        <f t="shared" si="151"/>
        <v>74.009062501656246</v>
      </c>
    </row>
    <row r="1114" spans="2:18" ht="12.75" customHeight="1" x14ac:dyDescent="0.25">
      <c r="B1114" s="17" t="s">
        <v>0</v>
      </c>
      <c r="C1114" s="44" t="s">
        <v>46</v>
      </c>
      <c r="D1114" s="22" t="s">
        <v>9</v>
      </c>
      <c r="E1114" s="20">
        <v>2</v>
      </c>
      <c r="F1114" s="17" t="s">
        <v>232</v>
      </c>
      <c r="G1114" s="17" t="s">
        <v>241</v>
      </c>
      <c r="H1114" s="17" t="s">
        <v>242</v>
      </c>
      <c r="I1114" s="17" t="s">
        <v>243</v>
      </c>
      <c r="J1114" s="27" t="s">
        <v>47</v>
      </c>
      <c r="K1114" s="29">
        <v>18</v>
      </c>
      <c r="L1114" s="31">
        <v>30483</v>
      </c>
      <c r="M1114" s="31">
        <v>2924.8700000400004</v>
      </c>
      <c r="N1114" s="31">
        <v>2291.7999999600002</v>
      </c>
      <c r="O1114" s="34">
        <f t="shared" si="148"/>
        <v>9.5950857856510197E-2</v>
      </c>
      <c r="P1114" s="34">
        <f t="shared" si="149"/>
        <v>0.78355619221663109</v>
      </c>
      <c r="Q1114" s="34">
        <f t="shared" si="150"/>
        <v>0.90404914214348975</v>
      </c>
      <c r="R1114" s="46">
        <f t="shared" si="151"/>
        <v>127.32222222000001</v>
      </c>
    </row>
    <row r="1115" spans="2:18" ht="12.75" customHeight="1" x14ac:dyDescent="0.25">
      <c r="B1115" s="17" t="s">
        <v>0</v>
      </c>
      <c r="C1115" s="44" t="s">
        <v>225</v>
      </c>
      <c r="D1115" s="22" t="s">
        <v>2</v>
      </c>
      <c r="E1115" s="20">
        <v>1</v>
      </c>
      <c r="F1115" s="17" t="s">
        <v>232</v>
      </c>
      <c r="G1115" s="17" t="s">
        <v>241</v>
      </c>
      <c r="H1115" s="17" t="s">
        <v>242</v>
      </c>
      <c r="I1115" s="17" t="s">
        <v>243</v>
      </c>
      <c r="J1115" s="27" t="s">
        <v>226</v>
      </c>
      <c r="K1115" s="29">
        <v>31</v>
      </c>
      <c r="L1115" s="31">
        <v>13161</v>
      </c>
      <c r="M1115" s="31">
        <v>2670.079999995</v>
      </c>
      <c r="N1115" s="31">
        <v>1959.85</v>
      </c>
      <c r="O1115" s="34">
        <f t="shared" si="148"/>
        <v>0.20287820074424437</v>
      </c>
      <c r="P1115" s="34">
        <f t="shared" si="149"/>
        <v>0.73400422459389603</v>
      </c>
      <c r="Q1115" s="34">
        <f t="shared" si="150"/>
        <v>0.79712179925575566</v>
      </c>
      <c r="R1115" s="46">
        <f t="shared" si="151"/>
        <v>63.220967741935482</v>
      </c>
    </row>
    <row r="1116" spans="2:18" ht="12.75" customHeight="1" x14ac:dyDescent="0.25">
      <c r="B1116" s="17" t="s">
        <v>0</v>
      </c>
      <c r="C1116" s="44" t="s">
        <v>68</v>
      </c>
      <c r="D1116" s="22" t="s">
        <v>9</v>
      </c>
      <c r="E1116" s="20">
        <v>2</v>
      </c>
      <c r="F1116" s="17" t="s">
        <v>232</v>
      </c>
      <c r="G1116" s="17" t="s">
        <v>241</v>
      </c>
      <c r="H1116" s="17" t="s">
        <v>242</v>
      </c>
      <c r="I1116" s="17" t="s">
        <v>243</v>
      </c>
      <c r="J1116" s="27" t="s">
        <v>69</v>
      </c>
      <c r="K1116" s="29">
        <v>35</v>
      </c>
      <c r="L1116" s="31">
        <v>10500</v>
      </c>
      <c r="M1116" s="31">
        <v>2362.2399999939998</v>
      </c>
      <c r="N1116" s="31">
        <v>1697.389999984</v>
      </c>
      <c r="O1116" s="34">
        <f t="shared" si="148"/>
        <v>0.22497523809466666</v>
      </c>
      <c r="P1116" s="34">
        <f t="shared" si="149"/>
        <v>0.7185510362995764</v>
      </c>
      <c r="Q1116" s="34">
        <f t="shared" si="150"/>
        <v>0.77502476190533331</v>
      </c>
      <c r="R1116" s="46">
        <f t="shared" si="151"/>
        <v>48.496857142400003</v>
      </c>
    </row>
    <row r="1117" spans="2:18" ht="12.75" customHeight="1" x14ac:dyDescent="0.25">
      <c r="B1117" s="17" t="s">
        <v>0</v>
      </c>
      <c r="C1117" s="44" t="s">
        <v>7</v>
      </c>
      <c r="D1117" s="22" t="s">
        <v>2</v>
      </c>
      <c r="E1117" s="20">
        <v>1</v>
      </c>
      <c r="F1117" s="17" t="s">
        <v>232</v>
      </c>
      <c r="G1117" s="17" t="s">
        <v>241</v>
      </c>
      <c r="H1117" s="17" t="s">
        <v>242</v>
      </c>
      <c r="I1117" s="17" t="s">
        <v>243</v>
      </c>
      <c r="J1117" s="27" t="s">
        <v>8</v>
      </c>
      <c r="K1117" s="29">
        <v>18</v>
      </c>
      <c r="L1117" s="31">
        <v>6606</v>
      </c>
      <c r="M1117" s="31">
        <v>2047.86</v>
      </c>
      <c r="N1117" s="31">
        <v>1631.7</v>
      </c>
      <c r="O1117" s="34">
        <f t="shared" si="148"/>
        <v>0.31</v>
      </c>
      <c r="P1117" s="34">
        <f t="shared" si="149"/>
        <v>0.79678298321174301</v>
      </c>
      <c r="Q1117" s="34">
        <f t="shared" si="150"/>
        <v>0.69</v>
      </c>
      <c r="R1117" s="46">
        <f t="shared" si="151"/>
        <v>90.65</v>
      </c>
    </row>
    <row r="1118" spans="2:18" ht="12.75" customHeight="1" thickBot="1" x14ac:dyDescent="0.3">
      <c r="B1118" s="15" t="s">
        <v>0</v>
      </c>
      <c r="C1118" s="50" t="s">
        <v>36</v>
      </c>
      <c r="D1118" s="19" t="s">
        <v>9</v>
      </c>
      <c r="E1118" s="16">
        <v>2</v>
      </c>
      <c r="F1118" s="15" t="s">
        <v>232</v>
      </c>
      <c r="G1118" s="15" t="s">
        <v>241</v>
      </c>
      <c r="H1118" s="15" t="s">
        <v>242</v>
      </c>
      <c r="I1118" s="15" t="s">
        <v>243</v>
      </c>
      <c r="J1118" s="24" t="s">
        <v>37</v>
      </c>
      <c r="K1118" s="26">
        <v>12</v>
      </c>
      <c r="L1118" s="28">
        <v>8160</v>
      </c>
      <c r="M1118" s="28">
        <v>1700.4099999599998</v>
      </c>
      <c r="N1118" s="28">
        <v>1255.5099999600002</v>
      </c>
      <c r="O1118" s="32">
        <f t="shared" si="148"/>
        <v>0.20838357842647057</v>
      </c>
      <c r="P1118" s="32">
        <f t="shared" si="149"/>
        <v>0.73835721972320478</v>
      </c>
      <c r="Q1118" s="32">
        <f t="shared" si="150"/>
        <v>0.79161642157352941</v>
      </c>
      <c r="R1118" s="49">
        <f t="shared" si="151"/>
        <v>104.62583333000002</v>
      </c>
    </row>
    <row r="1119" spans="2:18" ht="17.25" customHeight="1" x14ac:dyDescent="0.25">
      <c r="B1119" s="48"/>
      <c r="C1119" s="58"/>
      <c r="D1119" s="51" t="s">
        <v>366</v>
      </c>
      <c r="E1119" s="52"/>
      <c r="F1119" s="52"/>
      <c r="G1119" s="53"/>
      <c r="H1119" s="53"/>
      <c r="I1119" s="53"/>
      <c r="J1119" s="54"/>
      <c r="K1119" s="55">
        <f>SUM(K1084:K1118)</f>
        <v>532769</v>
      </c>
      <c r="L1119" s="56">
        <f>SUM(L1084:L1118)</f>
        <v>584364354.72983336</v>
      </c>
      <c r="M1119" s="56">
        <f>SUM(M1084:M1118)</f>
        <v>67820531.344766736</v>
      </c>
      <c r="N1119" s="56">
        <f>SUM(N1084:N1118)</f>
        <v>51470914.706556164</v>
      </c>
      <c r="O1119" s="57">
        <f>IFERROR(M1119/L1119,0)</f>
        <v>0.11605863840911705</v>
      </c>
      <c r="P1119" s="57">
        <f>IFERROR(N1119/M1119,0)</f>
        <v>0.75892821371308583</v>
      </c>
      <c r="Q1119" s="57">
        <f>IFERROR(1-(M1119/L1119),0)</f>
        <v>0.88394136159088299</v>
      </c>
      <c r="R1119" s="59">
        <f>IFERROR(N1119/K1119,0)</f>
        <v>96.610190732862023</v>
      </c>
    </row>
    <row r="1120" spans="2:18" ht="15.75" thickBot="1" x14ac:dyDescent="0.3">
      <c r="B1120" s="60"/>
      <c r="C1120" s="64"/>
      <c r="D1120" s="62" t="s">
        <v>243</v>
      </c>
      <c r="E1120" s="61"/>
      <c r="F1120" s="61"/>
      <c r="G1120" s="61"/>
      <c r="H1120" s="61"/>
      <c r="I1120" s="61"/>
      <c r="J1120" s="61"/>
      <c r="K1120" s="63"/>
      <c r="L1120" s="63"/>
      <c r="M1120" s="63"/>
      <c r="N1120" s="63"/>
      <c r="O1120" s="63"/>
      <c r="P1120" s="63"/>
      <c r="Q1120" s="63"/>
      <c r="R1120" s="65"/>
    </row>
    <row r="1121" spans="2:18" ht="15.75" thickBot="1" x14ac:dyDescent="0.3"/>
    <row r="1122" spans="2:18" ht="15.75" x14ac:dyDescent="0.25">
      <c r="B1122" s="1"/>
      <c r="C1122" s="7" t="s">
        <v>348</v>
      </c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9"/>
    </row>
    <row r="1123" spans="2:18" ht="18" x14ac:dyDescent="0.25">
      <c r="B1123" s="2"/>
      <c r="C1123" s="8" t="s">
        <v>246</v>
      </c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10"/>
    </row>
    <row r="1124" spans="2:18" ht="15.75" thickBot="1" x14ac:dyDescent="0.3">
      <c r="B1124" s="3"/>
      <c r="C1124" s="11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12"/>
    </row>
    <row r="1125" spans="2:18" ht="17.25" customHeight="1" thickBot="1" x14ac:dyDescent="0.3">
      <c r="B1125" s="14" t="s">
        <v>349</v>
      </c>
      <c r="C1125" s="18" t="s">
        <v>350</v>
      </c>
      <c r="D1125" s="21" t="s">
        <v>351</v>
      </c>
      <c r="E1125" s="23" t="s">
        <v>352</v>
      </c>
      <c r="F1125" s="21" t="s">
        <v>353</v>
      </c>
      <c r="G1125" s="23" t="s">
        <v>354</v>
      </c>
      <c r="H1125" s="23" t="s">
        <v>355</v>
      </c>
      <c r="I1125" s="23" t="s">
        <v>356</v>
      </c>
      <c r="J1125" s="25" t="s">
        <v>357</v>
      </c>
      <c r="K1125" s="25" t="s">
        <v>358</v>
      </c>
      <c r="L1125" s="30" t="s">
        <v>359</v>
      </c>
      <c r="M1125" s="30" t="s">
        <v>360</v>
      </c>
      <c r="N1125" s="30" t="s">
        <v>361</v>
      </c>
      <c r="O1125" s="33" t="s">
        <v>362</v>
      </c>
      <c r="P1125" s="33" t="s">
        <v>363</v>
      </c>
      <c r="Q1125" s="33" t="s">
        <v>364</v>
      </c>
      <c r="R1125" s="35" t="s">
        <v>365</v>
      </c>
    </row>
    <row r="1126" spans="2:18" ht="12.75" customHeight="1" x14ac:dyDescent="0.25">
      <c r="B1126" s="17" t="s">
        <v>0</v>
      </c>
      <c r="C1126" s="43" t="s">
        <v>14</v>
      </c>
      <c r="D1126" s="37" t="s">
        <v>9</v>
      </c>
      <c r="E1126" s="36">
        <v>2</v>
      </c>
      <c r="F1126" s="38" t="s">
        <v>232</v>
      </c>
      <c r="G1126" s="38" t="s">
        <v>244</v>
      </c>
      <c r="H1126" s="38" t="s">
        <v>245</v>
      </c>
      <c r="I1126" s="38" t="s">
        <v>246</v>
      </c>
      <c r="J1126" s="39" t="s">
        <v>15</v>
      </c>
      <c r="K1126" s="40">
        <v>149207</v>
      </c>
      <c r="L1126" s="41">
        <v>258300358.26993856</v>
      </c>
      <c r="M1126" s="41">
        <v>97256786.289972484</v>
      </c>
      <c r="N1126" s="41">
        <v>77334224.029977486</v>
      </c>
      <c r="O1126" s="42">
        <f t="shared" ref="O1126:O1164" si="152">IFERROR(M1126/L1126,0)</f>
        <v>0.37652594422007579</v>
      </c>
      <c r="P1126" s="42">
        <f t="shared" ref="P1126:P1164" si="153">IFERROR(N1126/M1126,0)</f>
        <v>0.79515504243996304</v>
      </c>
      <c r="Q1126" s="42">
        <f t="shared" ref="Q1126:Q1164" si="154">IFERROR(1-(M1126/L1126),0)</f>
        <v>0.62347405577992421</v>
      </c>
      <c r="R1126" s="45">
        <f t="shared" ref="R1126:R1164" si="155">IFERROR(N1126/K1126,0)</f>
        <v>518.30158122593105</v>
      </c>
    </row>
    <row r="1127" spans="2:18" ht="12.75" customHeight="1" x14ac:dyDescent="0.25">
      <c r="B1127" s="17" t="s">
        <v>0</v>
      </c>
      <c r="C1127" s="44" t="s">
        <v>12</v>
      </c>
      <c r="D1127" s="22" t="s">
        <v>9</v>
      </c>
      <c r="E1127" s="20">
        <v>2</v>
      </c>
      <c r="F1127" s="17" t="s">
        <v>232</v>
      </c>
      <c r="G1127" s="17" t="s">
        <v>244</v>
      </c>
      <c r="H1127" s="17" t="s">
        <v>245</v>
      </c>
      <c r="I1127" s="17" t="s">
        <v>246</v>
      </c>
      <c r="J1127" s="27" t="s">
        <v>13</v>
      </c>
      <c r="K1127" s="29">
        <v>44390</v>
      </c>
      <c r="L1127" s="31">
        <v>74213676.640020147</v>
      </c>
      <c r="M1127" s="31">
        <v>28032634.189998988</v>
      </c>
      <c r="N1127" s="31">
        <v>22278965.130092144</v>
      </c>
      <c r="O1127" s="34">
        <f t="shared" si="152"/>
        <v>0.37772868100813417</v>
      </c>
      <c r="P1127" s="34">
        <f t="shared" si="153"/>
        <v>0.79475103834660177</v>
      </c>
      <c r="Q1127" s="34">
        <f t="shared" si="154"/>
        <v>0.62227131899186583</v>
      </c>
      <c r="R1127" s="46">
        <f t="shared" si="155"/>
        <v>501.89153255445245</v>
      </c>
    </row>
    <row r="1128" spans="2:18" ht="12.75" customHeight="1" x14ac:dyDescent="0.25">
      <c r="B1128" s="17" t="s">
        <v>0</v>
      </c>
      <c r="C1128" s="44" t="s">
        <v>18</v>
      </c>
      <c r="D1128" s="22" t="s">
        <v>9</v>
      </c>
      <c r="E1128" s="20">
        <v>2</v>
      </c>
      <c r="F1128" s="17" t="s">
        <v>232</v>
      </c>
      <c r="G1128" s="17" t="s">
        <v>244</v>
      </c>
      <c r="H1128" s="17" t="s">
        <v>245</v>
      </c>
      <c r="I1128" s="17" t="s">
        <v>246</v>
      </c>
      <c r="J1128" s="27" t="s">
        <v>19</v>
      </c>
      <c r="K1128" s="29">
        <v>2726712</v>
      </c>
      <c r="L1128" s="31">
        <v>59323962.131998993</v>
      </c>
      <c r="M1128" s="31">
        <v>20538443.235434026</v>
      </c>
      <c r="N1128" s="31">
        <v>16236114.557531262</v>
      </c>
      <c r="O1128" s="34">
        <f t="shared" si="152"/>
        <v>0.34620821835424426</v>
      </c>
      <c r="P1128" s="34">
        <f t="shared" si="153"/>
        <v>0.79052313612162406</v>
      </c>
      <c r="Q1128" s="34">
        <f t="shared" si="154"/>
        <v>0.65379178164575569</v>
      </c>
      <c r="R1128" s="46">
        <f t="shared" si="155"/>
        <v>5.9544662426876256</v>
      </c>
    </row>
    <row r="1129" spans="2:18" ht="12.75" customHeight="1" x14ac:dyDescent="0.25">
      <c r="B1129" s="17" t="s">
        <v>0</v>
      </c>
      <c r="C1129" s="44" t="s">
        <v>145</v>
      </c>
      <c r="D1129" s="22" t="s">
        <v>9</v>
      </c>
      <c r="E1129" s="20">
        <v>2</v>
      </c>
      <c r="F1129" s="17" t="s">
        <v>232</v>
      </c>
      <c r="G1129" s="17" t="s">
        <v>244</v>
      </c>
      <c r="H1129" s="17" t="s">
        <v>245</v>
      </c>
      <c r="I1129" s="17" t="s">
        <v>246</v>
      </c>
      <c r="J1129" s="27" t="s">
        <v>146</v>
      </c>
      <c r="K1129" s="29">
        <v>43097</v>
      </c>
      <c r="L1129" s="31">
        <v>50976897.320050776</v>
      </c>
      <c r="M1129" s="31">
        <v>15815275.109988615</v>
      </c>
      <c r="N1129" s="31">
        <v>12582693.270016197</v>
      </c>
      <c r="O1129" s="34">
        <f t="shared" si="152"/>
        <v>0.31024397210161281</v>
      </c>
      <c r="P1129" s="34">
        <f t="shared" si="153"/>
        <v>0.79560381861895135</v>
      </c>
      <c r="Q1129" s="34">
        <f t="shared" si="154"/>
        <v>0.68975602789838719</v>
      </c>
      <c r="R1129" s="46">
        <f t="shared" si="155"/>
        <v>291.96216140372178</v>
      </c>
    </row>
    <row r="1130" spans="2:18" ht="12.75" customHeight="1" x14ac:dyDescent="0.25">
      <c r="B1130" s="17" t="s">
        <v>0</v>
      </c>
      <c r="C1130" s="44" t="s">
        <v>236</v>
      </c>
      <c r="D1130" s="22" t="s">
        <v>9</v>
      </c>
      <c r="E1130" s="20">
        <v>2</v>
      </c>
      <c r="F1130" s="17" t="s">
        <v>232</v>
      </c>
      <c r="G1130" s="17" t="s">
        <v>244</v>
      </c>
      <c r="H1130" s="17" t="s">
        <v>245</v>
      </c>
      <c r="I1130" s="17" t="s">
        <v>246</v>
      </c>
      <c r="J1130" s="27" t="s">
        <v>237</v>
      </c>
      <c r="K1130" s="29">
        <v>3721107</v>
      </c>
      <c r="L1130" s="31">
        <v>46262857.939981684</v>
      </c>
      <c r="M1130" s="31">
        <v>14069040.859962944</v>
      </c>
      <c r="N1130" s="31">
        <v>11179731.060006404</v>
      </c>
      <c r="O1130" s="34">
        <f t="shared" si="152"/>
        <v>0.30411093232102454</v>
      </c>
      <c r="P1130" s="34">
        <f t="shared" si="153"/>
        <v>0.79463349145720308</v>
      </c>
      <c r="Q1130" s="34">
        <f t="shared" si="154"/>
        <v>0.69588906767897551</v>
      </c>
      <c r="R1130" s="46">
        <f t="shared" si="155"/>
        <v>3.0044099941244378</v>
      </c>
    </row>
    <row r="1131" spans="2:18" ht="12.75" customHeight="1" x14ac:dyDescent="0.25">
      <c r="B1131" s="17" t="s">
        <v>0</v>
      </c>
      <c r="C1131" s="44" t="s">
        <v>157</v>
      </c>
      <c r="D1131" s="22" t="s">
        <v>9</v>
      </c>
      <c r="E1131" s="20">
        <v>2</v>
      </c>
      <c r="F1131" s="17" t="s">
        <v>232</v>
      </c>
      <c r="G1131" s="17" t="s">
        <v>244</v>
      </c>
      <c r="H1131" s="17" t="s">
        <v>245</v>
      </c>
      <c r="I1131" s="17" t="s">
        <v>246</v>
      </c>
      <c r="J1131" s="27" t="s">
        <v>158</v>
      </c>
      <c r="K1131" s="29">
        <v>12639</v>
      </c>
      <c r="L1131" s="31">
        <v>27103934.029981662</v>
      </c>
      <c r="M1131" s="31">
        <v>7964943.510033357</v>
      </c>
      <c r="N1131" s="31">
        <v>6341487.9699881766</v>
      </c>
      <c r="O1131" s="34">
        <f t="shared" si="152"/>
        <v>0.29386669482086053</v>
      </c>
      <c r="P1131" s="34">
        <f t="shared" si="153"/>
        <v>0.7961748833497525</v>
      </c>
      <c r="Q1131" s="34">
        <f t="shared" si="154"/>
        <v>0.70613330517913941</v>
      </c>
      <c r="R1131" s="46">
        <f t="shared" si="155"/>
        <v>501.73969222155051</v>
      </c>
    </row>
    <row r="1132" spans="2:18" ht="12.75" customHeight="1" x14ac:dyDescent="0.25">
      <c r="B1132" s="17" t="s">
        <v>0</v>
      </c>
      <c r="C1132" s="44" t="s">
        <v>161</v>
      </c>
      <c r="D1132" s="22" t="s">
        <v>9</v>
      </c>
      <c r="E1132" s="20">
        <v>2</v>
      </c>
      <c r="F1132" s="17" t="s">
        <v>232</v>
      </c>
      <c r="G1132" s="17" t="s">
        <v>244</v>
      </c>
      <c r="H1132" s="17" t="s">
        <v>245</v>
      </c>
      <c r="I1132" s="17" t="s">
        <v>246</v>
      </c>
      <c r="J1132" s="27" t="s">
        <v>162</v>
      </c>
      <c r="K1132" s="29">
        <v>38233</v>
      </c>
      <c r="L1132" s="31">
        <v>18872244.010051034</v>
      </c>
      <c r="M1132" s="31">
        <v>7866635.4600043334</v>
      </c>
      <c r="N1132" s="31">
        <v>6258064.5299823759</v>
      </c>
      <c r="O1132" s="34">
        <f t="shared" si="152"/>
        <v>0.41683625200133584</v>
      </c>
      <c r="P1132" s="34">
        <f t="shared" si="153"/>
        <v>0.79551983332642295</v>
      </c>
      <c r="Q1132" s="34">
        <f t="shared" si="154"/>
        <v>0.58316374799866422</v>
      </c>
      <c r="R1132" s="46">
        <f t="shared" si="155"/>
        <v>163.68227787467308</v>
      </c>
    </row>
    <row r="1133" spans="2:18" ht="12.75" customHeight="1" x14ac:dyDescent="0.25">
      <c r="B1133" s="17" t="s">
        <v>0</v>
      </c>
      <c r="C1133" s="44" t="s">
        <v>30</v>
      </c>
      <c r="D1133" s="22" t="s">
        <v>9</v>
      </c>
      <c r="E1133" s="20">
        <v>2</v>
      </c>
      <c r="F1133" s="17" t="s">
        <v>232</v>
      </c>
      <c r="G1133" s="17" t="s">
        <v>244</v>
      </c>
      <c r="H1133" s="17" t="s">
        <v>245</v>
      </c>
      <c r="I1133" s="17" t="s">
        <v>246</v>
      </c>
      <c r="J1133" s="27" t="s">
        <v>31</v>
      </c>
      <c r="K1133" s="29">
        <v>29187</v>
      </c>
      <c r="L1133" s="31">
        <v>9580793.7799981143</v>
      </c>
      <c r="M1133" s="31">
        <v>3108091.3899917905</v>
      </c>
      <c r="N1133" s="31">
        <v>2470595.5199979576</v>
      </c>
      <c r="O1133" s="34">
        <f t="shared" si="152"/>
        <v>0.32440854707472916</v>
      </c>
      <c r="P1133" s="34">
        <f t="shared" si="153"/>
        <v>0.79489152988016976</v>
      </c>
      <c r="Q1133" s="34">
        <f t="shared" si="154"/>
        <v>0.6755914529252709</v>
      </c>
      <c r="R1133" s="46">
        <f t="shared" si="155"/>
        <v>84.647120978447859</v>
      </c>
    </row>
    <row r="1134" spans="2:18" ht="12.75" customHeight="1" x14ac:dyDescent="0.25">
      <c r="B1134" s="17" t="s">
        <v>0</v>
      </c>
      <c r="C1134" s="44" t="s">
        <v>18</v>
      </c>
      <c r="D1134" s="22" t="s">
        <v>2</v>
      </c>
      <c r="E1134" s="20">
        <v>1</v>
      </c>
      <c r="F1134" s="17" t="s">
        <v>232</v>
      </c>
      <c r="G1134" s="17" t="s">
        <v>244</v>
      </c>
      <c r="H1134" s="17" t="s">
        <v>245</v>
      </c>
      <c r="I1134" s="17" t="s">
        <v>246</v>
      </c>
      <c r="J1134" s="27" t="s">
        <v>19</v>
      </c>
      <c r="K1134" s="29">
        <v>38211</v>
      </c>
      <c r="L1134" s="31">
        <v>20246774.030003846</v>
      </c>
      <c r="M1134" s="31">
        <v>3126199.5799936922</v>
      </c>
      <c r="N1134" s="31">
        <v>2400479.6499996753</v>
      </c>
      <c r="O1134" s="34">
        <f t="shared" si="152"/>
        <v>0.15440482396657135</v>
      </c>
      <c r="P1134" s="34">
        <f t="shared" si="153"/>
        <v>0.76785873344801581</v>
      </c>
      <c r="Q1134" s="34">
        <f t="shared" si="154"/>
        <v>0.8455951760334286</v>
      </c>
      <c r="R1134" s="46">
        <f t="shared" si="155"/>
        <v>62.821691397756545</v>
      </c>
    </row>
    <row r="1135" spans="2:18" ht="12.75" customHeight="1" x14ac:dyDescent="0.25">
      <c r="B1135" s="17" t="s">
        <v>0</v>
      </c>
      <c r="C1135" s="44" t="s">
        <v>32</v>
      </c>
      <c r="D1135" s="22" t="s">
        <v>9</v>
      </c>
      <c r="E1135" s="20">
        <v>2</v>
      </c>
      <c r="F1135" s="17" t="s">
        <v>232</v>
      </c>
      <c r="G1135" s="17" t="s">
        <v>244</v>
      </c>
      <c r="H1135" s="17" t="s">
        <v>245</v>
      </c>
      <c r="I1135" s="17" t="s">
        <v>246</v>
      </c>
      <c r="J1135" s="27" t="s">
        <v>33</v>
      </c>
      <c r="K1135" s="29">
        <v>3210</v>
      </c>
      <c r="L1135" s="31">
        <v>5196853.1500249906</v>
      </c>
      <c r="M1135" s="31">
        <v>2489466.2599858623</v>
      </c>
      <c r="N1135" s="31">
        <v>1975958.449993945</v>
      </c>
      <c r="O1135" s="34">
        <f t="shared" si="152"/>
        <v>0.4790334050470314</v>
      </c>
      <c r="P1135" s="34">
        <f t="shared" si="153"/>
        <v>0.79372774869628737</v>
      </c>
      <c r="Q1135" s="34">
        <f t="shared" si="154"/>
        <v>0.5209665949529686</v>
      </c>
      <c r="R1135" s="46">
        <f t="shared" si="155"/>
        <v>615.56338006041904</v>
      </c>
    </row>
    <row r="1136" spans="2:18" ht="12.75" customHeight="1" x14ac:dyDescent="0.25">
      <c r="B1136" s="17" t="s">
        <v>0</v>
      </c>
      <c r="C1136" s="44" t="s">
        <v>56</v>
      </c>
      <c r="D1136" s="22" t="s">
        <v>9</v>
      </c>
      <c r="E1136" s="20">
        <v>2</v>
      </c>
      <c r="F1136" s="17" t="s">
        <v>232</v>
      </c>
      <c r="G1136" s="17" t="s">
        <v>244</v>
      </c>
      <c r="H1136" s="17" t="s">
        <v>245</v>
      </c>
      <c r="I1136" s="17" t="s">
        <v>246</v>
      </c>
      <c r="J1136" s="27" t="s">
        <v>57</v>
      </c>
      <c r="K1136" s="29">
        <v>21637</v>
      </c>
      <c r="L1136" s="31">
        <v>3078478.9900141894</v>
      </c>
      <c r="M1136" s="31">
        <v>1906455.6099928902</v>
      </c>
      <c r="N1136" s="31">
        <v>1519801.6299957952</v>
      </c>
      <c r="O1136" s="34">
        <f t="shared" si="152"/>
        <v>0.61928491835641952</v>
      </c>
      <c r="P1136" s="34">
        <f t="shared" si="153"/>
        <v>0.79718700085624494</v>
      </c>
      <c r="Q1136" s="34">
        <f t="shared" si="154"/>
        <v>0.38071508164358048</v>
      </c>
      <c r="R1136" s="46">
        <f t="shared" si="155"/>
        <v>70.240866570956939</v>
      </c>
    </row>
    <row r="1137" spans="2:18" ht="12.75" customHeight="1" x14ac:dyDescent="0.25">
      <c r="B1137" s="17" t="s">
        <v>0</v>
      </c>
      <c r="C1137" s="44" t="s">
        <v>14</v>
      </c>
      <c r="D1137" s="22" t="s">
        <v>2</v>
      </c>
      <c r="E1137" s="20">
        <v>1</v>
      </c>
      <c r="F1137" s="17" t="s">
        <v>232</v>
      </c>
      <c r="G1137" s="17" t="s">
        <v>244</v>
      </c>
      <c r="H1137" s="17" t="s">
        <v>245</v>
      </c>
      <c r="I1137" s="17" t="s">
        <v>246</v>
      </c>
      <c r="J1137" s="27" t="s">
        <v>15</v>
      </c>
      <c r="K1137" s="29">
        <v>20378</v>
      </c>
      <c r="L1137" s="31">
        <v>7078530.4799993318</v>
      </c>
      <c r="M1137" s="31">
        <v>1447630.7100004714</v>
      </c>
      <c r="N1137" s="31">
        <v>1094572.7699995812</v>
      </c>
      <c r="O1137" s="34">
        <f t="shared" si="152"/>
        <v>0.20451006237676159</v>
      </c>
      <c r="P1137" s="34">
        <f t="shared" si="153"/>
        <v>0.75611325625941206</v>
      </c>
      <c r="Q1137" s="34">
        <f t="shared" si="154"/>
        <v>0.79548993762323839</v>
      </c>
      <c r="R1137" s="46">
        <f t="shared" si="155"/>
        <v>53.713454215309703</v>
      </c>
    </row>
    <row r="1138" spans="2:18" ht="12.75" customHeight="1" x14ac:dyDescent="0.25">
      <c r="B1138" s="17" t="s">
        <v>0</v>
      </c>
      <c r="C1138" s="44" t="s">
        <v>225</v>
      </c>
      <c r="D1138" s="22" t="s">
        <v>2</v>
      </c>
      <c r="E1138" s="20">
        <v>1</v>
      </c>
      <c r="F1138" s="17" t="s">
        <v>232</v>
      </c>
      <c r="G1138" s="17" t="s">
        <v>244</v>
      </c>
      <c r="H1138" s="17" t="s">
        <v>245</v>
      </c>
      <c r="I1138" s="17" t="s">
        <v>246</v>
      </c>
      <c r="J1138" s="27" t="s">
        <v>226</v>
      </c>
      <c r="K1138" s="29">
        <v>15812</v>
      </c>
      <c r="L1138" s="31">
        <v>8263694.4699986717</v>
      </c>
      <c r="M1138" s="31">
        <v>1286034.5999980913</v>
      </c>
      <c r="N1138" s="31">
        <v>973876.0899995066</v>
      </c>
      <c r="O1138" s="34">
        <f t="shared" si="152"/>
        <v>0.15562465488856561</v>
      </c>
      <c r="P1138" s="34">
        <f t="shared" si="153"/>
        <v>0.75727051978302296</v>
      </c>
      <c r="Q1138" s="34">
        <f t="shared" si="154"/>
        <v>0.84437534511143442</v>
      </c>
      <c r="R1138" s="46">
        <f t="shared" si="155"/>
        <v>61.590949278997378</v>
      </c>
    </row>
    <row r="1139" spans="2:18" ht="12.75" customHeight="1" x14ac:dyDescent="0.25">
      <c r="B1139" s="17" t="s">
        <v>0</v>
      </c>
      <c r="C1139" s="44" t="s">
        <v>225</v>
      </c>
      <c r="D1139" s="22" t="s">
        <v>9</v>
      </c>
      <c r="E1139" s="20">
        <v>2</v>
      </c>
      <c r="F1139" s="17" t="s">
        <v>232</v>
      </c>
      <c r="G1139" s="17" t="s">
        <v>244</v>
      </c>
      <c r="H1139" s="17" t="s">
        <v>245</v>
      </c>
      <c r="I1139" s="17" t="s">
        <v>246</v>
      </c>
      <c r="J1139" s="27" t="s">
        <v>226</v>
      </c>
      <c r="K1139" s="29">
        <v>4014</v>
      </c>
      <c r="L1139" s="31">
        <v>2541561.0000029793</v>
      </c>
      <c r="M1139" s="31">
        <v>744225.19999152818</v>
      </c>
      <c r="N1139" s="31">
        <v>574938.95000184898</v>
      </c>
      <c r="O1139" s="34">
        <f t="shared" si="152"/>
        <v>0.29282208846872287</v>
      </c>
      <c r="P1139" s="34">
        <f t="shared" si="153"/>
        <v>0.77253356915137217</v>
      </c>
      <c r="Q1139" s="34">
        <f t="shared" si="154"/>
        <v>0.70717791153127707</v>
      </c>
      <c r="R1139" s="46">
        <f t="shared" si="155"/>
        <v>143.2334205286121</v>
      </c>
    </row>
    <row r="1140" spans="2:18" ht="12.75" customHeight="1" x14ac:dyDescent="0.25">
      <c r="B1140" s="17" t="s">
        <v>0</v>
      </c>
      <c r="C1140" s="44" t="s">
        <v>12</v>
      </c>
      <c r="D1140" s="22" t="s">
        <v>2</v>
      </c>
      <c r="E1140" s="20">
        <v>1</v>
      </c>
      <c r="F1140" s="17" t="s">
        <v>232</v>
      </c>
      <c r="G1140" s="17" t="s">
        <v>244</v>
      </c>
      <c r="H1140" s="17" t="s">
        <v>245</v>
      </c>
      <c r="I1140" s="17" t="s">
        <v>246</v>
      </c>
      <c r="J1140" s="27" t="s">
        <v>13</v>
      </c>
      <c r="K1140" s="29">
        <v>7454</v>
      </c>
      <c r="L1140" s="31">
        <v>2109119.1500001354</v>
      </c>
      <c r="M1140" s="31">
        <v>543129.2200002321</v>
      </c>
      <c r="N1140" s="31">
        <v>412308.96999992401</v>
      </c>
      <c r="O1140" s="34">
        <f t="shared" si="152"/>
        <v>0.25751471651101232</v>
      </c>
      <c r="P1140" s="34">
        <f t="shared" si="153"/>
        <v>0.75913604869159468</v>
      </c>
      <c r="Q1140" s="34">
        <f t="shared" si="154"/>
        <v>0.74248528348898768</v>
      </c>
      <c r="R1140" s="46">
        <f t="shared" si="155"/>
        <v>55.313787228323584</v>
      </c>
    </row>
    <row r="1141" spans="2:18" ht="12.75" customHeight="1" x14ac:dyDescent="0.25">
      <c r="B1141" s="17" t="s">
        <v>0</v>
      </c>
      <c r="C1141" s="44" t="s">
        <v>172</v>
      </c>
      <c r="D1141" s="22" t="s">
        <v>9</v>
      </c>
      <c r="E1141" s="20">
        <v>2</v>
      </c>
      <c r="F1141" s="17" t="s">
        <v>232</v>
      </c>
      <c r="G1141" s="17" t="s">
        <v>244</v>
      </c>
      <c r="H1141" s="17" t="s">
        <v>245</v>
      </c>
      <c r="I1141" s="17" t="s">
        <v>246</v>
      </c>
      <c r="J1141" s="27" t="s">
        <v>173</v>
      </c>
      <c r="K1141" s="29">
        <v>631</v>
      </c>
      <c r="L1141" s="31">
        <v>1721445.99999976</v>
      </c>
      <c r="M1141" s="31">
        <v>492514.72000064002</v>
      </c>
      <c r="N1141" s="31">
        <v>392244.27000219899</v>
      </c>
      <c r="O1141" s="34">
        <f t="shared" si="152"/>
        <v>0.28610523943284233</v>
      </c>
      <c r="P1141" s="34">
        <f t="shared" si="153"/>
        <v>0.79641126259472872</v>
      </c>
      <c r="Q1141" s="34">
        <f t="shared" si="154"/>
        <v>0.71389476056715773</v>
      </c>
      <c r="R1141" s="46">
        <f t="shared" si="155"/>
        <v>621.62324881489542</v>
      </c>
    </row>
    <row r="1142" spans="2:18" ht="12.75" customHeight="1" x14ac:dyDescent="0.25">
      <c r="B1142" s="17" t="s">
        <v>0</v>
      </c>
      <c r="C1142" s="44" t="s">
        <v>54</v>
      </c>
      <c r="D1142" s="22" t="s">
        <v>9</v>
      </c>
      <c r="E1142" s="20">
        <v>2</v>
      </c>
      <c r="F1142" s="17" t="s">
        <v>232</v>
      </c>
      <c r="G1142" s="17" t="s">
        <v>244</v>
      </c>
      <c r="H1142" s="17" t="s">
        <v>245</v>
      </c>
      <c r="I1142" s="17" t="s">
        <v>246</v>
      </c>
      <c r="J1142" s="27" t="s">
        <v>55</v>
      </c>
      <c r="K1142" s="29">
        <v>8301</v>
      </c>
      <c r="L1142" s="31">
        <v>1229270.99999641</v>
      </c>
      <c r="M1142" s="31">
        <v>491496.29000137514</v>
      </c>
      <c r="N1142" s="31">
        <v>389857.75999892573</v>
      </c>
      <c r="O1142" s="34">
        <f t="shared" si="152"/>
        <v>0.39982745058071861</v>
      </c>
      <c r="P1142" s="34">
        <f t="shared" si="153"/>
        <v>0.79320590598524143</v>
      </c>
      <c r="Q1142" s="34">
        <f t="shared" si="154"/>
        <v>0.60017254941928133</v>
      </c>
      <c r="R1142" s="46">
        <f t="shared" si="155"/>
        <v>46.965156005171153</v>
      </c>
    </row>
    <row r="1143" spans="2:18" ht="12.75" customHeight="1" x14ac:dyDescent="0.25">
      <c r="B1143" s="17" t="s">
        <v>0</v>
      </c>
      <c r="C1143" s="44" t="s">
        <v>52</v>
      </c>
      <c r="D1143" s="22" t="s">
        <v>9</v>
      </c>
      <c r="E1143" s="20">
        <v>2</v>
      </c>
      <c r="F1143" s="17" t="s">
        <v>232</v>
      </c>
      <c r="G1143" s="17" t="s">
        <v>244</v>
      </c>
      <c r="H1143" s="17" t="s">
        <v>245</v>
      </c>
      <c r="I1143" s="17" t="s">
        <v>246</v>
      </c>
      <c r="J1143" s="27" t="s">
        <v>53</v>
      </c>
      <c r="K1143" s="29">
        <v>515</v>
      </c>
      <c r="L1143" s="31">
        <v>1236122.59999738</v>
      </c>
      <c r="M1143" s="31">
        <v>482385.77999658498</v>
      </c>
      <c r="N1143" s="31">
        <v>383409.50000611803</v>
      </c>
      <c r="O1143" s="34">
        <f t="shared" si="152"/>
        <v>0.39024104890373124</v>
      </c>
      <c r="P1143" s="34">
        <f t="shared" si="153"/>
        <v>0.79481924199513587</v>
      </c>
      <c r="Q1143" s="34">
        <f t="shared" si="154"/>
        <v>0.60975895109626876</v>
      </c>
      <c r="R1143" s="46">
        <f t="shared" si="155"/>
        <v>744.48446603129719</v>
      </c>
    </row>
    <row r="1144" spans="2:18" ht="12.75" customHeight="1" x14ac:dyDescent="0.25">
      <c r="B1144" s="17" t="s">
        <v>0</v>
      </c>
      <c r="C1144" s="44" t="s">
        <v>62</v>
      </c>
      <c r="D1144" s="22" t="s">
        <v>9</v>
      </c>
      <c r="E1144" s="20">
        <v>2</v>
      </c>
      <c r="F1144" s="17" t="s">
        <v>232</v>
      </c>
      <c r="G1144" s="17" t="s">
        <v>244</v>
      </c>
      <c r="H1144" s="17" t="s">
        <v>245</v>
      </c>
      <c r="I1144" s="17" t="s">
        <v>246</v>
      </c>
      <c r="J1144" s="27" t="s">
        <v>63</v>
      </c>
      <c r="K1144" s="29">
        <v>878</v>
      </c>
      <c r="L1144" s="31">
        <v>549241.00000200002</v>
      </c>
      <c r="M1144" s="31">
        <v>233862.26000051998</v>
      </c>
      <c r="N1144" s="31">
        <v>185208.8700002</v>
      </c>
      <c r="O1144" s="34">
        <f t="shared" si="152"/>
        <v>0.42579170163856739</v>
      </c>
      <c r="P1144" s="34">
        <f t="shared" si="153"/>
        <v>0.79195706908753982</v>
      </c>
      <c r="Q1144" s="34">
        <f t="shared" si="154"/>
        <v>0.57420829836143261</v>
      </c>
      <c r="R1144" s="46">
        <f t="shared" si="155"/>
        <v>210.94404328041003</v>
      </c>
    </row>
    <row r="1145" spans="2:18" ht="12.75" customHeight="1" x14ac:dyDescent="0.25">
      <c r="B1145" s="17" t="s">
        <v>0</v>
      </c>
      <c r="C1145" s="44" t="s">
        <v>26</v>
      </c>
      <c r="D1145" s="22" t="s">
        <v>9</v>
      </c>
      <c r="E1145" s="20">
        <v>2</v>
      </c>
      <c r="F1145" s="17" t="s">
        <v>232</v>
      </c>
      <c r="G1145" s="17" t="s">
        <v>244</v>
      </c>
      <c r="H1145" s="17" t="s">
        <v>245</v>
      </c>
      <c r="I1145" s="17" t="s">
        <v>246</v>
      </c>
      <c r="J1145" s="27" t="s">
        <v>27</v>
      </c>
      <c r="K1145" s="29">
        <v>2505</v>
      </c>
      <c r="L1145" s="31">
        <v>496065.79999946995</v>
      </c>
      <c r="M1145" s="31">
        <v>209255.72000009791</v>
      </c>
      <c r="N1145" s="31">
        <v>165554.81999886388</v>
      </c>
      <c r="O1145" s="34">
        <f t="shared" si="152"/>
        <v>0.42183057167077737</v>
      </c>
      <c r="P1145" s="34">
        <f t="shared" si="153"/>
        <v>0.79116030853917119</v>
      </c>
      <c r="Q1145" s="34">
        <f t="shared" si="154"/>
        <v>0.57816942832922269</v>
      </c>
      <c r="R1145" s="46">
        <f t="shared" si="155"/>
        <v>66.089748502540473</v>
      </c>
    </row>
    <row r="1146" spans="2:18" ht="12.75" customHeight="1" x14ac:dyDescent="0.25">
      <c r="B1146" s="17" t="s">
        <v>0</v>
      </c>
      <c r="C1146" s="44" t="s">
        <v>159</v>
      </c>
      <c r="D1146" s="22" t="s">
        <v>9</v>
      </c>
      <c r="E1146" s="20">
        <v>2</v>
      </c>
      <c r="F1146" s="17" t="s">
        <v>232</v>
      </c>
      <c r="G1146" s="17" t="s">
        <v>244</v>
      </c>
      <c r="H1146" s="17" t="s">
        <v>245</v>
      </c>
      <c r="I1146" s="17" t="s">
        <v>246</v>
      </c>
      <c r="J1146" s="27" t="s">
        <v>160</v>
      </c>
      <c r="K1146" s="29">
        <v>153</v>
      </c>
      <c r="L1146" s="31">
        <v>544996.99999953993</v>
      </c>
      <c r="M1146" s="31">
        <v>168420.0199976</v>
      </c>
      <c r="N1146" s="31">
        <v>133989.37000279999</v>
      </c>
      <c r="O1146" s="34">
        <f t="shared" si="152"/>
        <v>0.30902926070738401</v>
      </c>
      <c r="P1146" s="34">
        <f t="shared" si="153"/>
        <v>0.79556676222167266</v>
      </c>
      <c r="Q1146" s="34">
        <f t="shared" si="154"/>
        <v>0.69097073929261599</v>
      </c>
      <c r="R1146" s="46">
        <f t="shared" si="155"/>
        <v>875.74751635816983</v>
      </c>
    </row>
    <row r="1147" spans="2:18" ht="12.75" customHeight="1" x14ac:dyDescent="0.25">
      <c r="B1147" s="17" t="s">
        <v>0</v>
      </c>
      <c r="C1147" s="44" t="s">
        <v>110</v>
      </c>
      <c r="D1147" s="22" t="s">
        <v>9</v>
      </c>
      <c r="E1147" s="20">
        <v>2</v>
      </c>
      <c r="F1147" s="17" t="s">
        <v>232</v>
      </c>
      <c r="G1147" s="17" t="s">
        <v>244</v>
      </c>
      <c r="H1147" s="17" t="s">
        <v>245</v>
      </c>
      <c r="I1147" s="17" t="s">
        <v>246</v>
      </c>
      <c r="J1147" s="27" t="s">
        <v>111</v>
      </c>
      <c r="K1147" s="29">
        <v>170</v>
      </c>
      <c r="L1147" s="31">
        <v>469315.99999988003</v>
      </c>
      <c r="M1147" s="31">
        <v>135618.85000121006</v>
      </c>
      <c r="N1147" s="31">
        <v>108581.96000221201</v>
      </c>
      <c r="O1147" s="34">
        <f t="shared" si="152"/>
        <v>0.28897129013552642</v>
      </c>
      <c r="P1147" s="34">
        <f t="shared" si="153"/>
        <v>0.80064061892018101</v>
      </c>
      <c r="Q1147" s="34">
        <f t="shared" si="154"/>
        <v>0.71102870986447364</v>
      </c>
      <c r="R1147" s="46">
        <f t="shared" si="155"/>
        <v>638.71741177771776</v>
      </c>
    </row>
    <row r="1148" spans="2:18" ht="12.75" customHeight="1" x14ac:dyDescent="0.25">
      <c r="B1148" s="17" t="s">
        <v>0</v>
      </c>
      <c r="C1148" s="44" t="s">
        <v>176</v>
      </c>
      <c r="D1148" s="22" t="s">
        <v>9</v>
      </c>
      <c r="E1148" s="20">
        <v>2</v>
      </c>
      <c r="F1148" s="17" t="s">
        <v>232</v>
      </c>
      <c r="G1148" s="17" t="s">
        <v>244</v>
      </c>
      <c r="H1148" s="17" t="s">
        <v>245</v>
      </c>
      <c r="I1148" s="17" t="s">
        <v>246</v>
      </c>
      <c r="J1148" s="27" t="s">
        <v>177</v>
      </c>
      <c r="K1148" s="29">
        <v>171</v>
      </c>
      <c r="L1148" s="31">
        <v>451322.99999986996</v>
      </c>
      <c r="M1148" s="31">
        <v>123359.42999919002</v>
      </c>
      <c r="N1148" s="31">
        <v>97880.230000305004</v>
      </c>
      <c r="O1148" s="34">
        <f t="shared" si="152"/>
        <v>0.27332848093100853</v>
      </c>
      <c r="P1148" s="34">
        <f t="shared" si="153"/>
        <v>0.79345559557909506</v>
      </c>
      <c r="Q1148" s="34">
        <f t="shared" si="154"/>
        <v>0.72667151906899141</v>
      </c>
      <c r="R1148" s="46">
        <f t="shared" si="155"/>
        <v>572.39900584973691</v>
      </c>
    </row>
    <row r="1149" spans="2:18" ht="12.75" customHeight="1" x14ac:dyDescent="0.25">
      <c r="B1149" s="17" t="s">
        <v>0</v>
      </c>
      <c r="C1149" s="44" t="s">
        <v>30</v>
      </c>
      <c r="D1149" s="22" t="s">
        <v>2</v>
      </c>
      <c r="E1149" s="20">
        <v>1</v>
      </c>
      <c r="F1149" s="17" t="s">
        <v>232</v>
      </c>
      <c r="G1149" s="17" t="s">
        <v>244</v>
      </c>
      <c r="H1149" s="17" t="s">
        <v>245</v>
      </c>
      <c r="I1149" s="17" t="s">
        <v>246</v>
      </c>
      <c r="J1149" s="27" t="s">
        <v>31</v>
      </c>
      <c r="K1149" s="29">
        <v>1354</v>
      </c>
      <c r="L1149" s="31">
        <v>586246.22000082</v>
      </c>
      <c r="M1149" s="31">
        <v>97459.809999876001</v>
      </c>
      <c r="N1149" s="31">
        <v>74875.809999913996</v>
      </c>
      <c r="O1149" s="34">
        <f t="shared" si="152"/>
        <v>0.16624381816865222</v>
      </c>
      <c r="P1149" s="34">
        <f t="shared" si="153"/>
        <v>0.76827371200507433</v>
      </c>
      <c r="Q1149" s="34">
        <f t="shared" si="154"/>
        <v>0.83375618183134781</v>
      </c>
      <c r="R1149" s="46">
        <f t="shared" si="155"/>
        <v>55.299711964485965</v>
      </c>
    </row>
    <row r="1150" spans="2:18" ht="12.75" customHeight="1" x14ac:dyDescent="0.25">
      <c r="B1150" s="17" t="s">
        <v>0</v>
      </c>
      <c r="C1150" s="44" t="s">
        <v>26</v>
      </c>
      <c r="D1150" s="22" t="s">
        <v>2</v>
      </c>
      <c r="E1150" s="20">
        <v>1</v>
      </c>
      <c r="F1150" s="17" t="s">
        <v>232</v>
      </c>
      <c r="G1150" s="17" t="s">
        <v>244</v>
      </c>
      <c r="H1150" s="17" t="s">
        <v>245</v>
      </c>
      <c r="I1150" s="17" t="s">
        <v>246</v>
      </c>
      <c r="J1150" s="27" t="s">
        <v>27</v>
      </c>
      <c r="K1150" s="29">
        <v>1299</v>
      </c>
      <c r="L1150" s="31">
        <v>709261.00000110001</v>
      </c>
      <c r="M1150" s="31">
        <v>88780.780000519007</v>
      </c>
      <c r="N1150" s="31">
        <v>66846.97999995701</v>
      </c>
      <c r="O1150" s="34">
        <f t="shared" si="152"/>
        <v>0.12517363847776955</v>
      </c>
      <c r="P1150" s="34">
        <f t="shared" si="153"/>
        <v>0.7529442746455508</v>
      </c>
      <c r="Q1150" s="34">
        <f t="shared" si="154"/>
        <v>0.87482636152223048</v>
      </c>
      <c r="R1150" s="46">
        <f t="shared" si="155"/>
        <v>51.460338722060825</v>
      </c>
    </row>
    <row r="1151" spans="2:18" ht="12.75" customHeight="1" x14ac:dyDescent="0.25">
      <c r="B1151" s="17" t="s">
        <v>0</v>
      </c>
      <c r="C1151" s="44" t="s">
        <v>64</v>
      </c>
      <c r="D1151" s="22" t="s">
        <v>9</v>
      </c>
      <c r="E1151" s="20">
        <v>2</v>
      </c>
      <c r="F1151" s="17" t="s">
        <v>232</v>
      </c>
      <c r="G1151" s="17" t="s">
        <v>244</v>
      </c>
      <c r="H1151" s="17" t="s">
        <v>245</v>
      </c>
      <c r="I1151" s="17" t="s">
        <v>246</v>
      </c>
      <c r="J1151" s="27" t="s">
        <v>65</v>
      </c>
      <c r="K1151" s="29">
        <v>204</v>
      </c>
      <c r="L1151" s="31">
        <v>147611.9999997</v>
      </c>
      <c r="M1151" s="31">
        <v>42938.700000511999</v>
      </c>
      <c r="N1151" s="31">
        <v>33895.300000348005</v>
      </c>
      <c r="O1151" s="34">
        <f t="shared" si="152"/>
        <v>0.29088895212177374</v>
      </c>
      <c r="P1151" s="34">
        <f t="shared" si="153"/>
        <v>0.78938812772496225</v>
      </c>
      <c r="Q1151" s="34">
        <f t="shared" si="154"/>
        <v>0.70911104787822632</v>
      </c>
      <c r="R1151" s="46">
        <f t="shared" si="155"/>
        <v>166.15343137425492</v>
      </c>
    </row>
    <row r="1152" spans="2:18" ht="12.75" customHeight="1" x14ac:dyDescent="0.25">
      <c r="B1152" s="17" t="s">
        <v>0</v>
      </c>
      <c r="C1152" s="44" t="s">
        <v>22</v>
      </c>
      <c r="D1152" s="22" t="s">
        <v>9</v>
      </c>
      <c r="E1152" s="20">
        <v>2</v>
      </c>
      <c r="F1152" s="17" t="s">
        <v>232</v>
      </c>
      <c r="G1152" s="17" t="s">
        <v>244</v>
      </c>
      <c r="H1152" s="17" t="s">
        <v>245</v>
      </c>
      <c r="I1152" s="17" t="s">
        <v>246</v>
      </c>
      <c r="J1152" s="27" t="s">
        <v>23</v>
      </c>
      <c r="K1152" s="29">
        <v>132</v>
      </c>
      <c r="L1152" s="31">
        <v>131551.99999991999</v>
      </c>
      <c r="M1152" s="31">
        <v>34336.399999863999</v>
      </c>
      <c r="N1152" s="31">
        <v>27144.720000119996</v>
      </c>
      <c r="O1152" s="34">
        <f t="shared" si="152"/>
        <v>0.2610100948665538</v>
      </c>
      <c r="P1152" s="34">
        <f t="shared" si="153"/>
        <v>0.79055230018952227</v>
      </c>
      <c r="Q1152" s="34">
        <f t="shared" si="154"/>
        <v>0.7389899051334462</v>
      </c>
      <c r="R1152" s="46">
        <f t="shared" si="155"/>
        <v>205.64181818272723</v>
      </c>
    </row>
    <row r="1153" spans="2:18" ht="12.75" customHeight="1" x14ac:dyDescent="0.25">
      <c r="B1153" s="17" t="s">
        <v>0</v>
      </c>
      <c r="C1153" s="44" t="s">
        <v>36</v>
      </c>
      <c r="D1153" s="22" t="s">
        <v>9</v>
      </c>
      <c r="E1153" s="20">
        <v>2</v>
      </c>
      <c r="F1153" s="17" t="s">
        <v>232</v>
      </c>
      <c r="G1153" s="17" t="s">
        <v>244</v>
      </c>
      <c r="H1153" s="17" t="s">
        <v>245</v>
      </c>
      <c r="I1153" s="17" t="s">
        <v>246</v>
      </c>
      <c r="J1153" s="27" t="s">
        <v>37</v>
      </c>
      <c r="K1153" s="29">
        <v>36</v>
      </c>
      <c r="L1153" s="31">
        <v>98726.999999940002</v>
      </c>
      <c r="M1153" s="31">
        <v>27230.140000799998</v>
      </c>
      <c r="N1153" s="31">
        <v>21716.269999200002</v>
      </c>
      <c r="O1153" s="34">
        <f t="shared" si="152"/>
        <v>0.27581249304462352</v>
      </c>
      <c r="P1153" s="34">
        <f t="shared" si="153"/>
        <v>0.79750856949549276</v>
      </c>
      <c r="Q1153" s="34">
        <f t="shared" si="154"/>
        <v>0.72418750695537648</v>
      </c>
      <c r="R1153" s="46">
        <f t="shared" si="155"/>
        <v>603.22972220000008</v>
      </c>
    </row>
    <row r="1154" spans="2:18" ht="12.75" customHeight="1" x14ac:dyDescent="0.25">
      <c r="B1154" s="17" t="s">
        <v>0</v>
      </c>
      <c r="C1154" s="44" t="s">
        <v>76</v>
      </c>
      <c r="D1154" s="22" t="s">
        <v>9</v>
      </c>
      <c r="E1154" s="20">
        <v>2</v>
      </c>
      <c r="F1154" s="17" t="s">
        <v>232</v>
      </c>
      <c r="G1154" s="17" t="s">
        <v>244</v>
      </c>
      <c r="H1154" s="17" t="s">
        <v>245</v>
      </c>
      <c r="I1154" s="17" t="s">
        <v>246</v>
      </c>
      <c r="J1154" s="27" t="s">
        <v>77</v>
      </c>
      <c r="K1154" s="29">
        <v>108</v>
      </c>
      <c r="L1154" s="31">
        <v>113283.8</v>
      </c>
      <c r="M1154" s="31">
        <v>26868.919999904003</v>
      </c>
      <c r="N1154" s="31">
        <v>21413.190000144001</v>
      </c>
      <c r="O1154" s="34">
        <f t="shared" si="152"/>
        <v>0.23718236852845687</v>
      </c>
      <c r="P1154" s="34">
        <f t="shared" si="153"/>
        <v>0.79695015654594625</v>
      </c>
      <c r="Q1154" s="34">
        <f t="shared" si="154"/>
        <v>0.76281763147154313</v>
      </c>
      <c r="R1154" s="46">
        <f t="shared" si="155"/>
        <v>198.27027777911113</v>
      </c>
    </row>
    <row r="1155" spans="2:18" ht="12.75" customHeight="1" x14ac:dyDescent="0.25">
      <c r="B1155" s="17" t="s">
        <v>0</v>
      </c>
      <c r="C1155" s="44" t="s">
        <v>32</v>
      </c>
      <c r="D1155" s="22" t="s">
        <v>2</v>
      </c>
      <c r="E1155" s="20">
        <v>1</v>
      </c>
      <c r="F1155" s="17" t="s">
        <v>232</v>
      </c>
      <c r="G1155" s="17" t="s">
        <v>244</v>
      </c>
      <c r="H1155" s="17" t="s">
        <v>245</v>
      </c>
      <c r="I1155" s="17" t="s">
        <v>246</v>
      </c>
      <c r="J1155" s="27" t="s">
        <v>33</v>
      </c>
      <c r="K1155" s="29">
        <v>370</v>
      </c>
      <c r="L1155" s="31">
        <v>94021</v>
      </c>
      <c r="M1155" s="31">
        <v>27820.619999971997</v>
      </c>
      <c r="N1155" s="31">
        <v>21186.189999891001</v>
      </c>
      <c r="O1155" s="34">
        <f t="shared" si="152"/>
        <v>0.29589793769447248</v>
      </c>
      <c r="P1155" s="34">
        <f t="shared" si="153"/>
        <v>0.76152831963889822</v>
      </c>
      <c r="Q1155" s="34">
        <f t="shared" si="154"/>
        <v>0.70410206230552752</v>
      </c>
      <c r="R1155" s="46">
        <f t="shared" si="155"/>
        <v>57.259972972678383</v>
      </c>
    </row>
    <row r="1156" spans="2:18" ht="12.75" customHeight="1" x14ac:dyDescent="0.25">
      <c r="B1156" s="17" t="s">
        <v>0</v>
      </c>
      <c r="C1156" s="44" t="s">
        <v>50</v>
      </c>
      <c r="D1156" s="22" t="s">
        <v>9</v>
      </c>
      <c r="E1156" s="20">
        <v>2</v>
      </c>
      <c r="F1156" s="17" t="s">
        <v>232</v>
      </c>
      <c r="G1156" s="17" t="s">
        <v>244</v>
      </c>
      <c r="H1156" s="17" t="s">
        <v>245</v>
      </c>
      <c r="I1156" s="17" t="s">
        <v>246</v>
      </c>
      <c r="J1156" s="27" t="s">
        <v>51</v>
      </c>
      <c r="K1156" s="29">
        <v>6260</v>
      </c>
      <c r="L1156" s="31">
        <v>62489.999999909996</v>
      </c>
      <c r="M1156" s="31">
        <v>24212.649999995101</v>
      </c>
      <c r="N1156" s="31">
        <v>19271.5400001751</v>
      </c>
      <c r="O1156" s="34">
        <f t="shared" si="152"/>
        <v>0.38746439430356816</v>
      </c>
      <c r="P1156" s="34">
        <f t="shared" si="153"/>
        <v>0.79592857453351862</v>
      </c>
      <c r="Q1156" s="34">
        <f t="shared" si="154"/>
        <v>0.61253560569643184</v>
      </c>
      <c r="R1156" s="46">
        <f t="shared" si="155"/>
        <v>3.0785207668011343</v>
      </c>
    </row>
    <row r="1157" spans="2:18" ht="12.75" customHeight="1" x14ac:dyDescent="0.25">
      <c r="B1157" s="17" t="s">
        <v>0</v>
      </c>
      <c r="C1157" s="44" t="s">
        <v>44</v>
      </c>
      <c r="D1157" s="22" t="s">
        <v>9</v>
      </c>
      <c r="E1157" s="20">
        <v>2</v>
      </c>
      <c r="F1157" s="17" t="s">
        <v>232</v>
      </c>
      <c r="G1157" s="17" t="s">
        <v>244</v>
      </c>
      <c r="H1157" s="17" t="s">
        <v>245</v>
      </c>
      <c r="I1157" s="17" t="s">
        <v>246</v>
      </c>
      <c r="J1157" s="27" t="s">
        <v>45</v>
      </c>
      <c r="K1157" s="29">
        <v>24</v>
      </c>
      <c r="L1157" s="31">
        <v>49244.4</v>
      </c>
      <c r="M1157" s="31">
        <v>19341.699999599998</v>
      </c>
      <c r="N1157" s="31">
        <v>15425.259999600001</v>
      </c>
      <c r="O1157" s="34">
        <f t="shared" si="152"/>
        <v>0.39276953317737645</v>
      </c>
      <c r="P1157" s="34">
        <f t="shared" si="153"/>
        <v>0.79751314516919447</v>
      </c>
      <c r="Q1157" s="34">
        <f t="shared" si="154"/>
        <v>0.6072304668226236</v>
      </c>
      <c r="R1157" s="46">
        <f t="shared" si="155"/>
        <v>642.71916665000003</v>
      </c>
    </row>
    <row r="1158" spans="2:18" ht="12.75" customHeight="1" x14ac:dyDescent="0.25">
      <c r="B1158" s="17" t="s">
        <v>0</v>
      </c>
      <c r="C1158" s="44" t="s">
        <v>52</v>
      </c>
      <c r="D1158" s="22" t="s">
        <v>2</v>
      </c>
      <c r="E1158" s="20">
        <v>1</v>
      </c>
      <c r="F1158" s="17" t="s">
        <v>232</v>
      </c>
      <c r="G1158" s="17" t="s">
        <v>244</v>
      </c>
      <c r="H1158" s="17" t="s">
        <v>245</v>
      </c>
      <c r="I1158" s="17" t="s">
        <v>246</v>
      </c>
      <c r="J1158" s="27" t="s">
        <v>53</v>
      </c>
      <c r="K1158" s="29">
        <v>199</v>
      </c>
      <c r="L1158" s="31">
        <v>38670.000000129003</v>
      </c>
      <c r="M1158" s="31">
        <v>14199.680000054999</v>
      </c>
      <c r="N1158" s="31">
        <v>10660.629999969999</v>
      </c>
      <c r="O1158" s="34">
        <f t="shared" si="152"/>
        <v>0.36720144815121875</v>
      </c>
      <c r="P1158" s="34">
        <f t="shared" si="153"/>
        <v>0.75076551020366</v>
      </c>
      <c r="Q1158" s="34">
        <f t="shared" si="154"/>
        <v>0.63279855184878131</v>
      </c>
      <c r="R1158" s="46">
        <f t="shared" si="155"/>
        <v>53.571005024974866</v>
      </c>
    </row>
    <row r="1159" spans="2:18" ht="12.75" customHeight="1" x14ac:dyDescent="0.25">
      <c r="B1159" s="17" t="s">
        <v>0</v>
      </c>
      <c r="C1159" s="44" t="s">
        <v>66</v>
      </c>
      <c r="D1159" s="22" t="s">
        <v>9</v>
      </c>
      <c r="E1159" s="20">
        <v>2</v>
      </c>
      <c r="F1159" s="17" t="s">
        <v>232</v>
      </c>
      <c r="G1159" s="17" t="s">
        <v>244</v>
      </c>
      <c r="H1159" s="17" t="s">
        <v>245</v>
      </c>
      <c r="I1159" s="17" t="s">
        <v>246</v>
      </c>
      <c r="J1159" s="27" t="s">
        <v>67</v>
      </c>
      <c r="K1159" s="29">
        <v>109056</v>
      </c>
      <c r="L1159" s="31">
        <v>89107.000000689994</v>
      </c>
      <c r="M1159" s="31">
        <v>13049.040001623902</v>
      </c>
      <c r="N1159" s="31">
        <v>10197.269999644699</v>
      </c>
      <c r="O1159" s="34">
        <f t="shared" si="152"/>
        <v>0.14644236705896121</v>
      </c>
      <c r="P1159" s="34">
        <f t="shared" si="153"/>
        <v>0.78145748640326718</v>
      </c>
      <c r="Q1159" s="34">
        <f t="shared" si="154"/>
        <v>0.85355763294103881</v>
      </c>
      <c r="R1159" s="46">
        <f t="shared" si="155"/>
        <v>9.3504896563643441E-2</v>
      </c>
    </row>
    <row r="1160" spans="2:18" ht="12.75" customHeight="1" x14ac:dyDescent="0.25">
      <c r="B1160" s="17" t="s">
        <v>0</v>
      </c>
      <c r="C1160" s="44" t="s">
        <v>46</v>
      </c>
      <c r="D1160" s="22" t="s">
        <v>2</v>
      </c>
      <c r="E1160" s="20">
        <v>1</v>
      </c>
      <c r="F1160" s="17" t="s">
        <v>232</v>
      </c>
      <c r="G1160" s="17" t="s">
        <v>244</v>
      </c>
      <c r="H1160" s="17" t="s">
        <v>245</v>
      </c>
      <c r="I1160" s="17" t="s">
        <v>246</v>
      </c>
      <c r="J1160" s="27" t="s">
        <v>47</v>
      </c>
      <c r="K1160" s="29">
        <v>163</v>
      </c>
      <c r="L1160" s="31">
        <v>56724</v>
      </c>
      <c r="M1160" s="31">
        <v>9841.3900000209997</v>
      </c>
      <c r="N1160" s="31">
        <v>7238.4599999430002</v>
      </c>
      <c r="O1160" s="34">
        <f t="shared" si="152"/>
        <v>0.1734960510545977</v>
      </c>
      <c r="P1160" s="34">
        <f t="shared" si="153"/>
        <v>0.73551195511279954</v>
      </c>
      <c r="Q1160" s="34">
        <f t="shared" si="154"/>
        <v>0.82650394894540224</v>
      </c>
      <c r="R1160" s="46">
        <f t="shared" si="155"/>
        <v>44.407730061000002</v>
      </c>
    </row>
    <row r="1161" spans="2:18" ht="12.75" customHeight="1" x14ac:dyDescent="0.25">
      <c r="B1161" s="17" t="s">
        <v>0</v>
      </c>
      <c r="C1161" s="44" t="s">
        <v>50</v>
      </c>
      <c r="D1161" s="22" t="s">
        <v>2</v>
      </c>
      <c r="E1161" s="20">
        <v>1</v>
      </c>
      <c r="F1161" s="17" t="s">
        <v>232</v>
      </c>
      <c r="G1161" s="17" t="s">
        <v>244</v>
      </c>
      <c r="H1161" s="17" t="s">
        <v>245</v>
      </c>
      <c r="I1161" s="17" t="s">
        <v>246</v>
      </c>
      <c r="J1161" s="27" t="s">
        <v>51</v>
      </c>
      <c r="K1161" s="29">
        <v>92</v>
      </c>
      <c r="L1161" s="31">
        <v>47718</v>
      </c>
      <c r="M1161" s="31">
        <v>5338.0500000060001</v>
      </c>
      <c r="N1161" s="31">
        <v>4210.1599999979999</v>
      </c>
      <c r="O1161" s="34">
        <f t="shared" si="152"/>
        <v>0.11186659122356343</v>
      </c>
      <c r="P1161" s="34">
        <f t="shared" si="153"/>
        <v>0.78870748681508562</v>
      </c>
      <c r="Q1161" s="34">
        <f t="shared" si="154"/>
        <v>0.88813340877643654</v>
      </c>
      <c r="R1161" s="46">
        <f t="shared" si="155"/>
        <v>45.762608695630433</v>
      </c>
    </row>
    <row r="1162" spans="2:18" ht="12.75" customHeight="1" x14ac:dyDescent="0.25">
      <c r="B1162" s="17" t="s">
        <v>0</v>
      </c>
      <c r="C1162" s="44" t="s">
        <v>64</v>
      </c>
      <c r="D1162" s="22" t="s">
        <v>2</v>
      </c>
      <c r="E1162" s="20">
        <v>1</v>
      </c>
      <c r="F1162" s="17" t="s">
        <v>232</v>
      </c>
      <c r="G1162" s="17" t="s">
        <v>244</v>
      </c>
      <c r="H1162" s="17" t="s">
        <v>245</v>
      </c>
      <c r="I1162" s="17" t="s">
        <v>246</v>
      </c>
      <c r="J1162" s="27" t="s">
        <v>65</v>
      </c>
      <c r="K1162" s="29">
        <v>20</v>
      </c>
      <c r="L1162" s="31">
        <v>5000</v>
      </c>
      <c r="M1162" s="31">
        <v>1488.1200000000001</v>
      </c>
      <c r="N1162" s="31">
        <v>1185.72</v>
      </c>
      <c r="O1162" s="34">
        <f t="shared" si="152"/>
        <v>0.297624</v>
      </c>
      <c r="P1162" s="34">
        <f t="shared" si="153"/>
        <v>0.79679058140472536</v>
      </c>
      <c r="Q1162" s="34">
        <f t="shared" si="154"/>
        <v>0.702376</v>
      </c>
      <c r="R1162" s="46">
        <f t="shared" si="155"/>
        <v>59.286000000000001</v>
      </c>
    </row>
    <row r="1163" spans="2:18" ht="12.75" customHeight="1" x14ac:dyDescent="0.25">
      <c r="B1163" s="17" t="s">
        <v>0</v>
      </c>
      <c r="C1163" s="44" t="s">
        <v>48</v>
      </c>
      <c r="D1163" s="22" t="s">
        <v>2</v>
      </c>
      <c r="E1163" s="20">
        <v>1</v>
      </c>
      <c r="F1163" s="17" t="s">
        <v>232</v>
      </c>
      <c r="G1163" s="17" t="s">
        <v>244</v>
      </c>
      <c r="H1163" s="17" t="s">
        <v>245</v>
      </c>
      <c r="I1163" s="17" t="s">
        <v>246</v>
      </c>
      <c r="J1163" s="27" t="s">
        <v>49</v>
      </c>
      <c r="K1163" s="29">
        <v>24</v>
      </c>
      <c r="L1163" s="31">
        <v>27288</v>
      </c>
      <c r="M1163" s="31">
        <v>1104.72</v>
      </c>
      <c r="N1163" s="31">
        <v>805.56</v>
      </c>
      <c r="O1163" s="34">
        <f t="shared" si="152"/>
        <v>4.0483729111697453E-2</v>
      </c>
      <c r="P1163" s="34">
        <f t="shared" si="153"/>
        <v>0.72919834890288937</v>
      </c>
      <c r="Q1163" s="34">
        <f t="shared" si="154"/>
        <v>0.95951627088830249</v>
      </c>
      <c r="R1163" s="46">
        <f t="shared" si="155"/>
        <v>33.564999999999998</v>
      </c>
    </row>
    <row r="1164" spans="2:18" ht="12.75" customHeight="1" thickBot="1" x14ac:dyDescent="0.3">
      <c r="B1164" s="15" t="s">
        <v>0</v>
      </c>
      <c r="C1164" s="50" t="s">
        <v>90</v>
      </c>
      <c r="D1164" s="19" t="s">
        <v>9</v>
      </c>
      <c r="E1164" s="16">
        <v>2</v>
      </c>
      <c r="F1164" s="15" t="s">
        <v>232</v>
      </c>
      <c r="G1164" s="15" t="s">
        <v>244</v>
      </c>
      <c r="H1164" s="15" t="s">
        <v>245</v>
      </c>
      <c r="I1164" s="15" t="s">
        <v>246</v>
      </c>
      <c r="J1164" s="24" t="s">
        <v>91</v>
      </c>
      <c r="K1164" s="26">
        <v>5089</v>
      </c>
      <c r="L1164" s="28">
        <v>6241</v>
      </c>
      <c r="M1164" s="28">
        <v>1002.5300001636</v>
      </c>
      <c r="N1164" s="28">
        <v>798.4799999592999</v>
      </c>
      <c r="O1164" s="32">
        <f t="shared" si="152"/>
        <v>0.16063611603326389</v>
      </c>
      <c r="P1164" s="32">
        <f t="shared" si="153"/>
        <v>0.7964649435218879</v>
      </c>
      <c r="Q1164" s="32">
        <f t="shared" si="154"/>
        <v>0.83936388396673611</v>
      </c>
      <c r="R1164" s="49">
        <f t="shared" si="155"/>
        <v>0.15690312437793277</v>
      </c>
    </row>
    <row r="1165" spans="2:18" ht="17.25" customHeight="1" x14ac:dyDescent="0.25">
      <c r="B1165" s="48"/>
      <c r="C1165" s="58"/>
      <c r="D1165" s="51" t="s">
        <v>366</v>
      </c>
      <c r="E1165" s="52"/>
      <c r="F1165" s="52"/>
      <c r="G1165" s="53"/>
      <c r="H1165" s="53"/>
      <c r="I1165" s="53"/>
      <c r="J1165" s="54"/>
      <c r="K1165" s="55">
        <f>SUM(K1126:K1164)</f>
        <v>7013042</v>
      </c>
      <c r="L1165" s="56">
        <f>SUM(L1126:L1164)</f>
        <v>602110703.21206141</v>
      </c>
      <c r="M1165" s="56">
        <f>SUM(M1126:M1164)</f>
        <v>208966917.54534945</v>
      </c>
      <c r="N1165" s="56">
        <f>SUM(N1126:N1164)</f>
        <v>165827410.89759272</v>
      </c>
      <c r="O1165" s="57">
        <f>IFERROR(M1165/L1165,0)</f>
        <v>0.34705730429733284</v>
      </c>
      <c r="P1165" s="57">
        <f>IFERROR(N1165/M1165,0)</f>
        <v>0.79355819976434927</v>
      </c>
      <c r="Q1165" s="57">
        <f>IFERROR(1-(M1165/L1165),0)</f>
        <v>0.65294269570266716</v>
      </c>
      <c r="R1165" s="59">
        <f>IFERROR(N1165/K1165,0)</f>
        <v>23.645575043981303</v>
      </c>
    </row>
    <row r="1166" spans="2:18" ht="15.75" thickBot="1" x14ac:dyDescent="0.3">
      <c r="B1166" s="60"/>
      <c r="C1166" s="64"/>
      <c r="D1166" s="62" t="s">
        <v>246</v>
      </c>
      <c r="E1166" s="61"/>
      <c r="F1166" s="61"/>
      <c r="G1166" s="61"/>
      <c r="H1166" s="61"/>
      <c r="I1166" s="61"/>
      <c r="J1166" s="61"/>
      <c r="K1166" s="63"/>
      <c r="L1166" s="63"/>
      <c r="M1166" s="63"/>
      <c r="N1166" s="63"/>
      <c r="O1166" s="63"/>
      <c r="P1166" s="63"/>
      <c r="Q1166" s="63"/>
      <c r="R1166" s="65"/>
    </row>
    <row r="1167" spans="2:18" ht="15.75" thickBot="1" x14ac:dyDescent="0.3"/>
    <row r="1168" spans="2:18" ht="15.75" x14ac:dyDescent="0.25">
      <c r="B1168" s="1"/>
      <c r="C1168" s="7" t="s">
        <v>348</v>
      </c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9"/>
    </row>
    <row r="1169" spans="2:18" ht="18" x14ac:dyDescent="0.25">
      <c r="B1169" s="2"/>
      <c r="C1169" s="8" t="s">
        <v>249</v>
      </c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10"/>
    </row>
    <row r="1170" spans="2:18" ht="15.75" thickBot="1" x14ac:dyDescent="0.3">
      <c r="B1170" s="3"/>
      <c r="C1170" s="11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12"/>
    </row>
    <row r="1171" spans="2:18" ht="17.25" customHeight="1" thickBot="1" x14ac:dyDescent="0.3">
      <c r="B1171" s="14" t="s">
        <v>349</v>
      </c>
      <c r="C1171" s="18" t="s">
        <v>350</v>
      </c>
      <c r="D1171" s="21" t="s">
        <v>351</v>
      </c>
      <c r="E1171" s="23" t="s">
        <v>352</v>
      </c>
      <c r="F1171" s="21" t="s">
        <v>353</v>
      </c>
      <c r="G1171" s="23" t="s">
        <v>354</v>
      </c>
      <c r="H1171" s="23" t="s">
        <v>355</v>
      </c>
      <c r="I1171" s="23" t="s">
        <v>356</v>
      </c>
      <c r="J1171" s="25" t="s">
        <v>357</v>
      </c>
      <c r="K1171" s="25" t="s">
        <v>358</v>
      </c>
      <c r="L1171" s="30" t="s">
        <v>359</v>
      </c>
      <c r="M1171" s="30" t="s">
        <v>360</v>
      </c>
      <c r="N1171" s="30" t="s">
        <v>361</v>
      </c>
      <c r="O1171" s="33" t="s">
        <v>362</v>
      </c>
      <c r="P1171" s="33" t="s">
        <v>363</v>
      </c>
      <c r="Q1171" s="33" t="s">
        <v>364</v>
      </c>
      <c r="R1171" s="35" t="s">
        <v>365</v>
      </c>
    </row>
    <row r="1172" spans="2:18" ht="12.75" customHeight="1" x14ac:dyDescent="0.25">
      <c r="B1172" s="17" t="s">
        <v>0</v>
      </c>
      <c r="C1172" s="43" t="s">
        <v>18</v>
      </c>
      <c r="D1172" s="37" t="s">
        <v>2</v>
      </c>
      <c r="E1172" s="36">
        <v>1</v>
      </c>
      <c r="F1172" s="38" t="s">
        <v>232</v>
      </c>
      <c r="G1172" s="38" t="s">
        <v>247</v>
      </c>
      <c r="H1172" s="38" t="s">
        <v>248</v>
      </c>
      <c r="I1172" s="38" t="s">
        <v>249</v>
      </c>
      <c r="J1172" s="39" t="s">
        <v>19</v>
      </c>
      <c r="K1172" s="40">
        <v>2276260</v>
      </c>
      <c r="L1172" s="41">
        <v>230301470.10001799</v>
      </c>
      <c r="M1172" s="41">
        <v>30664310.790008504</v>
      </c>
      <c r="N1172" s="41">
        <v>25953486.220010836</v>
      </c>
      <c r="O1172" s="42">
        <f t="shared" ref="O1172:O1203" si="156">IFERROR(M1172/L1172,0)</f>
        <v>0.13314856729612387</v>
      </c>
      <c r="P1172" s="42">
        <f t="shared" ref="P1172:P1203" si="157">IFERROR(N1172/M1172,0)</f>
        <v>0.84637435348677004</v>
      </c>
      <c r="Q1172" s="42">
        <f t="shared" ref="Q1172:Q1203" si="158">IFERROR(1-(M1172/L1172),0)</f>
        <v>0.8668514327038761</v>
      </c>
      <c r="R1172" s="45">
        <f t="shared" ref="R1172:R1203" si="159">IFERROR(N1172/K1172,0)</f>
        <v>11.401810961845674</v>
      </c>
    </row>
    <row r="1173" spans="2:18" ht="12.75" customHeight="1" x14ac:dyDescent="0.25">
      <c r="B1173" s="17" t="s">
        <v>0</v>
      </c>
      <c r="C1173" s="44" t="s">
        <v>18</v>
      </c>
      <c r="D1173" s="22" t="s">
        <v>9</v>
      </c>
      <c r="E1173" s="20">
        <v>2</v>
      </c>
      <c r="F1173" s="17" t="s">
        <v>232</v>
      </c>
      <c r="G1173" s="17" t="s">
        <v>247</v>
      </c>
      <c r="H1173" s="17" t="s">
        <v>248</v>
      </c>
      <c r="I1173" s="17" t="s">
        <v>249</v>
      </c>
      <c r="J1173" s="27" t="s">
        <v>19</v>
      </c>
      <c r="K1173" s="29">
        <v>3714531</v>
      </c>
      <c r="L1173" s="31">
        <v>116354102.00009136</v>
      </c>
      <c r="M1173" s="31">
        <v>28285628.360296398</v>
      </c>
      <c r="N1173" s="31">
        <v>25501434.138340678</v>
      </c>
      <c r="O1173" s="34">
        <f t="shared" si="156"/>
        <v>0.2430995373096016</v>
      </c>
      <c r="P1173" s="34">
        <f t="shared" si="157"/>
        <v>0.90156859213126761</v>
      </c>
      <c r="Q1173" s="34">
        <f t="shared" si="158"/>
        <v>0.75690046269039835</v>
      </c>
      <c r="R1173" s="46">
        <f t="shared" si="159"/>
        <v>6.8653173545571908</v>
      </c>
    </row>
    <row r="1174" spans="2:18" ht="12.75" customHeight="1" x14ac:dyDescent="0.25">
      <c r="B1174" s="17" t="s">
        <v>0</v>
      </c>
      <c r="C1174" s="44" t="s">
        <v>250</v>
      </c>
      <c r="D1174" s="22" t="s">
        <v>9</v>
      </c>
      <c r="E1174" s="20">
        <v>2</v>
      </c>
      <c r="F1174" s="17" t="s">
        <v>232</v>
      </c>
      <c r="G1174" s="17" t="s">
        <v>247</v>
      </c>
      <c r="H1174" s="17" t="s">
        <v>248</v>
      </c>
      <c r="I1174" s="17" t="s">
        <v>249</v>
      </c>
      <c r="J1174" s="27" t="s">
        <v>251</v>
      </c>
      <c r="K1174" s="29">
        <v>335633</v>
      </c>
      <c r="L1174" s="31">
        <v>45611638.829960838</v>
      </c>
      <c r="M1174" s="31">
        <v>30711621.47998054</v>
      </c>
      <c r="N1174" s="31">
        <v>23738552.300003093</v>
      </c>
      <c r="O1174" s="34">
        <f t="shared" si="156"/>
        <v>0.67332861234109065</v>
      </c>
      <c r="P1174" s="34">
        <f t="shared" si="157"/>
        <v>0.77295014577713317</v>
      </c>
      <c r="Q1174" s="34">
        <f t="shared" si="158"/>
        <v>0.32667138765890935</v>
      </c>
      <c r="R1174" s="46">
        <f t="shared" si="159"/>
        <v>70.727706453188731</v>
      </c>
    </row>
    <row r="1175" spans="2:18" ht="12.75" customHeight="1" x14ac:dyDescent="0.25">
      <c r="B1175" s="17" t="s">
        <v>0</v>
      </c>
      <c r="C1175" s="44" t="s">
        <v>90</v>
      </c>
      <c r="D1175" s="22" t="s">
        <v>9</v>
      </c>
      <c r="E1175" s="20">
        <v>2</v>
      </c>
      <c r="F1175" s="17" t="s">
        <v>232</v>
      </c>
      <c r="G1175" s="17" t="s">
        <v>247</v>
      </c>
      <c r="H1175" s="17" t="s">
        <v>248</v>
      </c>
      <c r="I1175" s="17" t="s">
        <v>249</v>
      </c>
      <c r="J1175" s="27" t="s">
        <v>91</v>
      </c>
      <c r="K1175" s="29">
        <v>398017</v>
      </c>
      <c r="L1175" s="31">
        <v>44930289.299967937</v>
      </c>
      <c r="M1175" s="31">
        <v>15162261.949994499</v>
      </c>
      <c r="N1175" s="31">
        <v>11145401.250004621</v>
      </c>
      <c r="O1175" s="34">
        <f t="shared" si="156"/>
        <v>0.33746192571266881</v>
      </c>
      <c r="P1175" s="34">
        <f t="shared" si="157"/>
        <v>0.73507510203704562</v>
      </c>
      <c r="Q1175" s="34">
        <f t="shared" si="158"/>
        <v>0.66253807428733125</v>
      </c>
      <c r="R1175" s="46">
        <f t="shared" si="159"/>
        <v>28.002324649461258</v>
      </c>
    </row>
    <row r="1176" spans="2:18" ht="12.75" customHeight="1" x14ac:dyDescent="0.25">
      <c r="B1176" s="17" t="s">
        <v>0</v>
      </c>
      <c r="C1176" s="44" t="s">
        <v>34</v>
      </c>
      <c r="D1176" s="22" t="s">
        <v>9</v>
      </c>
      <c r="E1176" s="20">
        <v>2</v>
      </c>
      <c r="F1176" s="17" t="s">
        <v>232</v>
      </c>
      <c r="G1176" s="17" t="s">
        <v>247</v>
      </c>
      <c r="H1176" s="17" t="s">
        <v>248</v>
      </c>
      <c r="I1176" s="17" t="s">
        <v>249</v>
      </c>
      <c r="J1176" s="27" t="s">
        <v>35</v>
      </c>
      <c r="K1176" s="29">
        <v>168956</v>
      </c>
      <c r="L1176" s="31">
        <v>31016445.980018795</v>
      </c>
      <c r="M1176" s="31">
        <v>10795170.760010771</v>
      </c>
      <c r="N1176" s="31">
        <v>8100094.8700036071</v>
      </c>
      <c r="O1176" s="34">
        <f t="shared" si="156"/>
        <v>0.34804667069093487</v>
      </c>
      <c r="P1176" s="34">
        <f t="shared" si="157"/>
        <v>0.7503443021030568</v>
      </c>
      <c r="Q1176" s="34">
        <f t="shared" si="158"/>
        <v>0.65195332930906513</v>
      </c>
      <c r="R1176" s="46">
        <f t="shared" si="159"/>
        <v>47.942037394372541</v>
      </c>
    </row>
    <row r="1177" spans="2:18" ht="12.75" customHeight="1" x14ac:dyDescent="0.25">
      <c r="B1177" s="17" t="s">
        <v>0</v>
      </c>
      <c r="C1177" s="44" t="s">
        <v>236</v>
      </c>
      <c r="D1177" s="22" t="s">
        <v>9</v>
      </c>
      <c r="E1177" s="20">
        <v>2</v>
      </c>
      <c r="F1177" s="17" t="s">
        <v>232</v>
      </c>
      <c r="G1177" s="17" t="s">
        <v>247</v>
      </c>
      <c r="H1177" s="17" t="s">
        <v>248</v>
      </c>
      <c r="I1177" s="17" t="s">
        <v>249</v>
      </c>
      <c r="J1177" s="27" t="s">
        <v>237</v>
      </c>
      <c r="K1177" s="29">
        <v>3170940</v>
      </c>
      <c r="L1177" s="31">
        <v>70899773.389989972</v>
      </c>
      <c r="M1177" s="31">
        <v>9168074.9099920634</v>
      </c>
      <c r="N1177" s="31">
        <v>7904311.7000181386</v>
      </c>
      <c r="O1177" s="34">
        <f t="shared" si="156"/>
        <v>0.1293103556137242</v>
      </c>
      <c r="P1177" s="34">
        <f t="shared" si="157"/>
        <v>0.86215609903049772</v>
      </c>
      <c r="Q1177" s="34">
        <f t="shared" si="158"/>
        <v>0.87068964438627583</v>
      </c>
      <c r="R1177" s="46">
        <f t="shared" si="159"/>
        <v>2.4927345519051571</v>
      </c>
    </row>
    <row r="1178" spans="2:18" ht="12.75" customHeight="1" x14ac:dyDescent="0.25">
      <c r="B1178" s="17" t="s">
        <v>0</v>
      </c>
      <c r="C1178" s="44" t="s">
        <v>166</v>
      </c>
      <c r="D1178" s="22" t="s">
        <v>9</v>
      </c>
      <c r="E1178" s="20">
        <v>2</v>
      </c>
      <c r="F1178" s="17" t="s">
        <v>232</v>
      </c>
      <c r="G1178" s="17" t="s">
        <v>247</v>
      </c>
      <c r="H1178" s="17" t="s">
        <v>248</v>
      </c>
      <c r="I1178" s="17" t="s">
        <v>249</v>
      </c>
      <c r="J1178" s="27" t="s">
        <v>167</v>
      </c>
      <c r="K1178" s="29">
        <v>124200</v>
      </c>
      <c r="L1178" s="31">
        <v>11792140.370001359</v>
      </c>
      <c r="M1178" s="31">
        <v>4142340.5800020816</v>
      </c>
      <c r="N1178" s="31">
        <v>2918772.4599973052</v>
      </c>
      <c r="O1178" s="34">
        <f t="shared" si="156"/>
        <v>0.35127978891262168</v>
      </c>
      <c r="P1178" s="34">
        <f t="shared" si="157"/>
        <v>0.70461914070712128</v>
      </c>
      <c r="Q1178" s="34">
        <f t="shared" si="158"/>
        <v>0.64872021108737832</v>
      </c>
      <c r="R1178" s="46">
        <f t="shared" si="159"/>
        <v>23.500583413826934</v>
      </c>
    </row>
    <row r="1179" spans="2:18" ht="12.75" customHeight="1" x14ac:dyDescent="0.25">
      <c r="B1179" s="17" t="s">
        <v>0</v>
      </c>
      <c r="C1179" s="44" t="s">
        <v>54</v>
      </c>
      <c r="D1179" s="22" t="s">
        <v>9</v>
      </c>
      <c r="E1179" s="20">
        <v>2</v>
      </c>
      <c r="F1179" s="17" t="s">
        <v>232</v>
      </c>
      <c r="G1179" s="17" t="s">
        <v>247</v>
      </c>
      <c r="H1179" s="17" t="s">
        <v>248</v>
      </c>
      <c r="I1179" s="17" t="s">
        <v>249</v>
      </c>
      <c r="J1179" s="27" t="s">
        <v>55</v>
      </c>
      <c r="K1179" s="29">
        <v>225106</v>
      </c>
      <c r="L1179" s="31">
        <v>8194152.0699933534</v>
      </c>
      <c r="M1179" s="31">
        <v>2552070.5100017912</v>
      </c>
      <c r="N1179" s="31">
        <v>2032628.5499979896</v>
      </c>
      <c r="O1179" s="34">
        <f t="shared" si="156"/>
        <v>0.31145022550257129</v>
      </c>
      <c r="P1179" s="34">
        <f t="shared" si="157"/>
        <v>0.79646253582412307</v>
      </c>
      <c r="Q1179" s="34">
        <f t="shared" si="158"/>
        <v>0.68854977449742871</v>
      </c>
      <c r="R1179" s="46">
        <f t="shared" si="159"/>
        <v>9.0296506978845059</v>
      </c>
    </row>
    <row r="1180" spans="2:18" ht="12.75" customHeight="1" x14ac:dyDescent="0.25">
      <c r="B1180" s="17" t="s">
        <v>0</v>
      </c>
      <c r="C1180" s="44" t="s">
        <v>103</v>
      </c>
      <c r="D1180" s="22" t="s">
        <v>9</v>
      </c>
      <c r="E1180" s="20">
        <v>2</v>
      </c>
      <c r="F1180" s="17" t="s">
        <v>232</v>
      </c>
      <c r="G1180" s="17" t="s">
        <v>247</v>
      </c>
      <c r="H1180" s="17" t="s">
        <v>248</v>
      </c>
      <c r="I1180" s="17" t="s">
        <v>249</v>
      </c>
      <c r="J1180" s="27" t="s">
        <v>104</v>
      </c>
      <c r="K1180" s="29">
        <v>88104</v>
      </c>
      <c r="L1180" s="31">
        <v>6935200.5900048465</v>
      </c>
      <c r="M1180" s="31">
        <v>2765767.6299983826</v>
      </c>
      <c r="N1180" s="31">
        <v>2025979.5799996136</v>
      </c>
      <c r="O1180" s="34">
        <f t="shared" si="156"/>
        <v>0.39880138924668795</v>
      </c>
      <c r="P1180" s="34">
        <f t="shared" si="157"/>
        <v>0.73251981042268488</v>
      </c>
      <c r="Q1180" s="34">
        <f t="shared" si="158"/>
        <v>0.60119861075331205</v>
      </c>
      <c r="R1180" s="46">
        <f t="shared" si="159"/>
        <v>22.995318941246861</v>
      </c>
    </row>
    <row r="1181" spans="2:18" ht="12.75" customHeight="1" x14ac:dyDescent="0.25">
      <c r="B1181" s="17" t="s">
        <v>0</v>
      </c>
      <c r="C1181" s="44" t="s">
        <v>50</v>
      </c>
      <c r="D1181" s="22" t="s">
        <v>9</v>
      </c>
      <c r="E1181" s="20">
        <v>2</v>
      </c>
      <c r="F1181" s="17" t="s">
        <v>232</v>
      </c>
      <c r="G1181" s="17" t="s">
        <v>247</v>
      </c>
      <c r="H1181" s="17" t="s">
        <v>248</v>
      </c>
      <c r="I1181" s="17" t="s">
        <v>249</v>
      </c>
      <c r="J1181" s="27" t="s">
        <v>51</v>
      </c>
      <c r="K1181" s="29">
        <v>101816</v>
      </c>
      <c r="L1181" s="31">
        <v>9204454.4400008824</v>
      </c>
      <c r="M1181" s="31">
        <v>2590570.7299997304</v>
      </c>
      <c r="N1181" s="31">
        <v>1906086.2100001883</v>
      </c>
      <c r="O1181" s="34">
        <f t="shared" si="156"/>
        <v>0.28144750423681625</v>
      </c>
      <c r="P1181" s="34">
        <f t="shared" si="157"/>
        <v>0.73577848615636399</v>
      </c>
      <c r="Q1181" s="34">
        <f t="shared" si="158"/>
        <v>0.7185524957631837</v>
      </c>
      <c r="R1181" s="46">
        <f t="shared" si="159"/>
        <v>18.720890724445944</v>
      </c>
    </row>
    <row r="1182" spans="2:18" ht="12.75" customHeight="1" x14ac:dyDescent="0.25">
      <c r="B1182" s="17" t="s">
        <v>0</v>
      </c>
      <c r="C1182" s="44" t="s">
        <v>30</v>
      </c>
      <c r="D1182" s="22" t="s">
        <v>9</v>
      </c>
      <c r="E1182" s="20">
        <v>2</v>
      </c>
      <c r="F1182" s="17" t="s">
        <v>232</v>
      </c>
      <c r="G1182" s="17" t="s">
        <v>247</v>
      </c>
      <c r="H1182" s="17" t="s">
        <v>248</v>
      </c>
      <c r="I1182" s="17" t="s">
        <v>249</v>
      </c>
      <c r="J1182" s="27" t="s">
        <v>31</v>
      </c>
      <c r="K1182" s="29">
        <v>272264</v>
      </c>
      <c r="L1182" s="31">
        <v>8587596.1899969112</v>
      </c>
      <c r="M1182" s="31">
        <v>2268430.0100016417</v>
      </c>
      <c r="N1182" s="31">
        <v>1855567.4399998665</v>
      </c>
      <c r="O1182" s="34">
        <f t="shared" si="156"/>
        <v>0.26415191862933385</v>
      </c>
      <c r="P1182" s="34">
        <f t="shared" si="157"/>
        <v>0.81799633747506439</v>
      </c>
      <c r="Q1182" s="34">
        <f t="shared" si="158"/>
        <v>0.73584808137066615</v>
      </c>
      <c r="R1182" s="46">
        <f t="shared" si="159"/>
        <v>6.8153242441155149</v>
      </c>
    </row>
    <row r="1183" spans="2:18" ht="12.75" customHeight="1" x14ac:dyDescent="0.25">
      <c r="B1183" s="17" t="s">
        <v>0</v>
      </c>
      <c r="C1183" s="44" t="s">
        <v>98</v>
      </c>
      <c r="D1183" s="22" t="s">
        <v>2</v>
      </c>
      <c r="E1183" s="20">
        <v>1</v>
      </c>
      <c r="F1183" s="17" t="s">
        <v>232</v>
      </c>
      <c r="G1183" s="17" t="s">
        <v>247</v>
      </c>
      <c r="H1183" s="17" t="s">
        <v>248</v>
      </c>
      <c r="I1183" s="17" t="s">
        <v>249</v>
      </c>
      <c r="J1183" s="27" t="s">
        <v>102</v>
      </c>
      <c r="K1183" s="29">
        <v>11084</v>
      </c>
      <c r="L1183" s="31">
        <v>9002053.0587997995</v>
      </c>
      <c r="M1183" s="31">
        <v>1239574.9446030667</v>
      </c>
      <c r="N1183" s="31">
        <v>983325.76768825518</v>
      </c>
      <c r="O1183" s="34">
        <f t="shared" si="156"/>
        <v>0.13769913779738743</v>
      </c>
      <c r="P1183" s="34">
        <f t="shared" si="157"/>
        <v>0.7932765759500997</v>
      </c>
      <c r="Q1183" s="34">
        <f t="shared" si="158"/>
        <v>0.86230086220261259</v>
      </c>
      <c r="R1183" s="46">
        <f t="shared" si="159"/>
        <v>88.715785608828511</v>
      </c>
    </row>
    <row r="1184" spans="2:18" ht="12.75" customHeight="1" x14ac:dyDescent="0.25">
      <c r="B1184" s="17" t="s">
        <v>0</v>
      </c>
      <c r="C1184" s="44" t="s">
        <v>46</v>
      </c>
      <c r="D1184" s="22" t="s">
        <v>9</v>
      </c>
      <c r="E1184" s="20">
        <v>2</v>
      </c>
      <c r="F1184" s="17" t="s">
        <v>232</v>
      </c>
      <c r="G1184" s="17" t="s">
        <v>247</v>
      </c>
      <c r="H1184" s="17" t="s">
        <v>248</v>
      </c>
      <c r="I1184" s="17" t="s">
        <v>249</v>
      </c>
      <c r="J1184" s="27" t="s">
        <v>47</v>
      </c>
      <c r="K1184" s="29">
        <v>44827</v>
      </c>
      <c r="L1184" s="31">
        <v>4618648.8000032762</v>
      </c>
      <c r="M1184" s="31">
        <v>1301413.5400008131</v>
      </c>
      <c r="N1184" s="31">
        <v>957559.95999945968</v>
      </c>
      <c r="O1184" s="34">
        <f t="shared" si="156"/>
        <v>0.28177365206895355</v>
      </c>
      <c r="P1184" s="34">
        <f t="shared" si="157"/>
        <v>0.73578453778716746</v>
      </c>
      <c r="Q1184" s="34">
        <f t="shared" si="158"/>
        <v>0.71822634793104645</v>
      </c>
      <c r="R1184" s="46">
        <f t="shared" si="159"/>
        <v>21.361232293025626</v>
      </c>
    </row>
    <row r="1185" spans="2:18" ht="12.75" customHeight="1" x14ac:dyDescent="0.25">
      <c r="B1185" s="17" t="s">
        <v>0</v>
      </c>
      <c r="C1185" s="44" t="s">
        <v>110</v>
      </c>
      <c r="D1185" s="22" t="s">
        <v>9</v>
      </c>
      <c r="E1185" s="20">
        <v>2</v>
      </c>
      <c r="F1185" s="17" t="s">
        <v>232</v>
      </c>
      <c r="G1185" s="17" t="s">
        <v>247</v>
      </c>
      <c r="H1185" s="17" t="s">
        <v>248</v>
      </c>
      <c r="I1185" s="17" t="s">
        <v>249</v>
      </c>
      <c r="J1185" s="27" t="s">
        <v>111</v>
      </c>
      <c r="K1185" s="29">
        <v>14963</v>
      </c>
      <c r="L1185" s="31">
        <v>2966840.1999970987</v>
      </c>
      <c r="M1185" s="31">
        <v>953992.52999914694</v>
      </c>
      <c r="N1185" s="31">
        <v>919775.85999894398</v>
      </c>
      <c r="O1185" s="34">
        <f t="shared" si="156"/>
        <v>0.32155170676198869</v>
      </c>
      <c r="P1185" s="34">
        <f t="shared" si="157"/>
        <v>0.96413318875753296</v>
      </c>
      <c r="Q1185" s="34">
        <f t="shared" si="158"/>
        <v>0.67844829323801137</v>
      </c>
      <c r="R1185" s="46">
        <f t="shared" si="159"/>
        <v>61.47001670780886</v>
      </c>
    </row>
    <row r="1186" spans="2:18" ht="12.75" customHeight="1" x14ac:dyDescent="0.25">
      <c r="B1186" s="17" t="s">
        <v>0</v>
      </c>
      <c r="C1186" s="44" t="s">
        <v>24</v>
      </c>
      <c r="D1186" s="22" t="s">
        <v>9</v>
      </c>
      <c r="E1186" s="20">
        <v>2</v>
      </c>
      <c r="F1186" s="17" t="s">
        <v>232</v>
      </c>
      <c r="G1186" s="17" t="s">
        <v>247</v>
      </c>
      <c r="H1186" s="17" t="s">
        <v>248</v>
      </c>
      <c r="I1186" s="17" t="s">
        <v>249</v>
      </c>
      <c r="J1186" s="27" t="s">
        <v>25</v>
      </c>
      <c r="K1186" s="29">
        <v>109102</v>
      </c>
      <c r="L1186" s="31">
        <v>4470966.3999955533</v>
      </c>
      <c r="M1186" s="31">
        <v>1072513.4399979105</v>
      </c>
      <c r="N1186" s="31">
        <v>851112.89000133472</v>
      </c>
      <c r="O1186" s="34">
        <f t="shared" si="156"/>
        <v>0.23988403044115411</v>
      </c>
      <c r="P1186" s="34">
        <f t="shared" si="157"/>
        <v>0.79356850763846176</v>
      </c>
      <c r="Q1186" s="34">
        <f t="shared" si="158"/>
        <v>0.76011596955884586</v>
      </c>
      <c r="R1186" s="46">
        <f t="shared" si="159"/>
        <v>7.8010750490489151</v>
      </c>
    </row>
    <row r="1187" spans="2:18" ht="12.75" customHeight="1" x14ac:dyDescent="0.25">
      <c r="B1187" s="17" t="s">
        <v>0</v>
      </c>
      <c r="C1187" s="44" t="s">
        <v>26</v>
      </c>
      <c r="D1187" s="22" t="s">
        <v>9</v>
      </c>
      <c r="E1187" s="20">
        <v>2</v>
      </c>
      <c r="F1187" s="17" t="s">
        <v>232</v>
      </c>
      <c r="G1187" s="17" t="s">
        <v>247</v>
      </c>
      <c r="H1187" s="17" t="s">
        <v>248</v>
      </c>
      <c r="I1187" s="17" t="s">
        <v>249</v>
      </c>
      <c r="J1187" s="27" t="s">
        <v>27</v>
      </c>
      <c r="K1187" s="29">
        <v>70334</v>
      </c>
      <c r="L1187" s="31">
        <v>4409065.6399839008</v>
      </c>
      <c r="M1187" s="31">
        <v>993978.17000110692</v>
      </c>
      <c r="N1187" s="31">
        <v>809287.60999914154</v>
      </c>
      <c r="O1187" s="34">
        <f t="shared" si="156"/>
        <v>0.22543963986091536</v>
      </c>
      <c r="P1187" s="34">
        <f t="shared" si="157"/>
        <v>0.8141905269390779</v>
      </c>
      <c r="Q1187" s="34">
        <f t="shared" si="158"/>
        <v>0.77456036013908469</v>
      </c>
      <c r="R1187" s="46">
        <f t="shared" si="159"/>
        <v>11.506349845012959</v>
      </c>
    </row>
    <row r="1188" spans="2:18" ht="12.75" customHeight="1" x14ac:dyDescent="0.25">
      <c r="B1188" s="17" t="s">
        <v>0</v>
      </c>
      <c r="C1188" s="44" t="s">
        <v>26</v>
      </c>
      <c r="D1188" s="22" t="s">
        <v>2</v>
      </c>
      <c r="E1188" s="20">
        <v>1</v>
      </c>
      <c r="F1188" s="17" t="s">
        <v>232</v>
      </c>
      <c r="G1188" s="17" t="s">
        <v>247</v>
      </c>
      <c r="H1188" s="17" t="s">
        <v>248</v>
      </c>
      <c r="I1188" s="17" t="s">
        <v>249</v>
      </c>
      <c r="J1188" s="27" t="s">
        <v>27</v>
      </c>
      <c r="K1188" s="29">
        <v>69121</v>
      </c>
      <c r="L1188" s="31">
        <v>8392568.680003453</v>
      </c>
      <c r="M1188" s="31">
        <v>908663.21999912779</v>
      </c>
      <c r="N1188" s="31">
        <v>713168.23999989755</v>
      </c>
      <c r="O1188" s="34">
        <f t="shared" si="156"/>
        <v>0.10826997724357662</v>
      </c>
      <c r="P1188" s="34">
        <f t="shared" si="157"/>
        <v>0.78485430498725606</v>
      </c>
      <c r="Q1188" s="34">
        <f t="shared" si="158"/>
        <v>0.89173002275642332</v>
      </c>
      <c r="R1188" s="46">
        <f t="shared" si="159"/>
        <v>10.31767827432904</v>
      </c>
    </row>
    <row r="1189" spans="2:18" ht="12.75" customHeight="1" x14ac:dyDescent="0.25">
      <c r="B1189" s="17" t="s">
        <v>0</v>
      </c>
      <c r="C1189" s="44" t="s">
        <v>105</v>
      </c>
      <c r="D1189" s="22" t="s">
        <v>9</v>
      </c>
      <c r="E1189" s="20">
        <v>2</v>
      </c>
      <c r="F1189" s="17" t="s">
        <v>232</v>
      </c>
      <c r="G1189" s="17" t="s">
        <v>247</v>
      </c>
      <c r="H1189" s="17" t="s">
        <v>248</v>
      </c>
      <c r="I1189" s="17" t="s">
        <v>249</v>
      </c>
      <c r="J1189" s="27" t="s">
        <v>106</v>
      </c>
      <c r="K1189" s="29">
        <v>19772</v>
      </c>
      <c r="L1189" s="31">
        <v>1996046.0600017807</v>
      </c>
      <c r="M1189" s="31">
        <v>713618.89999941015</v>
      </c>
      <c r="N1189" s="31">
        <v>527679.28999971284</v>
      </c>
      <c r="O1189" s="34">
        <f t="shared" si="156"/>
        <v>0.35751624889797057</v>
      </c>
      <c r="P1189" s="34">
        <f t="shared" si="157"/>
        <v>0.7394413040351776</v>
      </c>
      <c r="Q1189" s="34">
        <f t="shared" si="158"/>
        <v>0.64248375110202938</v>
      </c>
      <c r="R1189" s="46">
        <f t="shared" si="159"/>
        <v>26.688210095069433</v>
      </c>
    </row>
    <row r="1190" spans="2:18" ht="12.75" customHeight="1" x14ac:dyDescent="0.25">
      <c r="B1190" s="17" t="s">
        <v>0</v>
      </c>
      <c r="C1190" s="44" t="s">
        <v>68</v>
      </c>
      <c r="D1190" s="22" t="s">
        <v>2</v>
      </c>
      <c r="E1190" s="20">
        <v>1</v>
      </c>
      <c r="F1190" s="17" t="s">
        <v>232</v>
      </c>
      <c r="G1190" s="17" t="s">
        <v>247</v>
      </c>
      <c r="H1190" s="17" t="s">
        <v>248</v>
      </c>
      <c r="I1190" s="17" t="s">
        <v>249</v>
      </c>
      <c r="J1190" s="27" t="s">
        <v>69</v>
      </c>
      <c r="K1190" s="29">
        <v>3065</v>
      </c>
      <c r="L1190" s="31">
        <v>5586913.6000138698</v>
      </c>
      <c r="M1190" s="31">
        <v>629847.33999912592</v>
      </c>
      <c r="N1190" s="31">
        <v>501138.93999984168</v>
      </c>
      <c r="O1190" s="34">
        <f t="shared" si="156"/>
        <v>0.11273618765064888</v>
      </c>
      <c r="P1190" s="34">
        <f t="shared" si="157"/>
        <v>0.79565143515655257</v>
      </c>
      <c r="Q1190" s="34">
        <f t="shared" si="158"/>
        <v>0.88726381234935114</v>
      </c>
      <c r="R1190" s="46">
        <f t="shared" si="159"/>
        <v>163.50373246324361</v>
      </c>
    </row>
    <row r="1191" spans="2:18" ht="12.75" customHeight="1" x14ac:dyDescent="0.25">
      <c r="B1191" s="17" t="s">
        <v>0</v>
      </c>
      <c r="C1191" s="44" t="s">
        <v>22</v>
      </c>
      <c r="D1191" s="22" t="s">
        <v>9</v>
      </c>
      <c r="E1191" s="20">
        <v>2</v>
      </c>
      <c r="F1191" s="17" t="s">
        <v>232</v>
      </c>
      <c r="G1191" s="17" t="s">
        <v>247</v>
      </c>
      <c r="H1191" s="17" t="s">
        <v>248</v>
      </c>
      <c r="I1191" s="17" t="s">
        <v>249</v>
      </c>
      <c r="J1191" s="27" t="s">
        <v>23</v>
      </c>
      <c r="K1191" s="29">
        <v>69470</v>
      </c>
      <c r="L1191" s="31">
        <v>2598618.5999999307</v>
      </c>
      <c r="M1191" s="31">
        <v>622703.30000000412</v>
      </c>
      <c r="N1191" s="31">
        <v>496509.89999972266</v>
      </c>
      <c r="O1191" s="34">
        <f t="shared" si="156"/>
        <v>0.23962858574167856</v>
      </c>
      <c r="P1191" s="34">
        <f t="shared" si="157"/>
        <v>0.79734586278845698</v>
      </c>
      <c r="Q1191" s="34">
        <f t="shared" si="158"/>
        <v>0.76037141425832144</v>
      </c>
      <c r="R1191" s="46">
        <f t="shared" si="159"/>
        <v>7.1471124226244802</v>
      </c>
    </row>
    <row r="1192" spans="2:18" ht="12.75" customHeight="1" x14ac:dyDescent="0.25">
      <c r="B1192" s="17" t="s">
        <v>0</v>
      </c>
      <c r="C1192" s="44" t="s">
        <v>14</v>
      </c>
      <c r="D1192" s="22" t="s">
        <v>9</v>
      </c>
      <c r="E1192" s="20">
        <v>2</v>
      </c>
      <c r="F1192" s="17" t="s">
        <v>232</v>
      </c>
      <c r="G1192" s="17" t="s">
        <v>247</v>
      </c>
      <c r="H1192" s="17" t="s">
        <v>248</v>
      </c>
      <c r="I1192" s="17" t="s">
        <v>249</v>
      </c>
      <c r="J1192" s="27" t="s">
        <v>15</v>
      </c>
      <c r="K1192" s="29">
        <v>214532</v>
      </c>
      <c r="L1192" s="31">
        <v>3592024.1400006255</v>
      </c>
      <c r="M1192" s="31">
        <v>608180.18999999447</v>
      </c>
      <c r="N1192" s="31">
        <v>483063.40999932133</v>
      </c>
      <c r="O1192" s="34">
        <f t="shared" si="156"/>
        <v>0.16931405978799702</v>
      </c>
      <c r="P1192" s="34">
        <f t="shared" si="157"/>
        <v>0.79427679155305231</v>
      </c>
      <c r="Q1192" s="34">
        <f t="shared" si="158"/>
        <v>0.83068594021200304</v>
      </c>
      <c r="R1192" s="46">
        <f t="shared" si="159"/>
        <v>2.2517079503259247</v>
      </c>
    </row>
    <row r="1193" spans="2:18" ht="12.75" customHeight="1" x14ac:dyDescent="0.25">
      <c r="B1193" s="17" t="s">
        <v>0</v>
      </c>
      <c r="C1193" s="44" t="s">
        <v>250</v>
      </c>
      <c r="D1193" s="22" t="s">
        <v>2</v>
      </c>
      <c r="E1193" s="20">
        <v>1</v>
      </c>
      <c r="F1193" s="17" t="s">
        <v>232</v>
      </c>
      <c r="G1193" s="17" t="s">
        <v>247</v>
      </c>
      <c r="H1193" s="17" t="s">
        <v>248</v>
      </c>
      <c r="I1193" s="17" t="s">
        <v>249</v>
      </c>
      <c r="J1193" s="27" t="s">
        <v>251</v>
      </c>
      <c r="K1193" s="29">
        <v>17431</v>
      </c>
      <c r="L1193" s="31">
        <v>1573913.2099982477</v>
      </c>
      <c r="M1193" s="31">
        <v>597898.87999951444</v>
      </c>
      <c r="N1193" s="31">
        <v>463357.60000070336</v>
      </c>
      <c r="O1193" s="34">
        <f t="shared" si="156"/>
        <v>0.37988046367574496</v>
      </c>
      <c r="P1193" s="34">
        <f t="shared" si="157"/>
        <v>0.77497653115035048</v>
      </c>
      <c r="Q1193" s="34">
        <f t="shared" si="158"/>
        <v>0.62011953632425509</v>
      </c>
      <c r="R1193" s="46">
        <f t="shared" si="159"/>
        <v>26.582387700114932</v>
      </c>
    </row>
    <row r="1194" spans="2:18" ht="12.75" customHeight="1" x14ac:dyDescent="0.25">
      <c r="B1194" s="17" t="s">
        <v>0</v>
      </c>
      <c r="C1194" s="44" t="s">
        <v>22</v>
      </c>
      <c r="D1194" s="22" t="s">
        <v>2</v>
      </c>
      <c r="E1194" s="20">
        <v>1</v>
      </c>
      <c r="F1194" s="17" t="s">
        <v>232</v>
      </c>
      <c r="G1194" s="17" t="s">
        <v>247</v>
      </c>
      <c r="H1194" s="17" t="s">
        <v>248</v>
      </c>
      <c r="I1194" s="17" t="s">
        <v>249</v>
      </c>
      <c r="J1194" s="27" t="s">
        <v>23</v>
      </c>
      <c r="K1194" s="29">
        <v>6416</v>
      </c>
      <c r="L1194" s="31">
        <v>2274119.9400003832</v>
      </c>
      <c r="M1194" s="31">
        <v>512267.88999963005</v>
      </c>
      <c r="N1194" s="31">
        <v>408193.56999996671</v>
      </c>
      <c r="O1194" s="34">
        <f t="shared" si="156"/>
        <v>0.22525983831773785</v>
      </c>
      <c r="P1194" s="34">
        <f t="shared" si="157"/>
        <v>0.79683614368306688</v>
      </c>
      <c r="Q1194" s="34">
        <f t="shared" si="158"/>
        <v>0.77474016168226212</v>
      </c>
      <c r="R1194" s="46">
        <f t="shared" si="159"/>
        <v>63.621192331665632</v>
      </c>
    </row>
    <row r="1195" spans="2:18" ht="12.75" customHeight="1" x14ac:dyDescent="0.25">
      <c r="B1195" s="17" t="s">
        <v>0</v>
      </c>
      <c r="C1195" s="44" t="s">
        <v>48</v>
      </c>
      <c r="D1195" s="22" t="s">
        <v>9</v>
      </c>
      <c r="E1195" s="20">
        <v>2</v>
      </c>
      <c r="F1195" s="17" t="s">
        <v>232</v>
      </c>
      <c r="G1195" s="17" t="s">
        <v>247</v>
      </c>
      <c r="H1195" s="17" t="s">
        <v>248</v>
      </c>
      <c r="I1195" s="17" t="s">
        <v>249</v>
      </c>
      <c r="J1195" s="27" t="s">
        <v>49</v>
      </c>
      <c r="K1195" s="29">
        <v>14747</v>
      </c>
      <c r="L1195" s="31">
        <v>2038969.6399998809</v>
      </c>
      <c r="M1195" s="31">
        <v>473846.27000033006</v>
      </c>
      <c r="N1195" s="31">
        <v>369385.78999936563</v>
      </c>
      <c r="O1195" s="34">
        <f t="shared" si="156"/>
        <v>0.23239496101587748</v>
      </c>
      <c r="P1195" s="34">
        <f t="shared" si="157"/>
        <v>0.77954774234923985</v>
      </c>
      <c r="Q1195" s="34">
        <f t="shared" si="158"/>
        <v>0.76760503898412247</v>
      </c>
      <c r="R1195" s="46">
        <f t="shared" si="159"/>
        <v>25.048198955676792</v>
      </c>
    </row>
    <row r="1196" spans="2:18" ht="12.75" customHeight="1" x14ac:dyDescent="0.25">
      <c r="B1196" s="17" t="s">
        <v>0</v>
      </c>
      <c r="C1196" s="44" t="s">
        <v>94</v>
      </c>
      <c r="D1196" s="22" t="s">
        <v>9</v>
      </c>
      <c r="E1196" s="20">
        <v>2</v>
      </c>
      <c r="F1196" s="17" t="s">
        <v>232</v>
      </c>
      <c r="G1196" s="17" t="s">
        <v>247</v>
      </c>
      <c r="H1196" s="17" t="s">
        <v>248</v>
      </c>
      <c r="I1196" s="17" t="s">
        <v>249</v>
      </c>
      <c r="J1196" s="27" t="s">
        <v>95</v>
      </c>
      <c r="K1196" s="29">
        <v>13348</v>
      </c>
      <c r="L1196" s="31">
        <v>1262898.6500001648</v>
      </c>
      <c r="M1196" s="31">
        <v>438163.95000024908</v>
      </c>
      <c r="N1196" s="31">
        <v>359873.79999971378</v>
      </c>
      <c r="O1196" s="34">
        <f t="shared" si="156"/>
        <v>0.34695100038327853</v>
      </c>
      <c r="P1196" s="34">
        <f t="shared" si="157"/>
        <v>0.82132224707100898</v>
      </c>
      <c r="Q1196" s="34">
        <f t="shared" si="158"/>
        <v>0.65304899961672147</v>
      </c>
      <c r="R1196" s="46">
        <f t="shared" si="159"/>
        <v>26.960878034140979</v>
      </c>
    </row>
    <row r="1197" spans="2:18" ht="12.75" customHeight="1" x14ac:dyDescent="0.25">
      <c r="B1197" s="17" t="s">
        <v>0</v>
      </c>
      <c r="C1197" s="44" t="s">
        <v>58</v>
      </c>
      <c r="D1197" s="22" t="s">
        <v>9</v>
      </c>
      <c r="E1197" s="20">
        <v>2</v>
      </c>
      <c r="F1197" s="17" t="s">
        <v>232</v>
      </c>
      <c r="G1197" s="17" t="s">
        <v>247</v>
      </c>
      <c r="H1197" s="17" t="s">
        <v>248</v>
      </c>
      <c r="I1197" s="17" t="s">
        <v>249</v>
      </c>
      <c r="J1197" s="27" t="s">
        <v>59</v>
      </c>
      <c r="K1197" s="29">
        <v>89519</v>
      </c>
      <c r="L1197" s="31">
        <v>1554482.6299986744</v>
      </c>
      <c r="M1197" s="31">
        <v>458067.5899989701</v>
      </c>
      <c r="N1197" s="31">
        <v>351536.08999988594</v>
      </c>
      <c r="O1197" s="34">
        <f t="shared" si="156"/>
        <v>0.29467527083230305</v>
      </c>
      <c r="P1197" s="34">
        <f t="shared" si="157"/>
        <v>0.76743279305282508</v>
      </c>
      <c r="Q1197" s="34">
        <f t="shared" si="158"/>
        <v>0.70532472916769695</v>
      </c>
      <c r="R1197" s="46">
        <f t="shared" si="159"/>
        <v>3.9269438890055288</v>
      </c>
    </row>
    <row r="1198" spans="2:18" ht="12.75" customHeight="1" x14ac:dyDescent="0.25">
      <c r="B1198" s="17" t="s">
        <v>0</v>
      </c>
      <c r="C1198" s="44" t="s">
        <v>72</v>
      </c>
      <c r="D1198" s="22" t="s">
        <v>9</v>
      </c>
      <c r="E1198" s="20">
        <v>2</v>
      </c>
      <c r="F1198" s="17" t="s">
        <v>232</v>
      </c>
      <c r="G1198" s="17" t="s">
        <v>247</v>
      </c>
      <c r="H1198" s="17" t="s">
        <v>248</v>
      </c>
      <c r="I1198" s="17" t="s">
        <v>249</v>
      </c>
      <c r="J1198" s="27" t="s">
        <v>73</v>
      </c>
      <c r="K1198" s="29">
        <v>13336</v>
      </c>
      <c r="L1198" s="31">
        <v>1240737.379999774</v>
      </c>
      <c r="M1198" s="31">
        <v>476829.1599994346</v>
      </c>
      <c r="N1198" s="31">
        <v>343531.95999947697</v>
      </c>
      <c r="O1198" s="34">
        <f t="shared" si="156"/>
        <v>0.38431111022021552</v>
      </c>
      <c r="P1198" s="34">
        <f t="shared" si="157"/>
        <v>0.72045082142183647</v>
      </c>
      <c r="Q1198" s="34">
        <f t="shared" si="158"/>
        <v>0.61568888977978453</v>
      </c>
      <c r="R1198" s="46">
        <f t="shared" si="159"/>
        <v>25.759745050950581</v>
      </c>
    </row>
    <row r="1199" spans="2:18" ht="12.75" customHeight="1" x14ac:dyDescent="0.25">
      <c r="B1199" s="17" t="s">
        <v>0</v>
      </c>
      <c r="C1199" s="44" t="s">
        <v>28</v>
      </c>
      <c r="D1199" s="22" t="s">
        <v>9</v>
      </c>
      <c r="E1199" s="20">
        <v>2</v>
      </c>
      <c r="F1199" s="17" t="s">
        <v>232</v>
      </c>
      <c r="G1199" s="17" t="s">
        <v>247</v>
      </c>
      <c r="H1199" s="17" t="s">
        <v>248</v>
      </c>
      <c r="I1199" s="17" t="s">
        <v>249</v>
      </c>
      <c r="J1199" s="27" t="s">
        <v>29</v>
      </c>
      <c r="K1199" s="29">
        <v>113343</v>
      </c>
      <c r="L1199" s="31">
        <v>906400.40000369051</v>
      </c>
      <c r="M1199" s="31">
        <v>361512.33999878331</v>
      </c>
      <c r="N1199" s="31">
        <v>285544.8400008094</v>
      </c>
      <c r="O1199" s="34">
        <f t="shared" si="156"/>
        <v>0.39884397667665566</v>
      </c>
      <c r="P1199" s="34">
        <f t="shared" si="157"/>
        <v>0.78986194496644413</v>
      </c>
      <c r="Q1199" s="34">
        <f t="shared" si="158"/>
        <v>0.60115602332334439</v>
      </c>
      <c r="R1199" s="46">
        <f t="shared" si="159"/>
        <v>2.5192984127895803</v>
      </c>
    </row>
    <row r="1200" spans="2:18" ht="12.75" customHeight="1" x14ac:dyDescent="0.25">
      <c r="B1200" s="17" t="s">
        <v>0</v>
      </c>
      <c r="C1200" s="44" t="s">
        <v>16</v>
      </c>
      <c r="D1200" s="22" t="s">
        <v>9</v>
      </c>
      <c r="E1200" s="20">
        <v>2</v>
      </c>
      <c r="F1200" s="17" t="s">
        <v>232</v>
      </c>
      <c r="G1200" s="17" t="s">
        <v>247</v>
      </c>
      <c r="H1200" s="17" t="s">
        <v>248</v>
      </c>
      <c r="I1200" s="17" t="s">
        <v>249</v>
      </c>
      <c r="J1200" s="27" t="s">
        <v>17</v>
      </c>
      <c r="K1200" s="29">
        <v>183152</v>
      </c>
      <c r="L1200" s="31">
        <v>1607437.0599986026</v>
      </c>
      <c r="M1200" s="31">
        <v>370470.5299965883</v>
      </c>
      <c r="N1200" s="31">
        <v>285237.51999930834</v>
      </c>
      <c r="O1200" s="34">
        <f t="shared" si="156"/>
        <v>0.23047280619305266</v>
      </c>
      <c r="P1200" s="34">
        <f t="shared" si="157"/>
        <v>0.76993309022970091</v>
      </c>
      <c r="Q1200" s="34">
        <f t="shared" si="158"/>
        <v>0.76952719380694734</v>
      </c>
      <c r="R1200" s="46">
        <f t="shared" si="159"/>
        <v>1.5573814099726366</v>
      </c>
    </row>
    <row r="1201" spans="2:18" ht="12.75" customHeight="1" x14ac:dyDescent="0.25">
      <c r="B1201" s="17" t="s">
        <v>0</v>
      </c>
      <c r="C1201" s="44" t="s">
        <v>114</v>
      </c>
      <c r="D1201" s="22" t="s">
        <v>9</v>
      </c>
      <c r="E1201" s="20">
        <v>2</v>
      </c>
      <c r="F1201" s="17" t="s">
        <v>232</v>
      </c>
      <c r="G1201" s="17" t="s">
        <v>247</v>
      </c>
      <c r="H1201" s="17" t="s">
        <v>248</v>
      </c>
      <c r="I1201" s="17" t="s">
        <v>249</v>
      </c>
      <c r="J1201" s="27" t="s">
        <v>118</v>
      </c>
      <c r="K1201" s="29">
        <v>8259</v>
      </c>
      <c r="L1201" s="31">
        <v>1713189.5799994722</v>
      </c>
      <c r="M1201" s="31">
        <v>306104.65000059298</v>
      </c>
      <c r="N1201" s="31">
        <v>278927.59999948897</v>
      </c>
      <c r="O1201" s="34">
        <f t="shared" si="156"/>
        <v>0.17867529290055995</v>
      </c>
      <c r="P1201" s="34">
        <f t="shared" si="157"/>
        <v>0.91121647449311416</v>
      </c>
      <c r="Q1201" s="34">
        <f t="shared" si="158"/>
        <v>0.82132470709944005</v>
      </c>
      <c r="R1201" s="46">
        <f t="shared" si="159"/>
        <v>33.772563264255837</v>
      </c>
    </row>
    <row r="1202" spans="2:18" ht="12.75" customHeight="1" x14ac:dyDescent="0.25">
      <c r="B1202" s="17" t="s">
        <v>0</v>
      </c>
      <c r="C1202" s="44" t="s">
        <v>56</v>
      </c>
      <c r="D1202" s="22" t="s">
        <v>9</v>
      </c>
      <c r="E1202" s="20">
        <v>2</v>
      </c>
      <c r="F1202" s="17" t="s">
        <v>232</v>
      </c>
      <c r="G1202" s="17" t="s">
        <v>247</v>
      </c>
      <c r="H1202" s="17" t="s">
        <v>248</v>
      </c>
      <c r="I1202" s="17" t="s">
        <v>249</v>
      </c>
      <c r="J1202" s="27" t="s">
        <v>57</v>
      </c>
      <c r="K1202" s="29">
        <v>200075</v>
      </c>
      <c r="L1202" s="31">
        <v>1370795.5400003104</v>
      </c>
      <c r="M1202" s="31">
        <v>328990.97999841167</v>
      </c>
      <c r="N1202" s="31">
        <v>254718.65999971883</v>
      </c>
      <c r="O1202" s="34">
        <f t="shared" si="156"/>
        <v>0.24000003676575807</v>
      </c>
      <c r="P1202" s="34">
        <f t="shared" si="157"/>
        <v>0.77424207800757516</v>
      </c>
      <c r="Q1202" s="34">
        <f t="shared" si="158"/>
        <v>0.7599999632342419</v>
      </c>
      <c r="R1202" s="46">
        <f t="shared" si="159"/>
        <v>1.2731158815430155</v>
      </c>
    </row>
    <row r="1203" spans="2:18" ht="12.75" customHeight="1" x14ac:dyDescent="0.25">
      <c r="B1203" s="17" t="s">
        <v>0</v>
      </c>
      <c r="C1203" s="44" t="s">
        <v>36</v>
      </c>
      <c r="D1203" s="22" t="s">
        <v>9</v>
      </c>
      <c r="E1203" s="20">
        <v>2</v>
      </c>
      <c r="F1203" s="17" t="s">
        <v>232</v>
      </c>
      <c r="G1203" s="17" t="s">
        <v>247</v>
      </c>
      <c r="H1203" s="17" t="s">
        <v>248</v>
      </c>
      <c r="I1203" s="17" t="s">
        <v>249</v>
      </c>
      <c r="J1203" s="27" t="s">
        <v>37</v>
      </c>
      <c r="K1203" s="29">
        <v>18488</v>
      </c>
      <c r="L1203" s="31">
        <v>874710.88000313507</v>
      </c>
      <c r="M1203" s="31">
        <v>290705.47000092332</v>
      </c>
      <c r="N1203" s="31">
        <v>247326.39000134828</v>
      </c>
      <c r="O1203" s="34">
        <f t="shared" si="156"/>
        <v>0.33234463712156115</v>
      </c>
      <c r="P1203" s="34">
        <f t="shared" si="157"/>
        <v>0.85077996640573272</v>
      </c>
      <c r="Q1203" s="34">
        <f t="shared" si="158"/>
        <v>0.66765536287843885</v>
      </c>
      <c r="R1203" s="46">
        <f t="shared" si="159"/>
        <v>13.377671462643242</v>
      </c>
    </row>
    <row r="1204" spans="2:18" ht="12.75" customHeight="1" x14ac:dyDescent="0.25">
      <c r="B1204" s="17" t="s">
        <v>0</v>
      </c>
      <c r="C1204" s="44" t="s">
        <v>66</v>
      </c>
      <c r="D1204" s="22" t="s">
        <v>2</v>
      </c>
      <c r="E1204" s="20">
        <v>1</v>
      </c>
      <c r="F1204" s="17" t="s">
        <v>232</v>
      </c>
      <c r="G1204" s="17" t="s">
        <v>247</v>
      </c>
      <c r="H1204" s="17" t="s">
        <v>248</v>
      </c>
      <c r="I1204" s="17" t="s">
        <v>249</v>
      </c>
      <c r="J1204" s="27" t="s">
        <v>67</v>
      </c>
      <c r="K1204" s="29">
        <v>2617</v>
      </c>
      <c r="L1204" s="31">
        <v>1862425.0000049432</v>
      </c>
      <c r="M1204" s="31">
        <v>299643.59000047558</v>
      </c>
      <c r="N1204" s="31">
        <v>237150.97000022899</v>
      </c>
      <c r="O1204" s="34">
        <f t="shared" ref="O1204:O1235" si="160">IFERROR(M1204/L1204,0)</f>
        <v>0.16088894317874827</v>
      </c>
      <c r="P1204" s="34">
        <f t="shared" ref="P1204:P1235" si="161">IFERROR(N1204/M1204,0)</f>
        <v>0.79144349458585983</v>
      </c>
      <c r="Q1204" s="34">
        <f t="shared" ref="Q1204:Q1235" si="162">IFERROR(1-(M1204/L1204),0)</f>
        <v>0.83911105682125176</v>
      </c>
      <c r="R1204" s="46">
        <f t="shared" ref="R1204:R1235" si="163">IFERROR(N1204/K1204,0)</f>
        <v>90.619400076510885</v>
      </c>
    </row>
    <row r="1205" spans="2:18" ht="12.75" customHeight="1" x14ac:dyDescent="0.25">
      <c r="B1205" s="17" t="s">
        <v>0</v>
      </c>
      <c r="C1205" s="44" t="s">
        <v>70</v>
      </c>
      <c r="D1205" s="22" t="s">
        <v>9</v>
      </c>
      <c r="E1205" s="20">
        <v>2</v>
      </c>
      <c r="F1205" s="17" t="s">
        <v>232</v>
      </c>
      <c r="G1205" s="17" t="s">
        <v>247</v>
      </c>
      <c r="H1205" s="17" t="s">
        <v>248</v>
      </c>
      <c r="I1205" s="17" t="s">
        <v>249</v>
      </c>
      <c r="J1205" s="27" t="s">
        <v>71</v>
      </c>
      <c r="K1205" s="29">
        <v>9814</v>
      </c>
      <c r="L1205" s="31">
        <v>907941.1000020284</v>
      </c>
      <c r="M1205" s="31">
        <v>298423.50000018516</v>
      </c>
      <c r="N1205" s="31">
        <v>234209.62000008964</v>
      </c>
      <c r="O1205" s="34">
        <f t="shared" si="160"/>
        <v>0.32868156315373154</v>
      </c>
      <c r="P1205" s="34">
        <f t="shared" si="161"/>
        <v>0.78482297808297374</v>
      </c>
      <c r="Q1205" s="34">
        <f t="shared" si="162"/>
        <v>0.67131843684626846</v>
      </c>
      <c r="R1205" s="46">
        <f t="shared" si="163"/>
        <v>23.864848176084127</v>
      </c>
    </row>
    <row r="1206" spans="2:18" ht="12.75" customHeight="1" x14ac:dyDescent="0.25">
      <c r="B1206" s="17" t="s">
        <v>0</v>
      </c>
      <c r="C1206" s="44" t="s">
        <v>24</v>
      </c>
      <c r="D1206" s="22" t="s">
        <v>2</v>
      </c>
      <c r="E1206" s="20">
        <v>1</v>
      </c>
      <c r="F1206" s="17" t="s">
        <v>232</v>
      </c>
      <c r="G1206" s="17" t="s">
        <v>247</v>
      </c>
      <c r="H1206" s="17" t="s">
        <v>248</v>
      </c>
      <c r="I1206" s="17" t="s">
        <v>249</v>
      </c>
      <c r="J1206" s="27" t="s">
        <v>25</v>
      </c>
      <c r="K1206" s="29">
        <v>2957</v>
      </c>
      <c r="L1206" s="31">
        <v>1285225.8799986599</v>
      </c>
      <c r="M1206" s="31">
        <v>277658.32000022713</v>
      </c>
      <c r="N1206" s="31">
        <v>219285.74999978192</v>
      </c>
      <c r="O1206" s="34">
        <f t="shared" si="160"/>
        <v>0.21603853791095198</v>
      </c>
      <c r="P1206" s="34">
        <f t="shared" si="161"/>
        <v>0.78976833829291537</v>
      </c>
      <c r="Q1206" s="34">
        <f t="shared" si="162"/>
        <v>0.78396146208904804</v>
      </c>
      <c r="R1206" s="46">
        <f t="shared" si="163"/>
        <v>74.158183970166363</v>
      </c>
    </row>
    <row r="1207" spans="2:18" ht="12.75" customHeight="1" x14ac:dyDescent="0.25">
      <c r="B1207" s="17" t="s">
        <v>0</v>
      </c>
      <c r="C1207" s="44" t="s">
        <v>68</v>
      </c>
      <c r="D1207" s="22" t="s">
        <v>9</v>
      </c>
      <c r="E1207" s="20">
        <v>2</v>
      </c>
      <c r="F1207" s="17" t="s">
        <v>232</v>
      </c>
      <c r="G1207" s="17" t="s">
        <v>247</v>
      </c>
      <c r="H1207" s="17" t="s">
        <v>248</v>
      </c>
      <c r="I1207" s="17" t="s">
        <v>249</v>
      </c>
      <c r="J1207" s="27" t="s">
        <v>69</v>
      </c>
      <c r="K1207" s="29">
        <v>7308</v>
      </c>
      <c r="L1207" s="31">
        <v>1117321.0300009504</v>
      </c>
      <c r="M1207" s="31">
        <v>288837.46000022098</v>
      </c>
      <c r="N1207" s="31">
        <v>218348.55000045121</v>
      </c>
      <c r="O1207" s="34">
        <f t="shared" si="160"/>
        <v>0.25850892648102691</v>
      </c>
      <c r="P1207" s="34">
        <f t="shared" si="161"/>
        <v>0.75595648154600226</v>
      </c>
      <c r="Q1207" s="34">
        <f t="shared" si="162"/>
        <v>0.74149107351897303</v>
      </c>
      <c r="R1207" s="46">
        <f t="shared" si="163"/>
        <v>29.878017241441054</v>
      </c>
    </row>
    <row r="1208" spans="2:18" ht="12.75" customHeight="1" x14ac:dyDescent="0.25">
      <c r="B1208" s="17" t="s">
        <v>0</v>
      </c>
      <c r="C1208" s="44" t="s">
        <v>74</v>
      </c>
      <c r="D1208" s="22" t="s">
        <v>9</v>
      </c>
      <c r="E1208" s="20">
        <v>2</v>
      </c>
      <c r="F1208" s="17" t="s">
        <v>232</v>
      </c>
      <c r="G1208" s="17" t="s">
        <v>247</v>
      </c>
      <c r="H1208" s="17" t="s">
        <v>248</v>
      </c>
      <c r="I1208" s="17" t="s">
        <v>249</v>
      </c>
      <c r="J1208" s="27" t="s">
        <v>75</v>
      </c>
      <c r="K1208" s="29">
        <v>83403</v>
      </c>
      <c r="L1208" s="31">
        <v>517263.98999927001</v>
      </c>
      <c r="M1208" s="31">
        <v>218955.349999428</v>
      </c>
      <c r="N1208" s="31">
        <v>171121.52999677398</v>
      </c>
      <c r="O1208" s="34">
        <f t="shared" si="160"/>
        <v>0.423295172740977</v>
      </c>
      <c r="P1208" s="34">
        <f t="shared" si="161"/>
        <v>0.78153618990000029</v>
      </c>
      <c r="Q1208" s="34">
        <f t="shared" si="162"/>
        <v>0.57670482725902295</v>
      </c>
      <c r="R1208" s="46">
        <f t="shared" si="163"/>
        <v>2.0517431027274076</v>
      </c>
    </row>
    <row r="1209" spans="2:18" ht="12.75" customHeight="1" x14ac:dyDescent="0.25">
      <c r="B1209" s="17" t="s">
        <v>0</v>
      </c>
      <c r="C1209" s="44" t="s">
        <v>12</v>
      </c>
      <c r="D1209" s="22" t="s">
        <v>9</v>
      </c>
      <c r="E1209" s="20">
        <v>2</v>
      </c>
      <c r="F1209" s="17" t="s">
        <v>232</v>
      </c>
      <c r="G1209" s="17" t="s">
        <v>247</v>
      </c>
      <c r="H1209" s="17" t="s">
        <v>248</v>
      </c>
      <c r="I1209" s="17" t="s">
        <v>249</v>
      </c>
      <c r="J1209" s="27" t="s">
        <v>13</v>
      </c>
      <c r="K1209" s="29">
        <v>50546</v>
      </c>
      <c r="L1209" s="31">
        <v>1414698.8999989829</v>
      </c>
      <c r="M1209" s="31">
        <v>210993.64999949807</v>
      </c>
      <c r="N1209" s="31">
        <v>167614.73000071823</v>
      </c>
      <c r="O1209" s="34">
        <f t="shared" si="160"/>
        <v>0.14914385668897442</v>
      </c>
      <c r="P1209" s="34">
        <f t="shared" si="161"/>
        <v>0.79440651413498453</v>
      </c>
      <c r="Q1209" s="34">
        <f t="shared" si="162"/>
        <v>0.85085614331102555</v>
      </c>
      <c r="R1209" s="46">
        <f t="shared" si="163"/>
        <v>3.3160829739389515</v>
      </c>
    </row>
    <row r="1210" spans="2:18" ht="12.75" customHeight="1" x14ac:dyDescent="0.25">
      <c r="B1210" s="17" t="s">
        <v>0</v>
      </c>
      <c r="C1210" s="44" t="s">
        <v>14</v>
      </c>
      <c r="D1210" s="22" t="s">
        <v>2</v>
      </c>
      <c r="E1210" s="20">
        <v>1</v>
      </c>
      <c r="F1210" s="17" t="s">
        <v>232</v>
      </c>
      <c r="G1210" s="17" t="s">
        <v>247</v>
      </c>
      <c r="H1210" s="17" t="s">
        <v>248</v>
      </c>
      <c r="I1210" s="17" t="s">
        <v>249</v>
      </c>
      <c r="J1210" s="27" t="s">
        <v>15</v>
      </c>
      <c r="K1210" s="29">
        <v>2501</v>
      </c>
      <c r="L1210" s="31">
        <v>1420697.3799999061</v>
      </c>
      <c r="M1210" s="31">
        <v>196853.01000000699</v>
      </c>
      <c r="N1210" s="31">
        <v>155726.00999961389</v>
      </c>
      <c r="O1210" s="34">
        <f t="shared" si="160"/>
        <v>0.13856083130104738</v>
      </c>
      <c r="P1210" s="34">
        <f t="shared" si="161"/>
        <v>0.79107761674362187</v>
      </c>
      <c r="Q1210" s="34">
        <f t="shared" si="162"/>
        <v>0.86143916869895265</v>
      </c>
      <c r="R1210" s="46">
        <f t="shared" si="163"/>
        <v>62.265497800725264</v>
      </c>
    </row>
    <row r="1211" spans="2:18" ht="12.75" customHeight="1" x14ac:dyDescent="0.25">
      <c r="B1211" s="17" t="s">
        <v>0</v>
      </c>
      <c r="C1211" s="44" t="s">
        <v>145</v>
      </c>
      <c r="D1211" s="22" t="s">
        <v>9</v>
      </c>
      <c r="E1211" s="20">
        <v>2</v>
      </c>
      <c r="F1211" s="17" t="s">
        <v>232</v>
      </c>
      <c r="G1211" s="17" t="s">
        <v>247</v>
      </c>
      <c r="H1211" s="17" t="s">
        <v>248</v>
      </c>
      <c r="I1211" s="17" t="s">
        <v>249</v>
      </c>
      <c r="J1211" s="27" t="s">
        <v>146</v>
      </c>
      <c r="K1211" s="29">
        <v>825454</v>
      </c>
      <c r="L1211" s="31">
        <v>2289884.7400002019</v>
      </c>
      <c r="M1211" s="31">
        <v>177869.20999599138</v>
      </c>
      <c r="N1211" s="31">
        <v>147170.60999949655</v>
      </c>
      <c r="O1211" s="34">
        <f t="shared" si="160"/>
        <v>7.7676053684682708E-2</v>
      </c>
      <c r="P1211" s="34">
        <f t="shared" si="161"/>
        <v>0.82740913957403484</v>
      </c>
      <c r="Q1211" s="34">
        <f t="shared" si="162"/>
        <v>0.92232394631531733</v>
      </c>
      <c r="R1211" s="46">
        <f t="shared" si="163"/>
        <v>0.17829050437637536</v>
      </c>
    </row>
    <row r="1212" spans="2:18" ht="12.75" customHeight="1" x14ac:dyDescent="0.25">
      <c r="B1212" s="17" t="s">
        <v>0</v>
      </c>
      <c r="C1212" s="44" t="s">
        <v>131</v>
      </c>
      <c r="D1212" s="22" t="s">
        <v>9</v>
      </c>
      <c r="E1212" s="20">
        <v>2</v>
      </c>
      <c r="F1212" s="17" t="s">
        <v>232</v>
      </c>
      <c r="G1212" s="17" t="s">
        <v>247</v>
      </c>
      <c r="H1212" s="17" t="s">
        <v>248</v>
      </c>
      <c r="I1212" s="17" t="s">
        <v>249</v>
      </c>
      <c r="J1212" s="27" t="s">
        <v>132</v>
      </c>
      <c r="K1212" s="29">
        <v>973</v>
      </c>
      <c r="L1212" s="31">
        <v>459629.00000057003</v>
      </c>
      <c r="M1212" s="31">
        <v>187612.81999929299</v>
      </c>
      <c r="N1212" s="31">
        <v>145821.03999932</v>
      </c>
      <c r="O1212" s="34">
        <f t="shared" si="160"/>
        <v>0.40818316511590935</v>
      </c>
      <c r="P1212" s="34">
        <f t="shared" si="161"/>
        <v>0.77724454011122224</v>
      </c>
      <c r="Q1212" s="34">
        <f t="shared" si="162"/>
        <v>0.59181683488409065</v>
      </c>
      <c r="R1212" s="46">
        <f t="shared" si="163"/>
        <v>149.86746145870504</v>
      </c>
    </row>
    <row r="1213" spans="2:18" ht="12.75" customHeight="1" x14ac:dyDescent="0.25">
      <c r="B1213" s="17" t="s">
        <v>0</v>
      </c>
      <c r="C1213" s="44" t="s">
        <v>96</v>
      </c>
      <c r="D1213" s="22" t="s">
        <v>9</v>
      </c>
      <c r="E1213" s="20">
        <v>2</v>
      </c>
      <c r="F1213" s="17" t="s">
        <v>232</v>
      </c>
      <c r="G1213" s="17" t="s">
        <v>247</v>
      </c>
      <c r="H1213" s="17" t="s">
        <v>248</v>
      </c>
      <c r="I1213" s="17" t="s">
        <v>249</v>
      </c>
      <c r="J1213" s="27" t="s">
        <v>97</v>
      </c>
      <c r="K1213" s="29">
        <v>3245</v>
      </c>
      <c r="L1213" s="31">
        <v>424415.71999593597</v>
      </c>
      <c r="M1213" s="31">
        <v>174672.11000024399</v>
      </c>
      <c r="N1213" s="31">
        <v>141073.019999571</v>
      </c>
      <c r="O1213" s="34">
        <f t="shared" si="160"/>
        <v>0.41155900163621784</v>
      </c>
      <c r="P1213" s="34">
        <f t="shared" si="161"/>
        <v>0.80764479228752628</v>
      </c>
      <c r="Q1213" s="34">
        <f t="shared" si="162"/>
        <v>0.58844099836378216</v>
      </c>
      <c r="R1213" s="46">
        <f t="shared" si="163"/>
        <v>43.473966101562709</v>
      </c>
    </row>
    <row r="1214" spans="2:18" ht="12.75" customHeight="1" x14ac:dyDescent="0.25">
      <c r="B1214" s="17" t="s">
        <v>0</v>
      </c>
      <c r="C1214" s="44" t="s">
        <v>7</v>
      </c>
      <c r="D1214" s="22" t="s">
        <v>2</v>
      </c>
      <c r="E1214" s="20">
        <v>1</v>
      </c>
      <c r="F1214" s="17" t="s">
        <v>232</v>
      </c>
      <c r="G1214" s="17" t="s">
        <v>247</v>
      </c>
      <c r="H1214" s="17" t="s">
        <v>248</v>
      </c>
      <c r="I1214" s="17" t="s">
        <v>249</v>
      </c>
      <c r="J1214" s="27" t="s">
        <v>8</v>
      </c>
      <c r="K1214" s="29">
        <v>3596</v>
      </c>
      <c r="L1214" s="31">
        <v>1508194.0000010701</v>
      </c>
      <c r="M1214" s="31">
        <v>155005.01999995732</v>
      </c>
      <c r="N1214" s="31">
        <v>126726.0599999463</v>
      </c>
      <c r="O1214" s="34">
        <f t="shared" si="160"/>
        <v>0.10277525305089885</v>
      </c>
      <c r="P1214" s="34">
        <f t="shared" si="161"/>
        <v>0.81756100544344434</v>
      </c>
      <c r="Q1214" s="34">
        <f t="shared" si="162"/>
        <v>0.89722474694910115</v>
      </c>
      <c r="R1214" s="46">
        <f t="shared" si="163"/>
        <v>35.240839822009541</v>
      </c>
    </row>
    <row r="1215" spans="2:18" ht="12.75" customHeight="1" x14ac:dyDescent="0.25">
      <c r="B1215" s="17" t="s">
        <v>0</v>
      </c>
      <c r="C1215" s="44" t="s">
        <v>20</v>
      </c>
      <c r="D1215" s="22" t="s">
        <v>9</v>
      </c>
      <c r="E1215" s="20">
        <v>2</v>
      </c>
      <c r="F1215" s="17" t="s">
        <v>232</v>
      </c>
      <c r="G1215" s="17" t="s">
        <v>247</v>
      </c>
      <c r="H1215" s="17" t="s">
        <v>248</v>
      </c>
      <c r="I1215" s="17" t="s">
        <v>249</v>
      </c>
      <c r="J1215" s="27" t="s">
        <v>21</v>
      </c>
      <c r="K1215" s="29">
        <v>136252</v>
      </c>
      <c r="L1215" s="31">
        <v>754178.61999616248</v>
      </c>
      <c r="M1215" s="31">
        <v>157021.69000059701</v>
      </c>
      <c r="N1215" s="31">
        <v>123403.33000145855</v>
      </c>
      <c r="O1215" s="34">
        <f t="shared" si="160"/>
        <v>0.20820225585471513</v>
      </c>
      <c r="P1215" s="34">
        <f t="shared" si="161"/>
        <v>0.78589989702052865</v>
      </c>
      <c r="Q1215" s="34">
        <f t="shared" si="162"/>
        <v>0.79179774414528481</v>
      </c>
      <c r="R1215" s="46">
        <f t="shared" si="163"/>
        <v>0.9056992191047365</v>
      </c>
    </row>
    <row r="1216" spans="2:18" ht="12.75" customHeight="1" x14ac:dyDescent="0.25">
      <c r="B1216" s="17" t="s">
        <v>0</v>
      </c>
      <c r="C1216" s="44" t="s">
        <v>12</v>
      </c>
      <c r="D1216" s="22" t="s">
        <v>2</v>
      </c>
      <c r="E1216" s="20">
        <v>1</v>
      </c>
      <c r="F1216" s="17" t="s">
        <v>232</v>
      </c>
      <c r="G1216" s="17" t="s">
        <v>247</v>
      </c>
      <c r="H1216" s="17" t="s">
        <v>248</v>
      </c>
      <c r="I1216" s="17" t="s">
        <v>249</v>
      </c>
      <c r="J1216" s="27" t="s">
        <v>13</v>
      </c>
      <c r="K1216" s="29">
        <v>1425</v>
      </c>
      <c r="L1216" s="31">
        <v>1292017.8900024598</v>
      </c>
      <c r="M1216" s="31">
        <v>150014.05000010305</v>
      </c>
      <c r="N1216" s="31">
        <v>119016.17000018663</v>
      </c>
      <c r="O1216" s="34">
        <f t="shared" si="160"/>
        <v>0.11610833809725146</v>
      </c>
      <c r="P1216" s="34">
        <f t="shared" si="161"/>
        <v>0.79336682130843661</v>
      </c>
      <c r="Q1216" s="34">
        <f t="shared" si="162"/>
        <v>0.88389166190274859</v>
      </c>
      <c r="R1216" s="46">
        <f t="shared" si="163"/>
        <v>83.520119298376585</v>
      </c>
    </row>
    <row r="1217" spans="2:18" ht="12.75" customHeight="1" x14ac:dyDescent="0.25">
      <c r="B1217" s="17" t="s">
        <v>0</v>
      </c>
      <c r="C1217" s="44" t="s">
        <v>42</v>
      </c>
      <c r="D1217" s="22" t="s">
        <v>9</v>
      </c>
      <c r="E1217" s="20">
        <v>2</v>
      </c>
      <c r="F1217" s="17" t="s">
        <v>232</v>
      </c>
      <c r="G1217" s="17" t="s">
        <v>247</v>
      </c>
      <c r="H1217" s="17" t="s">
        <v>248</v>
      </c>
      <c r="I1217" s="17" t="s">
        <v>249</v>
      </c>
      <c r="J1217" s="27" t="s">
        <v>43</v>
      </c>
      <c r="K1217" s="29">
        <v>775</v>
      </c>
      <c r="L1217" s="31">
        <v>499832.74000091001</v>
      </c>
      <c r="M1217" s="31">
        <v>127305.37000079099</v>
      </c>
      <c r="N1217" s="31">
        <v>100611.31999997899</v>
      </c>
      <c r="O1217" s="34">
        <f t="shared" si="160"/>
        <v>0.25469594088726405</v>
      </c>
      <c r="P1217" s="34">
        <f t="shared" si="161"/>
        <v>0.79031481546578797</v>
      </c>
      <c r="Q1217" s="34">
        <f t="shared" si="162"/>
        <v>0.74530405911273601</v>
      </c>
      <c r="R1217" s="46">
        <f t="shared" si="163"/>
        <v>129.82105806448902</v>
      </c>
    </row>
    <row r="1218" spans="2:18" ht="12.75" customHeight="1" x14ac:dyDescent="0.25">
      <c r="B1218" s="17" t="s">
        <v>0</v>
      </c>
      <c r="C1218" s="44" t="s">
        <v>44</v>
      </c>
      <c r="D1218" s="22" t="s">
        <v>9</v>
      </c>
      <c r="E1218" s="20">
        <v>2</v>
      </c>
      <c r="F1218" s="17" t="s">
        <v>232</v>
      </c>
      <c r="G1218" s="17" t="s">
        <v>247</v>
      </c>
      <c r="H1218" s="17" t="s">
        <v>248</v>
      </c>
      <c r="I1218" s="17" t="s">
        <v>249</v>
      </c>
      <c r="J1218" s="27" t="s">
        <v>45</v>
      </c>
      <c r="K1218" s="29">
        <v>5132</v>
      </c>
      <c r="L1218" s="31">
        <v>380805.93999973696</v>
      </c>
      <c r="M1218" s="31">
        <v>130309.50000037398</v>
      </c>
      <c r="N1218" s="31">
        <v>98491.959999722007</v>
      </c>
      <c r="O1218" s="34">
        <f t="shared" si="160"/>
        <v>0.34219397943336699</v>
      </c>
      <c r="P1218" s="34">
        <f t="shared" si="161"/>
        <v>0.75583100234011591</v>
      </c>
      <c r="Q1218" s="34">
        <f t="shared" si="162"/>
        <v>0.65780602056663295</v>
      </c>
      <c r="R1218" s="46">
        <f t="shared" si="163"/>
        <v>19.191730319509354</v>
      </c>
    </row>
    <row r="1219" spans="2:18" ht="12.75" customHeight="1" x14ac:dyDescent="0.25">
      <c r="B1219" s="17" t="s">
        <v>0</v>
      </c>
      <c r="C1219" s="44" t="s">
        <v>161</v>
      </c>
      <c r="D1219" s="22" t="s">
        <v>2</v>
      </c>
      <c r="E1219" s="20">
        <v>1</v>
      </c>
      <c r="F1219" s="17" t="s">
        <v>232</v>
      </c>
      <c r="G1219" s="17" t="s">
        <v>247</v>
      </c>
      <c r="H1219" s="17" t="s">
        <v>248</v>
      </c>
      <c r="I1219" s="17" t="s">
        <v>249</v>
      </c>
      <c r="J1219" s="27" t="s">
        <v>162</v>
      </c>
      <c r="K1219" s="29">
        <v>2945</v>
      </c>
      <c r="L1219" s="31">
        <v>253160.99999899999</v>
      </c>
      <c r="M1219" s="31">
        <v>88837.290000339999</v>
      </c>
      <c r="N1219" s="31">
        <v>84791.350000384991</v>
      </c>
      <c r="O1219" s="34">
        <f t="shared" si="160"/>
        <v>0.35091222581950188</v>
      </c>
      <c r="P1219" s="34">
        <f t="shared" si="161"/>
        <v>0.95445673770620965</v>
      </c>
      <c r="Q1219" s="34">
        <f t="shared" si="162"/>
        <v>0.64908777418049812</v>
      </c>
      <c r="R1219" s="46">
        <f t="shared" si="163"/>
        <v>28.791629881285225</v>
      </c>
    </row>
    <row r="1220" spans="2:18" ht="12.75" customHeight="1" x14ac:dyDescent="0.25">
      <c r="B1220" s="17" t="s">
        <v>0</v>
      </c>
      <c r="C1220" s="44" t="s">
        <v>225</v>
      </c>
      <c r="D1220" s="22" t="s">
        <v>2</v>
      </c>
      <c r="E1220" s="20">
        <v>1</v>
      </c>
      <c r="F1220" s="17" t="s">
        <v>232</v>
      </c>
      <c r="G1220" s="17" t="s">
        <v>247</v>
      </c>
      <c r="H1220" s="17" t="s">
        <v>248</v>
      </c>
      <c r="I1220" s="17" t="s">
        <v>249</v>
      </c>
      <c r="J1220" s="27" t="s">
        <v>226</v>
      </c>
      <c r="K1220" s="29">
        <v>5899</v>
      </c>
      <c r="L1220" s="31">
        <v>720596.00000192982</v>
      </c>
      <c r="M1220" s="31">
        <v>89254.179999816377</v>
      </c>
      <c r="N1220" s="31">
        <v>82531.919999910766</v>
      </c>
      <c r="O1220" s="34">
        <f t="shared" si="160"/>
        <v>0.12386160900085116</v>
      </c>
      <c r="P1220" s="34">
        <f t="shared" si="161"/>
        <v>0.92468408762570631</v>
      </c>
      <c r="Q1220" s="34">
        <f t="shared" si="162"/>
        <v>0.87613839099914881</v>
      </c>
      <c r="R1220" s="46">
        <f t="shared" si="163"/>
        <v>13.990832344450036</v>
      </c>
    </row>
    <row r="1221" spans="2:18" ht="12.75" customHeight="1" x14ac:dyDescent="0.25">
      <c r="B1221" s="17" t="s">
        <v>0</v>
      </c>
      <c r="C1221" s="44" t="s">
        <v>90</v>
      </c>
      <c r="D1221" s="22" t="s">
        <v>2</v>
      </c>
      <c r="E1221" s="20">
        <v>1</v>
      </c>
      <c r="F1221" s="17" t="s">
        <v>232</v>
      </c>
      <c r="G1221" s="17" t="s">
        <v>247</v>
      </c>
      <c r="H1221" s="17" t="s">
        <v>248</v>
      </c>
      <c r="I1221" s="17" t="s">
        <v>249</v>
      </c>
      <c r="J1221" s="27" t="s">
        <v>91</v>
      </c>
      <c r="K1221" s="29">
        <v>11631</v>
      </c>
      <c r="L1221" s="31">
        <v>625593.84000013582</v>
      </c>
      <c r="M1221" s="31">
        <v>113704.28999981986</v>
      </c>
      <c r="N1221" s="31">
        <v>80920.65000000062</v>
      </c>
      <c r="O1221" s="34">
        <f t="shared" si="160"/>
        <v>0.18175417136427552</v>
      </c>
      <c r="P1221" s="34">
        <f t="shared" si="161"/>
        <v>0.71167631406105103</v>
      </c>
      <c r="Q1221" s="34">
        <f t="shared" si="162"/>
        <v>0.81824582863572448</v>
      </c>
      <c r="R1221" s="46">
        <f t="shared" si="163"/>
        <v>6.9573252514831587</v>
      </c>
    </row>
    <row r="1222" spans="2:18" ht="12.75" customHeight="1" x14ac:dyDescent="0.25">
      <c r="B1222" s="17" t="s">
        <v>0</v>
      </c>
      <c r="C1222" s="44" t="s">
        <v>219</v>
      </c>
      <c r="D1222" s="22" t="s">
        <v>9</v>
      </c>
      <c r="E1222" s="20">
        <v>2</v>
      </c>
      <c r="F1222" s="17" t="s">
        <v>232</v>
      </c>
      <c r="G1222" s="17" t="s">
        <v>247</v>
      </c>
      <c r="H1222" s="17" t="s">
        <v>248</v>
      </c>
      <c r="I1222" s="17" t="s">
        <v>249</v>
      </c>
      <c r="J1222" s="27" t="s">
        <v>220</v>
      </c>
      <c r="K1222" s="29">
        <v>2144</v>
      </c>
      <c r="L1222" s="31">
        <v>400980</v>
      </c>
      <c r="M1222" s="31">
        <v>104936.450000193</v>
      </c>
      <c r="N1222" s="31">
        <v>80359.929999910004</v>
      </c>
      <c r="O1222" s="34">
        <f t="shared" si="160"/>
        <v>0.26169996009824181</v>
      </c>
      <c r="P1222" s="34">
        <f t="shared" si="161"/>
        <v>0.7657961556710009</v>
      </c>
      <c r="Q1222" s="34">
        <f t="shared" si="162"/>
        <v>0.73830003990175819</v>
      </c>
      <c r="R1222" s="46">
        <f t="shared" si="163"/>
        <v>37.48131063428638</v>
      </c>
    </row>
    <row r="1223" spans="2:18" ht="12.75" customHeight="1" x14ac:dyDescent="0.25">
      <c r="B1223" s="17" t="s">
        <v>0</v>
      </c>
      <c r="C1223" s="44" t="s">
        <v>56</v>
      </c>
      <c r="D1223" s="22" t="s">
        <v>2</v>
      </c>
      <c r="E1223" s="20">
        <v>1</v>
      </c>
      <c r="F1223" s="17" t="s">
        <v>232</v>
      </c>
      <c r="G1223" s="17" t="s">
        <v>247</v>
      </c>
      <c r="H1223" s="17" t="s">
        <v>248</v>
      </c>
      <c r="I1223" s="17" t="s">
        <v>249</v>
      </c>
      <c r="J1223" s="27" t="s">
        <v>57</v>
      </c>
      <c r="K1223" s="29">
        <v>4070</v>
      </c>
      <c r="L1223" s="31">
        <v>597715.23999981093</v>
      </c>
      <c r="M1223" s="31">
        <v>97762.469999886976</v>
      </c>
      <c r="N1223" s="31">
        <v>77528.919999924983</v>
      </c>
      <c r="O1223" s="34">
        <f t="shared" si="160"/>
        <v>0.16356027662924891</v>
      </c>
      <c r="P1223" s="34">
        <f t="shared" si="161"/>
        <v>0.79303356390253454</v>
      </c>
      <c r="Q1223" s="34">
        <f t="shared" si="162"/>
        <v>0.83643972337075112</v>
      </c>
      <c r="R1223" s="46">
        <f t="shared" si="163"/>
        <v>19.048874692856263</v>
      </c>
    </row>
    <row r="1224" spans="2:18" ht="12.75" customHeight="1" x14ac:dyDescent="0.25">
      <c r="B1224" s="17" t="s">
        <v>0</v>
      </c>
      <c r="C1224" s="44" t="s">
        <v>7</v>
      </c>
      <c r="D1224" s="22" t="s">
        <v>9</v>
      </c>
      <c r="E1224" s="20">
        <v>2</v>
      </c>
      <c r="F1224" s="17" t="s">
        <v>232</v>
      </c>
      <c r="G1224" s="17" t="s">
        <v>247</v>
      </c>
      <c r="H1224" s="17" t="s">
        <v>248</v>
      </c>
      <c r="I1224" s="17" t="s">
        <v>249</v>
      </c>
      <c r="J1224" s="27" t="s">
        <v>8</v>
      </c>
      <c r="K1224" s="29">
        <v>37003</v>
      </c>
      <c r="L1224" s="31">
        <v>708847.59000143106</v>
      </c>
      <c r="M1224" s="31">
        <v>92064.969999664987</v>
      </c>
      <c r="N1224" s="31">
        <v>73806.549999639159</v>
      </c>
      <c r="O1224" s="34">
        <f t="shared" si="160"/>
        <v>0.12987978134972444</v>
      </c>
      <c r="P1224" s="34">
        <f t="shared" si="161"/>
        <v>0.80167896649407189</v>
      </c>
      <c r="Q1224" s="34">
        <f t="shared" si="162"/>
        <v>0.87012021865027556</v>
      </c>
      <c r="R1224" s="46">
        <f t="shared" si="163"/>
        <v>1.9946098964851271</v>
      </c>
    </row>
    <row r="1225" spans="2:18" ht="12.75" customHeight="1" x14ac:dyDescent="0.25">
      <c r="B1225" s="17" t="s">
        <v>0</v>
      </c>
      <c r="C1225" s="44" t="s">
        <v>36</v>
      </c>
      <c r="D1225" s="22" t="s">
        <v>2</v>
      </c>
      <c r="E1225" s="20">
        <v>1</v>
      </c>
      <c r="F1225" s="17" t="s">
        <v>232</v>
      </c>
      <c r="G1225" s="17" t="s">
        <v>247</v>
      </c>
      <c r="H1225" s="17" t="s">
        <v>248</v>
      </c>
      <c r="I1225" s="17" t="s">
        <v>249</v>
      </c>
      <c r="J1225" s="27" t="s">
        <v>37</v>
      </c>
      <c r="K1225" s="29">
        <v>2385</v>
      </c>
      <c r="L1225" s="31">
        <v>517266.8099992401</v>
      </c>
      <c r="M1225" s="31">
        <v>81796.570000387976</v>
      </c>
      <c r="N1225" s="31">
        <v>65325.539999784225</v>
      </c>
      <c r="O1225" s="34">
        <f t="shared" si="160"/>
        <v>0.1581322606035909</v>
      </c>
      <c r="P1225" s="34">
        <f t="shared" si="161"/>
        <v>0.79863422145298235</v>
      </c>
      <c r="Q1225" s="34">
        <f t="shared" si="162"/>
        <v>0.84186773939640913</v>
      </c>
      <c r="R1225" s="46">
        <f t="shared" si="163"/>
        <v>27.390163521922108</v>
      </c>
    </row>
    <row r="1226" spans="2:18" ht="12.75" customHeight="1" x14ac:dyDescent="0.25">
      <c r="B1226" s="17" t="s">
        <v>0</v>
      </c>
      <c r="C1226" s="44" t="s">
        <v>50</v>
      </c>
      <c r="D1226" s="22" t="s">
        <v>2</v>
      </c>
      <c r="E1226" s="20">
        <v>1</v>
      </c>
      <c r="F1226" s="17" t="s">
        <v>232</v>
      </c>
      <c r="G1226" s="17" t="s">
        <v>247</v>
      </c>
      <c r="H1226" s="17" t="s">
        <v>248</v>
      </c>
      <c r="I1226" s="17" t="s">
        <v>249</v>
      </c>
      <c r="J1226" s="27" t="s">
        <v>51</v>
      </c>
      <c r="K1226" s="29">
        <v>4345</v>
      </c>
      <c r="L1226" s="31">
        <v>472596.52999988099</v>
      </c>
      <c r="M1226" s="31">
        <v>74440.659999934869</v>
      </c>
      <c r="N1226" s="31">
        <v>57440.170000037717</v>
      </c>
      <c r="O1226" s="34">
        <f t="shared" si="160"/>
        <v>0.15751419080447673</v>
      </c>
      <c r="P1226" s="34">
        <f t="shared" si="161"/>
        <v>0.77162359925460056</v>
      </c>
      <c r="Q1226" s="34">
        <f t="shared" si="162"/>
        <v>0.84248580919552329</v>
      </c>
      <c r="R1226" s="46">
        <f t="shared" si="163"/>
        <v>13.219831990802696</v>
      </c>
    </row>
    <row r="1227" spans="2:18" ht="12.75" customHeight="1" x14ac:dyDescent="0.25">
      <c r="B1227" s="17" t="s">
        <v>0</v>
      </c>
      <c r="C1227" s="44" t="s">
        <v>170</v>
      </c>
      <c r="D1227" s="22" t="s">
        <v>9</v>
      </c>
      <c r="E1227" s="20">
        <v>2</v>
      </c>
      <c r="F1227" s="17" t="s">
        <v>232</v>
      </c>
      <c r="G1227" s="17" t="s">
        <v>247</v>
      </c>
      <c r="H1227" s="17" t="s">
        <v>248</v>
      </c>
      <c r="I1227" s="17" t="s">
        <v>249</v>
      </c>
      <c r="J1227" s="27" t="s">
        <v>171</v>
      </c>
      <c r="K1227" s="29">
        <v>839</v>
      </c>
      <c r="L1227" s="31">
        <v>154896.31000006001</v>
      </c>
      <c r="M1227" s="31">
        <v>73438.889999122999</v>
      </c>
      <c r="N1227" s="31">
        <v>57229.220000612004</v>
      </c>
      <c r="O1227" s="34">
        <f t="shared" si="160"/>
        <v>0.47411645893368631</v>
      </c>
      <c r="P1227" s="34">
        <f t="shared" si="161"/>
        <v>0.77927675651545703</v>
      </c>
      <c r="Q1227" s="34">
        <f t="shared" si="162"/>
        <v>0.52588354106631363</v>
      </c>
      <c r="R1227" s="46">
        <f t="shared" si="163"/>
        <v>68.211227652696067</v>
      </c>
    </row>
    <row r="1228" spans="2:18" ht="12.75" customHeight="1" x14ac:dyDescent="0.25">
      <c r="B1228" s="17" t="s">
        <v>0</v>
      </c>
      <c r="C1228" s="44" t="s">
        <v>157</v>
      </c>
      <c r="D1228" s="22" t="s">
        <v>9</v>
      </c>
      <c r="E1228" s="20">
        <v>2</v>
      </c>
      <c r="F1228" s="17" t="s">
        <v>232</v>
      </c>
      <c r="G1228" s="17" t="s">
        <v>247</v>
      </c>
      <c r="H1228" s="17" t="s">
        <v>248</v>
      </c>
      <c r="I1228" s="17" t="s">
        <v>249</v>
      </c>
      <c r="J1228" s="27" t="s">
        <v>158</v>
      </c>
      <c r="K1228" s="29">
        <v>457834</v>
      </c>
      <c r="L1228" s="31">
        <v>1372161.3899999969</v>
      </c>
      <c r="M1228" s="31">
        <v>68749.189997676091</v>
      </c>
      <c r="N1228" s="31">
        <v>52677.459999695217</v>
      </c>
      <c r="O1228" s="34">
        <f t="shared" si="160"/>
        <v>5.0102845407766682E-2</v>
      </c>
      <c r="P1228" s="34">
        <f t="shared" si="161"/>
        <v>0.76622662756427906</v>
      </c>
      <c r="Q1228" s="34">
        <f t="shared" si="162"/>
        <v>0.94989715459223334</v>
      </c>
      <c r="R1228" s="46">
        <f t="shared" si="163"/>
        <v>0.11505799045002166</v>
      </c>
    </row>
    <row r="1229" spans="2:18" ht="12.75" customHeight="1" x14ac:dyDescent="0.25">
      <c r="B1229" s="17" t="s">
        <v>0</v>
      </c>
      <c r="C1229" s="44" t="s">
        <v>225</v>
      </c>
      <c r="D1229" s="22" t="s">
        <v>9</v>
      </c>
      <c r="E1229" s="20">
        <v>2</v>
      </c>
      <c r="F1229" s="17" t="s">
        <v>232</v>
      </c>
      <c r="G1229" s="17" t="s">
        <v>247</v>
      </c>
      <c r="H1229" s="17" t="s">
        <v>248</v>
      </c>
      <c r="I1229" s="17" t="s">
        <v>249</v>
      </c>
      <c r="J1229" s="27" t="s">
        <v>226</v>
      </c>
      <c r="K1229" s="29">
        <v>2088</v>
      </c>
      <c r="L1229" s="31">
        <v>291759.99999968999</v>
      </c>
      <c r="M1229" s="31">
        <v>58671.180000011103</v>
      </c>
      <c r="N1229" s="31">
        <v>50129.200000009303</v>
      </c>
      <c r="O1229" s="34">
        <f t="shared" si="160"/>
        <v>0.2010939813547897</v>
      </c>
      <c r="P1229" s="34">
        <f t="shared" si="161"/>
        <v>0.85440926874148115</v>
      </c>
      <c r="Q1229" s="34">
        <f t="shared" si="162"/>
        <v>0.79890601864521027</v>
      </c>
      <c r="R1229" s="46">
        <f t="shared" si="163"/>
        <v>24.008237547897174</v>
      </c>
    </row>
    <row r="1230" spans="2:18" ht="12.75" customHeight="1" x14ac:dyDescent="0.25">
      <c r="B1230" s="17" t="s">
        <v>0</v>
      </c>
      <c r="C1230" s="44" t="s">
        <v>30</v>
      </c>
      <c r="D1230" s="22" t="s">
        <v>2</v>
      </c>
      <c r="E1230" s="20">
        <v>1</v>
      </c>
      <c r="F1230" s="17" t="s">
        <v>232</v>
      </c>
      <c r="G1230" s="17" t="s">
        <v>247</v>
      </c>
      <c r="H1230" s="17" t="s">
        <v>248</v>
      </c>
      <c r="I1230" s="17" t="s">
        <v>249</v>
      </c>
      <c r="J1230" s="27" t="s">
        <v>31</v>
      </c>
      <c r="K1230" s="29">
        <v>1421</v>
      </c>
      <c r="L1230" s="31">
        <v>304627.89000060596</v>
      </c>
      <c r="M1230" s="31">
        <v>49046.270000107492</v>
      </c>
      <c r="N1230" s="31">
        <v>38768.700000071389</v>
      </c>
      <c r="O1230" s="34">
        <f t="shared" si="160"/>
        <v>0.16100387262640309</v>
      </c>
      <c r="P1230" s="34">
        <f t="shared" si="161"/>
        <v>0.79045154707965404</v>
      </c>
      <c r="Q1230" s="34">
        <f t="shared" si="162"/>
        <v>0.83899612737359686</v>
      </c>
      <c r="R1230" s="46">
        <f t="shared" si="163"/>
        <v>27.282688247763115</v>
      </c>
    </row>
    <row r="1231" spans="2:18" ht="12.75" customHeight="1" x14ac:dyDescent="0.25">
      <c r="B1231" s="17" t="s">
        <v>0</v>
      </c>
      <c r="C1231" s="44" t="s">
        <v>161</v>
      </c>
      <c r="D1231" s="22" t="s">
        <v>9</v>
      </c>
      <c r="E1231" s="20">
        <v>2</v>
      </c>
      <c r="F1231" s="17" t="s">
        <v>232</v>
      </c>
      <c r="G1231" s="17" t="s">
        <v>247</v>
      </c>
      <c r="H1231" s="17" t="s">
        <v>248</v>
      </c>
      <c r="I1231" s="17" t="s">
        <v>249</v>
      </c>
      <c r="J1231" s="27" t="s">
        <v>162</v>
      </c>
      <c r="K1231" s="29">
        <v>307933</v>
      </c>
      <c r="L1231" s="31">
        <v>815452.37999987567</v>
      </c>
      <c r="M1231" s="31">
        <v>39911.490001551283</v>
      </c>
      <c r="N1231" s="31">
        <v>30995.519998354594</v>
      </c>
      <c r="O1231" s="34">
        <f t="shared" si="160"/>
        <v>4.8943986160856344E-2</v>
      </c>
      <c r="P1231" s="34">
        <f t="shared" si="161"/>
        <v>0.77660643581960631</v>
      </c>
      <c r="Q1231" s="34">
        <f t="shared" si="162"/>
        <v>0.95105601383914362</v>
      </c>
      <c r="R1231" s="46">
        <f t="shared" si="163"/>
        <v>0.10065670129006828</v>
      </c>
    </row>
    <row r="1232" spans="2:18" ht="12.75" customHeight="1" x14ac:dyDescent="0.25">
      <c r="B1232" s="17" t="s">
        <v>0</v>
      </c>
      <c r="C1232" s="44" t="s">
        <v>42</v>
      </c>
      <c r="D1232" s="22" t="s">
        <v>2</v>
      </c>
      <c r="E1232" s="20">
        <v>1</v>
      </c>
      <c r="F1232" s="17" t="s">
        <v>232</v>
      </c>
      <c r="G1232" s="17" t="s">
        <v>247</v>
      </c>
      <c r="H1232" s="17" t="s">
        <v>248</v>
      </c>
      <c r="I1232" s="17" t="s">
        <v>249</v>
      </c>
      <c r="J1232" s="27" t="s">
        <v>43</v>
      </c>
      <c r="K1232" s="29">
        <v>507</v>
      </c>
      <c r="L1232" s="31">
        <v>139904.30000007001</v>
      </c>
      <c r="M1232" s="31">
        <v>36792.499999970998</v>
      </c>
      <c r="N1232" s="31">
        <v>29214.680000113003</v>
      </c>
      <c r="O1232" s="34">
        <f t="shared" si="160"/>
        <v>0.26298333932518575</v>
      </c>
      <c r="P1232" s="34">
        <f t="shared" si="161"/>
        <v>0.79403900251779658</v>
      </c>
      <c r="Q1232" s="34">
        <f t="shared" si="162"/>
        <v>0.73701666067481431</v>
      </c>
      <c r="R1232" s="46">
        <f t="shared" si="163"/>
        <v>57.622642998250498</v>
      </c>
    </row>
    <row r="1233" spans="2:18" ht="12.75" customHeight="1" x14ac:dyDescent="0.25">
      <c r="B1233" s="17" t="s">
        <v>0</v>
      </c>
      <c r="C1233" s="44" t="s">
        <v>48</v>
      </c>
      <c r="D1233" s="22" t="s">
        <v>2</v>
      </c>
      <c r="E1233" s="20">
        <v>1</v>
      </c>
      <c r="F1233" s="17" t="s">
        <v>232</v>
      </c>
      <c r="G1233" s="17" t="s">
        <v>247</v>
      </c>
      <c r="H1233" s="17" t="s">
        <v>248</v>
      </c>
      <c r="I1233" s="17" t="s">
        <v>249</v>
      </c>
      <c r="J1233" s="27" t="s">
        <v>49</v>
      </c>
      <c r="K1233" s="29">
        <v>1087</v>
      </c>
      <c r="L1233" s="31">
        <v>389066.38000197994</v>
      </c>
      <c r="M1233" s="31">
        <v>37320.330000173388</v>
      </c>
      <c r="N1233" s="31">
        <v>28709.980000010517</v>
      </c>
      <c r="O1233" s="34">
        <f t="shared" si="160"/>
        <v>9.5922783150740154E-2</v>
      </c>
      <c r="P1233" s="34">
        <f t="shared" si="161"/>
        <v>0.76928526623095594</v>
      </c>
      <c r="Q1233" s="34">
        <f t="shared" si="162"/>
        <v>0.9040772168492599</v>
      </c>
      <c r="R1233" s="46">
        <f t="shared" si="163"/>
        <v>26.412125115005075</v>
      </c>
    </row>
    <row r="1234" spans="2:18" ht="12.75" customHeight="1" x14ac:dyDescent="0.25">
      <c r="B1234" s="17" t="s">
        <v>0</v>
      </c>
      <c r="C1234" s="44" t="s">
        <v>28</v>
      </c>
      <c r="D1234" s="22" t="s">
        <v>2</v>
      </c>
      <c r="E1234" s="20">
        <v>1</v>
      </c>
      <c r="F1234" s="17" t="s">
        <v>232</v>
      </c>
      <c r="G1234" s="17" t="s">
        <v>247</v>
      </c>
      <c r="H1234" s="17" t="s">
        <v>248</v>
      </c>
      <c r="I1234" s="17" t="s">
        <v>249</v>
      </c>
      <c r="J1234" s="27" t="s">
        <v>29</v>
      </c>
      <c r="K1234" s="29">
        <v>3382</v>
      </c>
      <c r="L1234" s="31">
        <v>195794.79000002105</v>
      </c>
      <c r="M1234" s="31">
        <v>31159.630000014702</v>
      </c>
      <c r="N1234" s="31">
        <v>24225.579999995203</v>
      </c>
      <c r="O1234" s="34">
        <f t="shared" si="160"/>
        <v>0.15914432656768523</v>
      </c>
      <c r="P1234" s="34">
        <f t="shared" si="161"/>
        <v>0.77746686979222068</v>
      </c>
      <c r="Q1234" s="34">
        <f t="shared" si="162"/>
        <v>0.84085567343231471</v>
      </c>
      <c r="R1234" s="46">
        <f t="shared" si="163"/>
        <v>7.1630928444693094</v>
      </c>
    </row>
    <row r="1235" spans="2:18" ht="12.75" customHeight="1" x14ac:dyDescent="0.25">
      <c r="B1235" s="17" t="s">
        <v>0</v>
      </c>
      <c r="C1235" s="44" t="s">
        <v>54</v>
      </c>
      <c r="D1235" s="22" t="s">
        <v>2</v>
      </c>
      <c r="E1235" s="20">
        <v>1</v>
      </c>
      <c r="F1235" s="17" t="s">
        <v>232</v>
      </c>
      <c r="G1235" s="17" t="s">
        <v>247</v>
      </c>
      <c r="H1235" s="17" t="s">
        <v>248</v>
      </c>
      <c r="I1235" s="17" t="s">
        <v>249</v>
      </c>
      <c r="J1235" s="27" t="s">
        <v>55</v>
      </c>
      <c r="K1235" s="29">
        <v>1866</v>
      </c>
      <c r="L1235" s="31">
        <v>134860.89999936198</v>
      </c>
      <c r="M1235" s="31">
        <v>29599.099999882197</v>
      </c>
      <c r="N1235" s="31">
        <v>23462.609999942601</v>
      </c>
      <c r="O1235" s="34">
        <f t="shared" si="160"/>
        <v>0.21947873698026804</v>
      </c>
      <c r="P1235" s="34">
        <f t="shared" si="161"/>
        <v>0.79267984499650257</v>
      </c>
      <c r="Q1235" s="34">
        <f t="shared" si="162"/>
        <v>0.78052126301973201</v>
      </c>
      <c r="R1235" s="46">
        <f t="shared" si="163"/>
        <v>12.573745980676636</v>
      </c>
    </row>
    <row r="1236" spans="2:18" ht="12.75" customHeight="1" x14ac:dyDescent="0.25">
      <c r="B1236" s="17" t="s">
        <v>0</v>
      </c>
      <c r="C1236" s="44" t="s">
        <v>64</v>
      </c>
      <c r="D1236" s="22" t="s">
        <v>2</v>
      </c>
      <c r="E1236" s="20">
        <v>1</v>
      </c>
      <c r="F1236" s="17" t="s">
        <v>232</v>
      </c>
      <c r="G1236" s="17" t="s">
        <v>247</v>
      </c>
      <c r="H1236" s="17" t="s">
        <v>248</v>
      </c>
      <c r="I1236" s="17" t="s">
        <v>249</v>
      </c>
      <c r="J1236" s="27" t="s">
        <v>65</v>
      </c>
      <c r="K1236" s="29">
        <v>395</v>
      </c>
      <c r="L1236" s="31">
        <v>102531.289999944</v>
      </c>
      <c r="M1236" s="31">
        <v>27923.809999960999</v>
      </c>
      <c r="N1236" s="31">
        <v>22123.429999771201</v>
      </c>
      <c r="O1236" s="34">
        <f t="shared" ref="O1236:O1267" si="164">IFERROR(M1236/L1236,0)</f>
        <v>0.27234427656158672</v>
      </c>
      <c r="P1236" s="34">
        <f t="shared" ref="P1236:P1267" si="165">IFERROR(N1236/M1236,0)</f>
        <v>0.79227834596360958</v>
      </c>
      <c r="Q1236" s="34">
        <f t="shared" ref="Q1236:Q1267" si="166">IFERROR(1-(M1236/L1236),0)</f>
        <v>0.72765572343841334</v>
      </c>
      <c r="R1236" s="46">
        <f t="shared" ref="R1236:R1267" si="167">IFERROR(N1236/K1236,0)</f>
        <v>56.008683543724558</v>
      </c>
    </row>
    <row r="1237" spans="2:18" ht="12.75" customHeight="1" x14ac:dyDescent="0.25">
      <c r="B1237" s="17" t="s">
        <v>0</v>
      </c>
      <c r="C1237" s="44" t="s">
        <v>176</v>
      </c>
      <c r="D1237" s="22" t="s">
        <v>2</v>
      </c>
      <c r="E1237" s="20">
        <v>1</v>
      </c>
      <c r="F1237" s="17" t="s">
        <v>232</v>
      </c>
      <c r="G1237" s="17" t="s">
        <v>247</v>
      </c>
      <c r="H1237" s="17" t="s">
        <v>248</v>
      </c>
      <c r="I1237" s="17" t="s">
        <v>249</v>
      </c>
      <c r="J1237" s="27" t="s">
        <v>177</v>
      </c>
      <c r="K1237" s="29">
        <v>1640</v>
      </c>
      <c r="L1237" s="31">
        <v>146023.37999958202</v>
      </c>
      <c r="M1237" s="31">
        <v>25530.880000113011</v>
      </c>
      <c r="N1237" s="31">
        <v>20357.460000063998</v>
      </c>
      <c r="O1237" s="34">
        <f t="shared" si="164"/>
        <v>0.17484104257952454</v>
      </c>
      <c r="P1237" s="34">
        <f t="shared" si="165"/>
        <v>0.79736616990773079</v>
      </c>
      <c r="Q1237" s="34">
        <f t="shared" si="166"/>
        <v>0.8251589574204754</v>
      </c>
      <c r="R1237" s="46">
        <f t="shared" si="167"/>
        <v>12.413085365892682</v>
      </c>
    </row>
    <row r="1238" spans="2:18" ht="12.75" customHeight="1" x14ac:dyDescent="0.25">
      <c r="B1238" s="17" t="s">
        <v>0</v>
      </c>
      <c r="C1238" s="44" t="s">
        <v>58</v>
      </c>
      <c r="D1238" s="22" t="s">
        <v>2</v>
      </c>
      <c r="E1238" s="20">
        <v>1</v>
      </c>
      <c r="F1238" s="17" t="s">
        <v>232</v>
      </c>
      <c r="G1238" s="17" t="s">
        <v>247</v>
      </c>
      <c r="H1238" s="17" t="s">
        <v>248</v>
      </c>
      <c r="I1238" s="17" t="s">
        <v>249</v>
      </c>
      <c r="J1238" s="27" t="s">
        <v>59</v>
      </c>
      <c r="K1238" s="29">
        <v>1903</v>
      </c>
      <c r="L1238" s="31">
        <v>219859.92000025901</v>
      </c>
      <c r="M1238" s="31">
        <v>22332.059999713503</v>
      </c>
      <c r="N1238" s="31">
        <v>17651.640000031202</v>
      </c>
      <c r="O1238" s="34">
        <f t="shared" si="164"/>
        <v>0.10157403859551661</v>
      </c>
      <c r="P1238" s="34">
        <f t="shared" si="165"/>
        <v>0.79041700587664798</v>
      </c>
      <c r="Q1238" s="34">
        <f t="shared" si="166"/>
        <v>0.89842596140448339</v>
      </c>
      <c r="R1238" s="46">
        <f t="shared" si="167"/>
        <v>9.2756910142045204</v>
      </c>
    </row>
    <row r="1239" spans="2:18" ht="12.75" customHeight="1" x14ac:dyDescent="0.25">
      <c r="B1239" s="17" t="s">
        <v>0</v>
      </c>
      <c r="C1239" s="44" t="s">
        <v>110</v>
      </c>
      <c r="D1239" s="22" t="s">
        <v>2</v>
      </c>
      <c r="E1239" s="20">
        <v>1</v>
      </c>
      <c r="F1239" s="17" t="s">
        <v>232</v>
      </c>
      <c r="G1239" s="17" t="s">
        <v>247</v>
      </c>
      <c r="H1239" s="17" t="s">
        <v>248</v>
      </c>
      <c r="I1239" s="17" t="s">
        <v>249</v>
      </c>
      <c r="J1239" s="27" t="s">
        <v>111</v>
      </c>
      <c r="K1239" s="29">
        <v>1081</v>
      </c>
      <c r="L1239" s="31">
        <v>87708.240000979989</v>
      </c>
      <c r="M1239" s="31">
        <v>20582.460000016301</v>
      </c>
      <c r="N1239" s="31">
        <v>16420.7999999202</v>
      </c>
      <c r="O1239" s="34">
        <f t="shared" si="164"/>
        <v>0.23466962738947136</v>
      </c>
      <c r="P1239" s="34">
        <f t="shared" si="165"/>
        <v>0.79780551012401801</v>
      </c>
      <c r="Q1239" s="34">
        <f t="shared" si="166"/>
        <v>0.76533037261052861</v>
      </c>
      <c r="R1239" s="46">
        <f t="shared" si="167"/>
        <v>15.190379278372063</v>
      </c>
    </row>
    <row r="1240" spans="2:18" ht="12.75" customHeight="1" x14ac:dyDescent="0.25">
      <c r="B1240" s="17" t="s">
        <v>0</v>
      </c>
      <c r="C1240" s="44" t="s">
        <v>196</v>
      </c>
      <c r="D1240" s="22" t="s">
        <v>9</v>
      </c>
      <c r="E1240" s="20">
        <v>2</v>
      </c>
      <c r="F1240" s="17" t="s">
        <v>232</v>
      </c>
      <c r="G1240" s="17" t="s">
        <v>247</v>
      </c>
      <c r="H1240" s="17" t="s">
        <v>248</v>
      </c>
      <c r="I1240" s="17" t="s">
        <v>249</v>
      </c>
      <c r="J1240" s="27" t="s">
        <v>197</v>
      </c>
      <c r="K1240" s="29">
        <v>521</v>
      </c>
      <c r="L1240" s="31">
        <v>56566.900000009999</v>
      </c>
      <c r="M1240" s="31">
        <v>20071.219999958001</v>
      </c>
      <c r="N1240" s="31">
        <v>15349.469999983001</v>
      </c>
      <c r="O1240" s="34">
        <f t="shared" si="164"/>
        <v>0.35482269666455918</v>
      </c>
      <c r="P1240" s="34">
        <f t="shared" si="165"/>
        <v>0.76475022445148422</v>
      </c>
      <c r="Q1240" s="34">
        <f t="shared" si="166"/>
        <v>0.64517730333544088</v>
      </c>
      <c r="R1240" s="46">
        <f t="shared" si="167"/>
        <v>29.461554702462575</v>
      </c>
    </row>
    <row r="1241" spans="2:18" ht="12.75" customHeight="1" x14ac:dyDescent="0.25">
      <c r="B1241" s="17" t="s">
        <v>0</v>
      </c>
      <c r="C1241" s="44" t="s">
        <v>166</v>
      </c>
      <c r="D1241" s="22" t="s">
        <v>2</v>
      </c>
      <c r="E1241" s="20">
        <v>1</v>
      </c>
      <c r="F1241" s="17" t="s">
        <v>232</v>
      </c>
      <c r="G1241" s="17" t="s">
        <v>247</v>
      </c>
      <c r="H1241" s="17" t="s">
        <v>248</v>
      </c>
      <c r="I1241" s="17" t="s">
        <v>249</v>
      </c>
      <c r="J1241" s="27" t="s">
        <v>167</v>
      </c>
      <c r="K1241" s="29">
        <v>634</v>
      </c>
      <c r="L1241" s="31">
        <v>107865.64000080198</v>
      </c>
      <c r="M1241" s="31">
        <v>18977.629999836001</v>
      </c>
      <c r="N1241" s="31">
        <v>14591.249999844003</v>
      </c>
      <c r="O1241" s="34">
        <f t="shared" si="164"/>
        <v>0.1759376757945802</v>
      </c>
      <c r="P1241" s="34">
        <f t="shared" si="165"/>
        <v>0.76886576458546707</v>
      </c>
      <c r="Q1241" s="34">
        <f t="shared" si="166"/>
        <v>0.8240623242054198</v>
      </c>
      <c r="R1241" s="46">
        <f t="shared" si="167"/>
        <v>23.014589905116726</v>
      </c>
    </row>
    <row r="1242" spans="2:18" ht="12.75" customHeight="1" x14ac:dyDescent="0.25">
      <c r="B1242" s="17" t="s">
        <v>0</v>
      </c>
      <c r="C1242" s="44" t="s">
        <v>46</v>
      </c>
      <c r="D1242" s="22" t="s">
        <v>2</v>
      </c>
      <c r="E1242" s="20">
        <v>1</v>
      </c>
      <c r="F1242" s="17" t="s">
        <v>232</v>
      </c>
      <c r="G1242" s="17" t="s">
        <v>247</v>
      </c>
      <c r="H1242" s="17" t="s">
        <v>248</v>
      </c>
      <c r="I1242" s="17" t="s">
        <v>249</v>
      </c>
      <c r="J1242" s="27" t="s">
        <v>47</v>
      </c>
      <c r="K1242" s="29">
        <v>1378</v>
      </c>
      <c r="L1242" s="31">
        <v>113178.79999994297</v>
      </c>
      <c r="M1242" s="31">
        <v>18285.629999982797</v>
      </c>
      <c r="N1242" s="31">
        <v>14019.790000081905</v>
      </c>
      <c r="O1242" s="34">
        <f t="shared" si="164"/>
        <v>0.16156409150823309</v>
      </c>
      <c r="P1242" s="34">
        <f t="shared" si="165"/>
        <v>0.76671079968779277</v>
      </c>
      <c r="Q1242" s="34">
        <f t="shared" si="166"/>
        <v>0.83843590849176697</v>
      </c>
      <c r="R1242" s="46">
        <f t="shared" si="167"/>
        <v>10.174013062468726</v>
      </c>
    </row>
    <row r="1243" spans="2:18" ht="12.75" customHeight="1" x14ac:dyDescent="0.25">
      <c r="B1243" s="17" t="s">
        <v>0</v>
      </c>
      <c r="C1243" s="44" t="s">
        <v>34</v>
      </c>
      <c r="D1243" s="22" t="s">
        <v>2</v>
      </c>
      <c r="E1243" s="20">
        <v>1</v>
      </c>
      <c r="F1243" s="17" t="s">
        <v>232</v>
      </c>
      <c r="G1243" s="17" t="s">
        <v>247</v>
      </c>
      <c r="H1243" s="17" t="s">
        <v>248</v>
      </c>
      <c r="I1243" s="17" t="s">
        <v>249</v>
      </c>
      <c r="J1243" s="27" t="s">
        <v>35</v>
      </c>
      <c r="K1243" s="29">
        <v>1148</v>
      </c>
      <c r="L1243" s="31">
        <v>142219.000000834</v>
      </c>
      <c r="M1243" s="31">
        <v>17546.320000046806</v>
      </c>
      <c r="N1243" s="31">
        <v>13099.649999809501</v>
      </c>
      <c r="O1243" s="34">
        <f t="shared" si="164"/>
        <v>0.12337535772255402</v>
      </c>
      <c r="P1243" s="34">
        <f t="shared" si="165"/>
        <v>0.74657535026002919</v>
      </c>
      <c r="Q1243" s="34">
        <f t="shared" si="166"/>
        <v>0.87662464227744596</v>
      </c>
      <c r="R1243" s="46">
        <f t="shared" si="167"/>
        <v>11.410844947569251</v>
      </c>
    </row>
    <row r="1244" spans="2:18" ht="12.75" customHeight="1" x14ac:dyDescent="0.25">
      <c r="B1244" s="17" t="s">
        <v>0</v>
      </c>
      <c r="C1244" s="44" t="s">
        <v>135</v>
      </c>
      <c r="D1244" s="22" t="s">
        <v>9</v>
      </c>
      <c r="E1244" s="20">
        <v>2</v>
      </c>
      <c r="F1244" s="17" t="s">
        <v>232</v>
      </c>
      <c r="G1244" s="17" t="s">
        <v>247</v>
      </c>
      <c r="H1244" s="17" t="s">
        <v>248</v>
      </c>
      <c r="I1244" s="17" t="s">
        <v>249</v>
      </c>
      <c r="J1244" s="27" t="s">
        <v>136</v>
      </c>
      <c r="K1244" s="29">
        <v>437</v>
      </c>
      <c r="L1244" s="31">
        <v>54754.580001320006</v>
      </c>
      <c r="M1244" s="31">
        <v>16127.599999926999</v>
      </c>
      <c r="N1244" s="31">
        <v>12702.169999949001</v>
      </c>
      <c r="O1244" s="34">
        <f t="shared" si="164"/>
        <v>0.29454339709186333</v>
      </c>
      <c r="P1244" s="34">
        <f t="shared" si="165"/>
        <v>0.78760447927816268</v>
      </c>
      <c r="Q1244" s="34">
        <f t="shared" si="166"/>
        <v>0.70545660290813661</v>
      </c>
      <c r="R1244" s="46">
        <f t="shared" si="167"/>
        <v>29.066750571965677</v>
      </c>
    </row>
    <row r="1245" spans="2:18" ht="12.75" customHeight="1" x14ac:dyDescent="0.25">
      <c r="B1245" s="17" t="s">
        <v>0</v>
      </c>
      <c r="C1245" s="44" t="s">
        <v>16</v>
      </c>
      <c r="D1245" s="22" t="s">
        <v>2</v>
      </c>
      <c r="E1245" s="20">
        <v>1</v>
      </c>
      <c r="F1245" s="17" t="s">
        <v>232</v>
      </c>
      <c r="G1245" s="17" t="s">
        <v>247</v>
      </c>
      <c r="H1245" s="17" t="s">
        <v>248</v>
      </c>
      <c r="I1245" s="17" t="s">
        <v>249</v>
      </c>
      <c r="J1245" s="27" t="s">
        <v>17</v>
      </c>
      <c r="K1245" s="29">
        <v>964</v>
      </c>
      <c r="L1245" s="31">
        <v>161328.0000003</v>
      </c>
      <c r="M1245" s="31">
        <v>13269.419999927102</v>
      </c>
      <c r="N1245" s="31">
        <v>10223.640000039899</v>
      </c>
      <c r="O1245" s="34">
        <f t="shared" si="164"/>
        <v>8.2251190121382697E-2</v>
      </c>
      <c r="P1245" s="34">
        <f t="shared" si="165"/>
        <v>0.77046622988013524</v>
      </c>
      <c r="Q1245" s="34">
        <f t="shared" si="166"/>
        <v>0.91774880987861729</v>
      </c>
      <c r="R1245" s="46">
        <f t="shared" si="167"/>
        <v>10.605435684688691</v>
      </c>
    </row>
    <row r="1246" spans="2:18" ht="12.75" customHeight="1" x14ac:dyDescent="0.25">
      <c r="B1246" s="17" t="s">
        <v>0</v>
      </c>
      <c r="C1246" s="44" t="s">
        <v>62</v>
      </c>
      <c r="D1246" s="22" t="s">
        <v>2</v>
      </c>
      <c r="E1246" s="20">
        <v>1</v>
      </c>
      <c r="F1246" s="17" t="s">
        <v>232</v>
      </c>
      <c r="G1246" s="17" t="s">
        <v>247</v>
      </c>
      <c r="H1246" s="17" t="s">
        <v>248</v>
      </c>
      <c r="I1246" s="17" t="s">
        <v>249</v>
      </c>
      <c r="J1246" s="27" t="s">
        <v>63</v>
      </c>
      <c r="K1246" s="29">
        <v>85</v>
      </c>
      <c r="L1246" s="31">
        <v>34250</v>
      </c>
      <c r="M1246" s="31">
        <v>13037.610000048002</v>
      </c>
      <c r="N1246" s="31">
        <v>10214.749999879001</v>
      </c>
      <c r="O1246" s="34">
        <f t="shared" si="164"/>
        <v>0.38066014598680298</v>
      </c>
      <c r="P1246" s="34">
        <f t="shared" si="165"/>
        <v>0.78348332246795171</v>
      </c>
      <c r="Q1246" s="34">
        <f t="shared" si="166"/>
        <v>0.61933985401319702</v>
      </c>
      <c r="R1246" s="46">
        <f t="shared" si="167"/>
        <v>120.17352941034119</v>
      </c>
    </row>
    <row r="1247" spans="2:18" ht="12.75" customHeight="1" x14ac:dyDescent="0.25">
      <c r="B1247" s="17" t="s">
        <v>0</v>
      </c>
      <c r="C1247" s="44" t="s">
        <v>70</v>
      </c>
      <c r="D1247" s="22" t="s">
        <v>2</v>
      </c>
      <c r="E1247" s="20">
        <v>1</v>
      </c>
      <c r="F1247" s="17" t="s">
        <v>232</v>
      </c>
      <c r="G1247" s="17" t="s">
        <v>247</v>
      </c>
      <c r="H1247" s="17" t="s">
        <v>248</v>
      </c>
      <c r="I1247" s="17" t="s">
        <v>249</v>
      </c>
      <c r="J1247" s="27" t="s">
        <v>71</v>
      </c>
      <c r="K1247" s="29">
        <v>672</v>
      </c>
      <c r="L1247" s="31">
        <v>49980.000000017004</v>
      </c>
      <c r="M1247" s="31">
        <v>12196.660000067101</v>
      </c>
      <c r="N1247" s="31">
        <v>9522.3800000320989</v>
      </c>
      <c r="O1247" s="34">
        <f t="shared" si="164"/>
        <v>0.24403081232618951</v>
      </c>
      <c r="P1247" s="34">
        <f t="shared" si="165"/>
        <v>0.78073669348655383</v>
      </c>
      <c r="Q1247" s="34">
        <f t="shared" si="166"/>
        <v>0.75596918767381049</v>
      </c>
      <c r="R1247" s="46">
        <f t="shared" si="167"/>
        <v>14.170208333381099</v>
      </c>
    </row>
    <row r="1248" spans="2:18" ht="12.75" customHeight="1" x14ac:dyDescent="0.25">
      <c r="B1248" s="17" t="s">
        <v>0</v>
      </c>
      <c r="C1248" s="44" t="s">
        <v>38</v>
      </c>
      <c r="D1248" s="22" t="s">
        <v>9</v>
      </c>
      <c r="E1248" s="20">
        <v>2</v>
      </c>
      <c r="F1248" s="17" t="s">
        <v>232</v>
      </c>
      <c r="G1248" s="17" t="s">
        <v>247</v>
      </c>
      <c r="H1248" s="17" t="s">
        <v>248</v>
      </c>
      <c r="I1248" s="17" t="s">
        <v>249</v>
      </c>
      <c r="J1248" s="27" t="s">
        <v>39</v>
      </c>
      <c r="K1248" s="29">
        <v>396</v>
      </c>
      <c r="L1248" s="31">
        <v>32463</v>
      </c>
      <c r="M1248" s="31">
        <v>12184.309999993002</v>
      </c>
      <c r="N1248" s="31">
        <v>9124.1299999640014</v>
      </c>
      <c r="O1248" s="34">
        <f t="shared" si="164"/>
        <v>0.37532914394827965</v>
      </c>
      <c r="P1248" s="34">
        <f t="shared" si="165"/>
        <v>0.74884256884216194</v>
      </c>
      <c r="Q1248" s="34">
        <f t="shared" si="166"/>
        <v>0.62467085605172035</v>
      </c>
      <c r="R1248" s="46">
        <f t="shared" si="167"/>
        <v>23.040732323141416</v>
      </c>
    </row>
    <row r="1249" spans="2:18" ht="12.75" customHeight="1" x14ac:dyDescent="0.25">
      <c r="B1249" s="17" t="s">
        <v>0</v>
      </c>
      <c r="C1249" s="44" t="s">
        <v>196</v>
      </c>
      <c r="D1249" s="22" t="s">
        <v>2</v>
      </c>
      <c r="E1249" s="20">
        <v>1</v>
      </c>
      <c r="F1249" s="17" t="s">
        <v>232</v>
      </c>
      <c r="G1249" s="17" t="s">
        <v>247</v>
      </c>
      <c r="H1249" s="17" t="s">
        <v>248</v>
      </c>
      <c r="I1249" s="17" t="s">
        <v>249</v>
      </c>
      <c r="J1249" s="27" t="s">
        <v>197</v>
      </c>
      <c r="K1249" s="29">
        <v>1237</v>
      </c>
      <c r="L1249" s="31">
        <v>140641.99999929001</v>
      </c>
      <c r="M1249" s="31">
        <v>11949.479999997899</v>
      </c>
      <c r="N1249" s="31">
        <v>9046.4800000203995</v>
      </c>
      <c r="O1249" s="34">
        <f t="shared" si="164"/>
        <v>8.496380881997001E-2</v>
      </c>
      <c r="P1249" s="34">
        <f t="shared" si="165"/>
        <v>0.75706055828554797</v>
      </c>
      <c r="Q1249" s="34">
        <f t="shared" si="166"/>
        <v>0.91503619118002999</v>
      </c>
      <c r="R1249" s="46">
        <f t="shared" si="167"/>
        <v>7.3132417138402586</v>
      </c>
    </row>
    <row r="1250" spans="2:18" ht="12.75" customHeight="1" x14ac:dyDescent="0.25">
      <c r="B1250" s="17" t="s">
        <v>0</v>
      </c>
      <c r="C1250" s="44" t="s">
        <v>66</v>
      </c>
      <c r="D1250" s="22" t="s">
        <v>9</v>
      </c>
      <c r="E1250" s="20">
        <v>2</v>
      </c>
      <c r="F1250" s="17" t="s">
        <v>232</v>
      </c>
      <c r="G1250" s="17" t="s">
        <v>247</v>
      </c>
      <c r="H1250" s="17" t="s">
        <v>248</v>
      </c>
      <c r="I1250" s="17" t="s">
        <v>249</v>
      </c>
      <c r="J1250" s="27" t="s">
        <v>67</v>
      </c>
      <c r="K1250" s="29">
        <v>4877</v>
      </c>
      <c r="L1250" s="31">
        <v>44846.250000001004</v>
      </c>
      <c r="M1250" s="31">
        <v>10464.250000210799</v>
      </c>
      <c r="N1250" s="31">
        <v>8086.1500000243996</v>
      </c>
      <c r="O1250" s="34">
        <f t="shared" si="164"/>
        <v>0.23333612063908499</v>
      </c>
      <c r="P1250" s="34">
        <f t="shared" si="165"/>
        <v>0.77274052128547255</v>
      </c>
      <c r="Q1250" s="34">
        <f t="shared" si="166"/>
        <v>0.76666387936091507</v>
      </c>
      <c r="R1250" s="46">
        <f t="shared" si="167"/>
        <v>1.6580172237080992</v>
      </c>
    </row>
    <row r="1251" spans="2:18" ht="12.75" customHeight="1" x14ac:dyDescent="0.25">
      <c r="B1251" s="17" t="s">
        <v>0</v>
      </c>
      <c r="C1251" s="44" t="s">
        <v>32</v>
      </c>
      <c r="D1251" s="22" t="s">
        <v>9</v>
      </c>
      <c r="E1251" s="20">
        <v>2</v>
      </c>
      <c r="F1251" s="17" t="s">
        <v>232</v>
      </c>
      <c r="G1251" s="17" t="s">
        <v>247</v>
      </c>
      <c r="H1251" s="17" t="s">
        <v>248</v>
      </c>
      <c r="I1251" s="17" t="s">
        <v>249</v>
      </c>
      <c r="J1251" s="27" t="s">
        <v>33</v>
      </c>
      <c r="K1251" s="29">
        <v>459</v>
      </c>
      <c r="L1251" s="31">
        <v>38282.400000000001</v>
      </c>
      <c r="M1251" s="31">
        <v>9415.6300000365027</v>
      </c>
      <c r="N1251" s="31">
        <v>7363.9499999273003</v>
      </c>
      <c r="O1251" s="34">
        <f t="shared" si="164"/>
        <v>0.24595192569004301</v>
      </c>
      <c r="P1251" s="34">
        <f t="shared" si="165"/>
        <v>0.78209848941587035</v>
      </c>
      <c r="Q1251" s="34">
        <f t="shared" si="166"/>
        <v>0.75404807430995702</v>
      </c>
      <c r="R1251" s="46">
        <f t="shared" si="167"/>
        <v>16.043464052129195</v>
      </c>
    </row>
    <row r="1252" spans="2:18" ht="12.75" customHeight="1" x14ac:dyDescent="0.25">
      <c r="B1252" s="17" t="s">
        <v>0</v>
      </c>
      <c r="C1252" s="44" t="s">
        <v>236</v>
      </c>
      <c r="D1252" s="22" t="s">
        <v>2</v>
      </c>
      <c r="E1252" s="20">
        <v>1</v>
      </c>
      <c r="F1252" s="17" t="s">
        <v>232</v>
      </c>
      <c r="G1252" s="17" t="s">
        <v>247</v>
      </c>
      <c r="H1252" s="17" t="s">
        <v>248</v>
      </c>
      <c r="I1252" s="17" t="s">
        <v>249</v>
      </c>
      <c r="J1252" s="27" t="s">
        <v>237</v>
      </c>
      <c r="K1252" s="29">
        <v>987</v>
      </c>
      <c r="L1252" s="31">
        <v>45470.000000016</v>
      </c>
      <c r="M1252" s="31">
        <v>8908.739999974101</v>
      </c>
      <c r="N1252" s="31">
        <v>6878.1599999936006</v>
      </c>
      <c r="O1252" s="34">
        <f t="shared" si="164"/>
        <v>0.19592566527316838</v>
      </c>
      <c r="P1252" s="34">
        <f t="shared" si="165"/>
        <v>0.77206877740439128</v>
      </c>
      <c r="Q1252" s="34">
        <f t="shared" si="166"/>
        <v>0.80407433472683165</v>
      </c>
      <c r="R1252" s="46">
        <f t="shared" si="167"/>
        <v>6.9687537993856132</v>
      </c>
    </row>
    <row r="1253" spans="2:18" ht="12.75" customHeight="1" x14ac:dyDescent="0.25">
      <c r="B1253" s="17" t="s">
        <v>0</v>
      </c>
      <c r="C1253" s="44" t="s">
        <v>92</v>
      </c>
      <c r="D1253" s="22" t="s">
        <v>9</v>
      </c>
      <c r="E1253" s="20">
        <v>2</v>
      </c>
      <c r="F1253" s="17" t="s">
        <v>232</v>
      </c>
      <c r="G1253" s="17" t="s">
        <v>247</v>
      </c>
      <c r="H1253" s="17" t="s">
        <v>248</v>
      </c>
      <c r="I1253" s="17" t="s">
        <v>249</v>
      </c>
      <c r="J1253" s="27" t="s">
        <v>93</v>
      </c>
      <c r="K1253" s="29">
        <v>268</v>
      </c>
      <c r="L1253" s="31">
        <v>23394</v>
      </c>
      <c r="M1253" s="31">
        <v>8839.6600000039998</v>
      </c>
      <c r="N1253" s="31">
        <v>6527.5000000079999</v>
      </c>
      <c r="O1253" s="34">
        <f t="shared" si="164"/>
        <v>0.37786013507754124</v>
      </c>
      <c r="P1253" s="34">
        <f t="shared" si="165"/>
        <v>0.73843337865993108</v>
      </c>
      <c r="Q1253" s="34">
        <f t="shared" si="166"/>
        <v>0.62213986492245876</v>
      </c>
      <c r="R1253" s="46">
        <f t="shared" si="167"/>
        <v>24.356343283611938</v>
      </c>
    </row>
    <row r="1254" spans="2:18" ht="12.75" customHeight="1" x14ac:dyDescent="0.25">
      <c r="B1254" s="17" t="s">
        <v>0</v>
      </c>
      <c r="C1254" s="44" t="s">
        <v>182</v>
      </c>
      <c r="D1254" s="22" t="s">
        <v>2</v>
      </c>
      <c r="E1254" s="20">
        <v>1</v>
      </c>
      <c r="F1254" s="17" t="s">
        <v>232</v>
      </c>
      <c r="G1254" s="17" t="s">
        <v>247</v>
      </c>
      <c r="H1254" s="17" t="s">
        <v>248</v>
      </c>
      <c r="I1254" s="17" t="s">
        <v>249</v>
      </c>
      <c r="J1254" s="27" t="s">
        <v>183</v>
      </c>
      <c r="K1254" s="29">
        <v>220</v>
      </c>
      <c r="L1254" s="31">
        <v>44095.68</v>
      </c>
      <c r="M1254" s="31">
        <v>7860.7600000179991</v>
      </c>
      <c r="N1254" s="31">
        <v>6277.719999979</v>
      </c>
      <c r="O1254" s="34">
        <f t="shared" si="164"/>
        <v>0.17826598886825193</v>
      </c>
      <c r="P1254" s="34">
        <f t="shared" si="165"/>
        <v>0.79861489219421855</v>
      </c>
      <c r="Q1254" s="34">
        <f t="shared" si="166"/>
        <v>0.82173401113174804</v>
      </c>
      <c r="R1254" s="46">
        <f t="shared" si="167"/>
        <v>28.535090908995453</v>
      </c>
    </row>
    <row r="1255" spans="2:18" ht="12.75" customHeight="1" x14ac:dyDescent="0.25">
      <c r="B1255" s="17" t="s">
        <v>0</v>
      </c>
      <c r="C1255" s="44" t="s">
        <v>62</v>
      </c>
      <c r="D1255" s="22" t="s">
        <v>9</v>
      </c>
      <c r="E1255" s="20">
        <v>2</v>
      </c>
      <c r="F1255" s="17" t="s">
        <v>232</v>
      </c>
      <c r="G1255" s="17" t="s">
        <v>247</v>
      </c>
      <c r="H1255" s="17" t="s">
        <v>248</v>
      </c>
      <c r="I1255" s="17" t="s">
        <v>249</v>
      </c>
      <c r="J1255" s="27" t="s">
        <v>63</v>
      </c>
      <c r="K1255" s="29">
        <v>175</v>
      </c>
      <c r="L1255" s="31">
        <v>15163.5</v>
      </c>
      <c r="M1255" s="31">
        <v>6903.420000008</v>
      </c>
      <c r="N1255" s="31">
        <v>5977.8600000219994</v>
      </c>
      <c r="O1255" s="34">
        <f t="shared" si="164"/>
        <v>0.45526560490704654</v>
      </c>
      <c r="P1255" s="34">
        <f t="shared" si="165"/>
        <v>0.86592732298122843</v>
      </c>
      <c r="Q1255" s="34">
        <f t="shared" si="166"/>
        <v>0.54473439509295352</v>
      </c>
      <c r="R1255" s="46">
        <f t="shared" si="167"/>
        <v>34.159200000125708</v>
      </c>
    </row>
    <row r="1256" spans="2:18" ht="12.75" customHeight="1" x14ac:dyDescent="0.25">
      <c r="B1256" s="17" t="s">
        <v>0</v>
      </c>
      <c r="C1256" s="44" t="s">
        <v>44</v>
      </c>
      <c r="D1256" s="22" t="s">
        <v>2</v>
      </c>
      <c r="E1256" s="20">
        <v>1</v>
      </c>
      <c r="F1256" s="17" t="s">
        <v>232</v>
      </c>
      <c r="G1256" s="17" t="s">
        <v>247</v>
      </c>
      <c r="H1256" s="17" t="s">
        <v>248</v>
      </c>
      <c r="I1256" s="17" t="s">
        <v>249</v>
      </c>
      <c r="J1256" s="27" t="s">
        <v>45</v>
      </c>
      <c r="K1256" s="29">
        <v>819</v>
      </c>
      <c r="L1256" s="31">
        <v>55688.000000059998</v>
      </c>
      <c r="M1256" s="31">
        <v>7507.4900000163998</v>
      </c>
      <c r="N1256" s="31">
        <v>5588.2400000000998</v>
      </c>
      <c r="O1256" s="34">
        <f t="shared" si="164"/>
        <v>0.13481342479543729</v>
      </c>
      <c r="P1256" s="34">
        <f t="shared" si="165"/>
        <v>0.74435530383495585</v>
      </c>
      <c r="Q1256" s="34">
        <f t="shared" si="166"/>
        <v>0.86518657520456266</v>
      </c>
      <c r="R1256" s="46">
        <f t="shared" si="167"/>
        <v>6.8232478632479854</v>
      </c>
    </row>
    <row r="1257" spans="2:18" ht="12.75" customHeight="1" x14ac:dyDescent="0.25">
      <c r="B1257" s="17" t="s">
        <v>0</v>
      </c>
      <c r="C1257" s="44" t="s">
        <v>32</v>
      </c>
      <c r="D1257" s="22" t="s">
        <v>2</v>
      </c>
      <c r="E1257" s="20">
        <v>1</v>
      </c>
      <c r="F1257" s="17" t="s">
        <v>232</v>
      </c>
      <c r="G1257" s="17" t="s">
        <v>247</v>
      </c>
      <c r="H1257" s="17" t="s">
        <v>248</v>
      </c>
      <c r="I1257" s="17" t="s">
        <v>249</v>
      </c>
      <c r="J1257" s="27" t="s">
        <v>33</v>
      </c>
      <c r="K1257" s="29">
        <v>141</v>
      </c>
      <c r="L1257" s="31">
        <v>23381.149999999998</v>
      </c>
      <c r="M1257" s="31">
        <v>5166.7400000019989</v>
      </c>
      <c r="N1257" s="31">
        <v>4084.7699999949996</v>
      </c>
      <c r="O1257" s="34">
        <f t="shared" si="164"/>
        <v>0.22097886545366671</v>
      </c>
      <c r="P1257" s="34">
        <f t="shared" si="165"/>
        <v>0.79058942389077436</v>
      </c>
      <c r="Q1257" s="34">
        <f t="shared" si="166"/>
        <v>0.77902113454633326</v>
      </c>
      <c r="R1257" s="46">
        <f t="shared" si="167"/>
        <v>28.969999999964536</v>
      </c>
    </row>
    <row r="1258" spans="2:18" ht="12.75" customHeight="1" x14ac:dyDescent="0.25">
      <c r="B1258" s="17" t="s">
        <v>0</v>
      </c>
      <c r="C1258" s="44" t="s">
        <v>40</v>
      </c>
      <c r="D1258" s="22" t="s">
        <v>9</v>
      </c>
      <c r="E1258" s="20">
        <v>2</v>
      </c>
      <c r="F1258" s="17" t="s">
        <v>232</v>
      </c>
      <c r="G1258" s="17" t="s">
        <v>247</v>
      </c>
      <c r="H1258" s="17" t="s">
        <v>248</v>
      </c>
      <c r="I1258" s="17" t="s">
        <v>249</v>
      </c>
      <c r="J1258" s="27" t="s">
        <v>41</v>
      </c>
      <c r="K1258" s="29">
        <v>110</v>
      </c>
      <c r="L1258" s="31">
        <v>15603.8</v>
      </c>
      <c r="M1258" s="31">
        <v>5379.2300000289997</v>
      </c>
      <c r="N1258" s="31">
        <v>4076.1799999790001</v>
      </c>
      <c r="O1258" s="34">
        <f t="shared" si="164"/>
        <v>0.34473846114593881</v>
      </c>
      <c r="P1258" s="34">
        <f t="shared" si="165"/>
        <v>0.75776272811480916</v>
      </c>
      <c r="Q1258" s="34">
        <f t="shared" si="166"/>
        <v>0.65526153885406124</v>
      </c>
      <c r="R1258" s="46">
        <f t="shared" si="167"/>
        <v>37.056181817990911</v>
      </c>
    </row>
    <row r="1259" spans="2:18" ht="12.75" customHeight="1" x14ac:dyDescent="0.25">
      <c r="B1259" s="17" t="s">
        <v>0</v>
      </c>
      <c r="C1259" s="44" t="s">
        <v>60</v>
      </c>
      <c r="D1259" s="22" t="s">
        <v>9</v>
      </c>
      <c r="E1259" s="20">
        <v>2</v>
      </c>
      <c r="F1259" s="17" t="s">
        <v>232</v>
      </c>
      <c r="G1259" s="17" t="s">
        <v>247</v>
      </c>
      <c r="H1259" s="17" t="s">
        <v>248</v>
      </c>
      <c r="I1259" s="17" t="s">
        <v>249</v>
      </c>
      <c r="J1259" s="27" t="s">
        <v>61</v>
      </c>
      <c r="K1259" s="29">
        <v>335</v>
      </c>
      <c r="L1259" s="31">
        <v>56471.000000299995</v>
      </c>
      <c r="M1259" s="31">
        <v>5800.2999999989997</v>
      </c>
      <c r="N1259" s="31">
        <v>4003.4600000179998</v>
      </c>
      <c r="O1259" s="34">
        <f t="shared" si="164"/>
        <v>0.10271289688456352</v>
      </c>
      <c r="P1259" s="34">
        <f t="shared" si="165"/>
        <v>0.69021602331236143</v>
      </c>
      <c r="Q1259" s="34">
        <f t="shared" si="166"/>
        <v>0.89728710311543647</v>
      </c>
      <c r="R1259" s="46">
        <f t="shared" si="167"/>
        <v>11.950626865725372</v>
      </c>
    </row>
    <row r="1260" spans="2:18" ht="12.75" customHeight="1" x14ac:dyDescent="0.25">
      <c r="B1260" s="17" t="s">
        <v>0</v>
      </c>
      <c r="C1260" s="44" t="s">
        <v>52</v>
      </c>
      <c r="D1260" s="22" t="s">
        <v>9</v>
      </c>
      <c r="E1260" s="20">
        <v>2</v>
      </c>
      <c r="F1260" s="17" t="s">
        <v>232</v>
      </c>
      <c r="G1260" s="17" t="s">
        <v>247</v>
      </c>
      <c r="H1260" s="17" t="s">
        <v>248</v>
      </c>
      <c r="I1260" s="17" t="s">
        <v>249</v>
      </c>
      <c r="J1260" s="27" t="s">
        <v>53</v>
      </c>
      <c r="K1260" s="29">
        <v>112</v>
      </c>
      <c r="L1260" s="31">
        <v>13499.079999699999</v>
      </c>
      <c r="M1260" s="31">
        <v>4591.850000032</v>
      </c>
      <c r="N1260" s="31">
        <v>3658.5100000100001</v>
      </c>
      <c r="O1260" s="34">
        <f t="shared" si="164"/>
        <v>0.34016021833591981</v>
      </c>
      <c r="P1260" s="34">
        <f t="shared" si="165"/>
        <v>0.79673987608142782</v>
      </c>
      <c r="Q1260" s="34">
        <f t="shared" si="166"/>
        <v>0.65983978166408019</v>
      </c>
      <c r="R1260" s="46">
        <f t="shared" si="167"/>
        <v>32.665267857232145</v>
      </c>
    </row>
    <row r="1261" spans="2:18" ht="12.75" customHeight="1" x14ac:dyDescent="0.25">
      <c r="B1261" s="17" t="s">
        <v>0</v>
      </c>
      <c r="C1261" s="44" t="s">
        <v>76</v>
      </c>
      <c r="D1261" s="22" t="s">
        <v>9</v>
      </c>
      <c r="E1261" s="20">
        <v>2</v>
      </c>
      <c r="F1261" s="17" t="s">
        <v>232</v>
      </c>
      <c r="G1261" s="17" t="s">
        <v>247</v>
      </c>
      <c r="H1261" s="17" t="s">
        <v>248</v>
      </c>
      <c r="I1261" s="17" t="s">
        <v>249</v>
      </c>
      <c r="J1261" s="27" t="s">
        <v>77</v>
      </c>
      <c r="K1261" s="29">
        <v>118</v>
      </c>
      <c r="L1261" s="31">
        <v>12523.00000032</v>
      </c>
      <c r="M1261" s="31">
        <v>4626.8799999720004</v>
      </c>
      <c r="N1261" s="31">
        <v>3549.2900000199998</v>
      </c>
      <c r="O1261" s="34">
        <f t="shared" si="164"/>
        <v>0.36947057413189888</v>
      </c>
      <c r="P1261" s="34">
        <f t="shared" si="165"/>
        <v>0.76710223736977801</v>
      </c>
      <c r="Q1261" s="34">
        <f t="shared" si="166"/>
        <v>0.63052942586810112</v>
      </c>
      <c r="R1261" s="46">
        <f t="shared" si="167"/>
        <v>30.078728813728812</v>
      </c>
    </row>
    <row r="1262" spans="2:18" ht="12.75" customHeight="1" x14ac:dyDescent="0.25">
      <c r="B1262" s="17" t="s">
        <v>0</v>
      </c>
      <c r="C1262" s="44" t="s">
        <v>103</v>
      </c>
      <c r="D1262" s="22" t="s">
        <v>2</v>
      </c>
      <c r="E1262" s="20">
        <v>1</v>
      </c>
      <c r="F1262" s="17" t="s">
        <v>232</v>
      </c>
      <c r="G1262" s="17" t="s">
        <v>247</v>
      </c>
      <c r="H1262" s="17" t="s">
        <v>248</v>
      </c>
      <c r="I1262" s="17" t="s">
        <v>249</v>
      </c>
      <c r="J1262" s="27" t="s">
        <v>104</v>
      </c>
      <c r="K1262" s="29">
        <v>463</v>
      </c>
      <c r="L1262" s="31">
        <v>22106.189999941002</v>
      </c>
      <c r="M1262" s="31">
        <v>4610.0400000034006</v>
      </c>
      <c r="N1262" s="31">
        <v>3403.8900000037002</v>
      </c>
      <c r="O1262" s="34">
        <f t="shared" si="164"/>
        <v>0.20854068475914231</v>
      </c>
      <c r="P1262" s="34">
        <f t="shared" si="165"/>
        <v>0.73836452612150638</v>
      </c>
      <c r="Q1262" s="34">
        <f t="shared" si="166"/>
        <v>0.79145931524085766</v>
      </c>
      <c r="R1262" s="46">
        <f t="shared" si="167"/>
        <v>7.3518142548676026</v>
      </c>
    </row>
    <row r="1263" spans="2:18" ht="12.75" customHeight="1" x14ac:dyDescent="0.25">
      <c r="B1263" s="17" t="s">
        <v>0</v>
      </c>
      <c r="C1263" s="44" t="s">
        <v>180</v>
      </c>
      <c r="D1263" s="22" t="s">
        <v>2</v>
      </c>
      <c r="E1263" s="20">
        <v>1</v>
      </c>
      <c r="F1263" s="17" t="s">
        <v>232</v>
      </c>
      <c r="G1263" s="17" t="s">
        <v>247</v>
      </c>
      <c r="H1263" s="17" t="s">
        <v>248</v>
      </c>
      <c r="I1263" s="17" t="s">
        <v>249</v>
      </c>
      <c r="J1263" s="27" t="s">
        <v>181</v>
      </c>
      <c r="K1263" s="29">
        <v>214</v>
      </c>
      <c r="L1263" s="31">
        <v>9781.999999996</v>
      </c>
      <c r="M1263" s="31">
        <v>3165.119999987</v>
      </c>
      <c r="N1263" s="31">
        <v>2503.0200000074997</v>
      </c>
      <c r="O1263" s="34">
        <f t="shared" si="164"/>
        <v>0.32356573297774427</v>
      </c>
      <c r="P1263" s="34">
        <f t="shared" si="165"/>
        <v>0.79081361844662457</v>
      </c>
      <c r="Q1263" s="34">
        <f t="shared" si="166"/>
        <v>0.67643426702225573</v>
      </c>
      <c r="R1263" s="46">
        <f t="shared" si="167"/>
        <v>11.696355140221961</v>
      </c>
    </row>
    <row r="1264" spans="2:18" ht="12.75" customHeight="1" x14ac:dyDescent="0.25">
      <c r="B1264" s="17" t="s">
        <v>0</v>
      </c>
      <c r="C1264" s="44" t="s">
        <v>172</v>
      </c>
      <c r="D1264" s="22" t="s">
        <v>9</v>
      </c>
      <c r="E1264" s="20">
        <v>2</v>
      </c>
      <c r="F1264" s="17" t="s">
        <v>232</v>
      </c>
      <c r="G1264" s="17" t="s">
        <v>247</v>
      </c>
      <c r="H1264" s="17" t="s">
        <v>248</v>
      </c>
      <c r="I1264" s="17" t="s">
        <v>249</v>
      </c>
      <c r="J1264" s="27" t="s">
        <v>173</v>
      </c>
      <c r="K1264" s="29">
        <v>21370</v>
      </c>
      <c r="L1264" s="31">
        <v>64110</v>
      </c>
      <c r="M1264" s="31">
        <v>2808.8900005656001</v>
      </c>
      <c r="N1264" s="31">
        <v>2186.4699996749</v>
      </c>
      <c r="O1264" s="34">
        <f t="shared" si="164"/>
        <v>4.3813601631034163E-2</v>
      </c>
      <c r="P1264" s="34">
        <f t="shared" si="165"/>
        <v>0.77841068864734142</v>
      </c>
      <c r="Q1264" s="34">
        <f t="shared" si="166"/>
        <v>0.9561863983689658</v>
      </c>
      <c r="R1264" s="46">
        <f t="shared" si="167"/>
        <v>0.10231492745320075</v>
      </c>
    </row>
    <row r="1265" spans="2:18" ht="12.75" customHeight="1" x14ac:dyDescent="0.25">
      <c r="B1265" s="17" t="s">
        <v>0</v>
      </c>
      <c r="C1265" s="44" t="s">
        <v>38</v>
      </c>
      <c r="D1265" s="22" t="s">
        <v>2</v>
      </c>
      <c r="E1265" s="20">
        <v>1</v>
      </c>
      <c r="F1265" s="17" t="s">
        <v>232</v>
      </c>
      <c r="G1265" s="17" t="s">
        <v>247</v>
      </c>
      <c r="H1265" s="17" t="s">
        <v>248</v>
      </c>
      <c r="I1265" s="17" t="s">
        <v>249</v>
      </c>
      <c r="J1265" s="27" t="s">
        <v>39</v>
      </c>
      <c r="K1265" s="29">
        <v>251</v>
      </c>
      <c r="L1265" s="31">
        <v>8573</v>
      </c>
      <c r="M1265" s="31">
        <v>2684.4899999945001</v>
      </c>
      <c r="N1265" s="31">
        <v>1958.8499999840999</v>
      </c>
      <c r="O1265" s="34">
        <f t="shared" si="164"/>
        <v>0.31313309226577629</v>
      </c>
      <c r="P1265" s="34">
        <f t="shared" si="165"/>
        <v>0.7296916732742954</v>
      </c>
      <c r="Q1265" s="34">
        <f t="shared" si="166"/>
        <v>0.68686690773422376</v>
      </c>
      <c r="R1265" s="46">
        <f t="shared" si="167"/>
        <v>7.8041832668689235</v>
      </c>
    </row>
    <row r="1266" spans="2:18" ht="12.75" customHeight="1" x14ac:dyDescent="0.25">
      <c r="B1266" s="17" t="s">
        <v>0</v>
      </c>
      <c r="C1266" s="44" t="s">
        <v>96</v>
      </c>
      <c r="D1266" s="22" t="s">
        <v>2</v>
      </c>
      <c r="E1266" s="20">
        <v>1</v>
      </c>
      <c r="F1266" s="17" t="s">
        <v>232</v>
      </c>
      <c r="G1266" s="17" t="s">
        <v>247</v>
      </c>
      <c r="H1266" s="17" t="s">
        <v>248</v>
      </c>
      <c r="I1266" s="17" t="s">
        <v>249</v>
      </c>
      <c r="J1266" s="27" t="s">
        <v>97</v>
      </c>
      <c r="K1266" s="29">
        <v>104</v>
      </c>
      <c r="L1266" s="31">
        <v>8970</v>
      </c>
      <c r="M1266" s="31">
        <v>2174.5200000159998</v>
      </c>
      <c r="N1266" s="31">
        <v>1758.5199999926001</v>
      </c>
      <c r="O1266" s="34">
        <f t="shared" si="164"/>
        <v>0.24242140468405796</v>
      </c>
      <c r="P1266" s="34">
        <f t="shared" si="165"/>
        <v>0.80869341278979323</v>
      </c>
      <c r="Q1266" s="34">
        <f t="shared" si="166"/>
        <v>0.75757859531594207</v>
      </c>
      <c r="R1266" s="46">
        <f t="shared" si="167"/>
        <v>16.908846153775002</v>
      </c>
    </row>
    <row r="1267" spans="2:18" ht="12.75" customHeight="1" x14ac:dyDescent="0.25">
      <c r="B1267" s="17" t="s">
        <v>0</v>
      </c>
      <c r="C1267" s="44" t="s">
        <v>105</v>
      </c>
      <c r="D1267" s="22" t="s">
        <v>2</v>
      </c>
      <c r="E1267" s="20">
        <v>1</v>
      </c>
      <c r="F1267" s="17" t="s">
        <v>232</v>
      </c>
      <c r="G1267" s="17" t="s">
        <v>247</v>
      </c>
      <c r="H1267" s="17" t="s">
        <v>248</v>
      </c>
      <c r="I1267" s="17" t="s">
        <v>249</v>
      </c>
      <c r="J1267" s="27" t="s">
        <v>106</v>
      </c>
      <c r="K1267" s="29">
        <v>231</v>
      </c>
      <c r="L1267" s="31">
        <v>21533.999999963999</v>
      </c>
      <c r="M1267" s="31">
        <v>1939.4899999923</v>
      </c>
      <c r="N1267" s="31">
        <v>1472.5700000001</v>
      </c>
      <c r="O1267" s="34">
        <f t="shared" si="164"/>
        <v>9.0066406612591368E-2</v>
      </c>
      <c r="P1267" s="34">
        <f t="shared" si="165"/>
        <v>0.75925629933948935</v>
      </c>
      <c r="Q1267" s="34">
        <f t="shared" si="166"/>
        <v>0.90993359338740865</v>
      </c>
      <c r="R1267" s="46">
        <f t="shared" si="167"/>
        <v>6.3747619047623374</v>
      </c>
    </row>
    <row r="1268" spans="2:18" ht="12.75" customHeight="1" x14ac:dyDescent="0.25">
      <c r="B1268" s="17" t="s">
        <v>0</v>
      </c>
      <c r="C1268" s="44" t="s">
        <v>159</v>
      </c>
      <c r="D1268" s="22" t="s">
        <v>9</v>
      </c>
      <c r="E1268" s="20">
        <v>2</v>
      </c>
      <c r="F1268" s="17" t="s">
        <v>232</v>
      </c>
      <c r="G1268" s="17" t="s">
        <v>247</v>
      </c>
      <c r="H1268" s="17" t="s">
        <v>248</v>
      </c>
      <c r="I1268" s="17" t="s">
        <v>249</v>
      </c>
      <c r="J1268" s="27" t="s">
        <v>160</v>
      </c>
      <c r="K1268" s="29">
        <v>13316</v>
      </c>
      <c r="L1268" s="31">
        <v>39948</v>
      </c>
      <c r="M1268" s="31">
        <v>1736.4999994955999</v>
      </c>
      <c r="N1268" s="31">
        <v>1384.1299994428</v>
      </c>
      <c r="O1268" s="34">
        <f t="shared" ref="O1268:O1277" si="168">IFERROR(M1268/L1268,0)</f>
        <v>4.3469009699999998E-2</v>
      </c>
      <c r="P1268" s="34">
        <f t="shared" ref="P1268:P1277" si="169">IFERROR(N1268/M1268,0)</f>
        <v>0.79708033391583499</v>
      </c>
      <c r="Q1268" s="34">
        <f t="shared" ref="Q1268:Q1277" si="170">IFERROR(1-(M1268/L1268),0)</f>
        <v>0.95653099029999999</v>
      </c>
      <c r="R1268" s="46">
        <f t="shared" ref="R1268:R1277" si="171">IFERROR(N1268/K1268,0)</f>
        <v>0.1039448783</v>
      </c>
    </row>
    <row r="1269" spans="2:18" ht="12.75" customHeight="1" x14ac:dyDescent="0.25">
      <c r="B1269" s="17" t="s">
        <v>0</v>
      </c>
      <c r="C1269" s="44" t="s">
        <v>74</v>
      </c>
      <c r="D1269" s="22" t="s">
        <v>2</v>
      </c>
      <c r="E1269" s="20">
        <v>1</v>
      </c>
      <c r="F1269" s="17" t="s">
        <v>232</v>
      </c>
      <c r="G1269" s="17" t="s">
        <v>247</v>
      </c>
      <c r="H1269" s="17" t="s">
        <v>248</v>
      </c>
      <c r="I1269" s="17" t="s">
        <v>249</v>
      </c>
      <c r="J1269" s="27" t="s">
        <v>75</v>
      </c>
      <c r="K1269" s="29">
        <v>62</v>
      </c>
      <c r="L1269" s="31">
        <v>5405</v>
      </c>
      <c r="M1269" s="31">
        <v>1248.3699999925</v>
      </c>
      <c r="N1269" s="31">
        <v>994.63000000249986</v>
      </c>
      <c r="O1269" s="34">
        <f t="shared" si="168"/>
        <v>0.23096577243154487</v>
      </c>
      <c r="P1269" s="34">
        <f t="shared" si="169"/>
        <v>0.79674295281725405</v>
      </c>
      <c r="Q1269" s="34">
        <f t="shared" si="170"/>
        <v>0.76903422756845519</v>
      </c>
      <c r="R1269" s="46">
        <f t="shared" si="171"/>
        <v>16.04241935487903</v>
      </c>
    </row>
    <row r="1270" spans="2:18" ht="12.75" customHeight="1" x14ac:dyDescent="0.25">
      <c r="B1270" s="17" t="s">
        <v>0</v>
      </c>
      <c r="C1270" s="44" t="s">
        <v>170</v>
      </c>
      <c r="D1270" s="22" t="s">
        <v>2</v>
      </c>
      <c r="E1270" s="20">
        <v>1</v>
      </c>
      <c r="F1270" s="17" t="s">
        <v>232</v>
      </c>
      <c r="G1270" s="17" t="s">
        <v>247</v>
      </c>
      <c r="H1270" s="17" t="s">
        <v>248</v>
      </c>
      <c r="I1270" s="17" t="s">
        <v>249</v>
      </c>
      <c r="J1270" s="27" t="s">
        <v>171</v>
      </c>
      <c r="K1270" s="29">
        <v>26</v>
      </c>
      <c r="L1270" s="31">
        <v>6331</v>
      </c>
      <c r="M1270" s="31">
        <v>1187.3699999979999</v>
      </c>
      <c r="N1270" s="31">
        <v>953.92999999699987</v>
      </c>
      <c r="O1270" s="34">
        <f t="shared" si="168"/>
        <v>0.18754857052566734</v>
      </c>
      <c r="P1270" s="34">
        <f t="shared" si="169"/>
        <v>0.80339742455898899</v>
      </c>
      <c r="Q1270" s="34">
        <f t="shared" si="170"/>
        <v>0.81245142947433269</v>
      </c>
      <c r="R1270" s="46">
        <f t="shared" si="171"/>
        <v>36.689615384499994</v>
      </c>
    </row>
    <row r="1271" spans="2:18" ht="12.75" customHeight="1" x14ac:dyDescent="0.25">
      <c r="B1271" s="17" t="s">
        <v>0</v>
      </c>
      <c r="C1271" s="44" t="s">
        <v>176</v>
      </c>
      <c r="D1271" s="22" t="s">
        <v>9</v>
      </c>
      <c r="E1271" s="20">
        <v>2</v>
      </c>
      <c r="F1271" s="17" t="s">
        <v>232</v>
      </c>
      <c r="G1271" s="17" t="s">
        <v>247</v>
      </c>
      <c r="H1271" s="17" t="s">
        <v>248</v>
      </c>
      <c r="I1271" s="17" t="s">
        <v>249</v>
      </c>
      <c r="J1271" s="27" t="s">
        <v>177</v>
      </c>
      <c r="K1271" s="29">
        <v>3583</v>
      </c>
      <c r="L1271" s="31">
        <v>29867.9999995</v>
      </c>
      <c r="M1271" s="31">
        <v>1444.0700000032</v>
      </c>
      <c r="N1271" s="31">
        <v>935.91999998790004</v>
      </c>
      <c r="O1271" s="34">
        <f t="shared" si="168"/>
        <v>4.8348399625933243E-2</v>
      </c>
      <c r="P1271" s="34">
        <f t="shared" si="169"/>
        <v>0.64811262610941722</v>
      </c>
      <c r="Q1271" s="34">
        <f t="shared" si="170"/>
        <v>0.95165160037406671</v>
      </c>
      <c r="R1271" s="46">
        <f t="shared" si="171"/>
        <v>0.26121127546410833</v>
      </c>
    </row>
    <row r="1272" spans="2:18" ht="12.75" customHeight="1" x14ac:dyDescent="0.25">
      <c r="B1272" s="17" t="s">
        <v>0</v>
      </c>
      <c r="C1272" s="44" t="s">
        <v>151</v>
      </c>
      <c r="D1272" s="22" t="s">
        <v>9</v>
      </c>
      <c r="E1272" s="20">
        <v>2</v>
      </c>
      <c r="F1272" s="17" t="s">
        <v>232</v>
      </c>
      <c r="G1272" s="17" t="s">
        <v>247</v>
      </c>
      <c r="H1272" s="17" t="s">
        <v>248</v>
      </c>
      <c r="I1272" s="17" t="s">
        <v>249</v>
      </c>
      <c r="J1272" s="27" t="s">
        <v>152</v>
      </c>
      <c r="K1272" s="29">
        <v>32</v>
      </c>
      <c r="L1272" s="31">
        <v>12800</v>
      </c>
      <c r="M1272" s="31">
        <v>1107.2</v>
      </c>
      <c r="N1272" s="31">
        <v>882.16</v>
      </c>
      <c r="O1272" s="34">
        <f t="shared" si="168"/>
        <v>8.6500000000000007E-2</v>
      </c>
      <c r="P1272" s="34">
        <f t="shared" si="169"/>
        <v>0.79674855491329477</v>
      </c>
      <c r="Q1272" s="34">
        <f t="shared" si="170"/>
        <v>0.91349999999999998</v>
      </c>
      <c r="R1272" s="46">
        <f t="shared" si="171"/>
        <v>27.567499999999999</v>
      </c>
    </row>
    <row r="1273" spans="2:18" ht="12.75" customHeight="1" x14ac:dyDescent="0.25">
      <c r="B1273" s="17" t="s">
        <v>0</v>
      </c>
      <c r="C1273" s="44" t="s">
        <v>60</v>
      </c>
      <c r="D1273" s="22" t="s">
        <v>2</v>
      </c>
      <c r="E1273" s="20">
        <v>1</v>
      </c>
      <c r="F1273" s="17" t="s">
        <v>232</v>
      </c>
      <c r="G1273" s="17" t="s">
        <v>247</v>
      </c>
      <c r="H1273" s="17" t="s">
        <v>248</v>
      </c>
      <c r="I1273" s="17" t="s">
        <v>249</v>
      </c>
      <c r="J1273" s="27" t="s">
        <v>61</v>
      </c>
      <c r="K1273" s="29">
        <v>87</v>
      </c>
      <c r="L1273" s="31">
        <v>5313</v>
      </c>
      <c r="M1273" s="31">
        <v>795.73999999810007</v>
      </c>
      <c r="N1273" s="31">
        <v>582.42999999749998</v>
      </c>
      <c r="O1273" s="34">
        <f t="shared" si="168"/>
        <v>0.14977225672842087</v>
      </c>
      <c r="P1273" s="34">
        <f t="shared" si="169"/>
        <v>0.73193505416202609</v>
      </c>
      <c r="Q1273" s="34">
        <f t="shared" si="170"/>
        <v>0.85022774327157913</v>
      </c>
      <c r="R1273" s="46">
        <f t="shared" si="171"/>
        <v>6.6945977011206894</v>
      </c>
    </row>
    <row r="1274" spans="2:18" ht="12.75" customHeight="1" x14ac:dyDescent="0.25">
      <c r="B1274" s="17" t="s">
        <v>0</v>
      </c>
      <c r="C1274" s="44" t="s">
        <v>72</v>
      </c>
      <c r="D1274" s="22" t="s">
        <v>2</v>
      </c>
      <c r="E1274" s="20">
        <v>1</v>
      </c>
      <c r="F1274" s="17" t="s">
        <v>232</v>
      </c>
      <c r="G1274" s="17" t="s">
        <v>247</v>
      </c>
      <c r="H1274" s="17" t="s">
        <v>248</v>
      </c>
      <c r="I1274" s="17" t="s">
        <v>249</v>
      </c>
      <c r="J1274" s="27" t="s">
        <v>73</v>
      </c>
      <c r="K1274" s="29">
        <v>62</v>
      </c>
      <c r="L1274" s="31">
        <v>3250.0500000009997</v>
      </c>
      <c r="M1274" s="31">
        <v>669.71999998299998</v>
      </c>
      <c r="N1274" s="31">
        <v>508.6700000015</v>
      </c>
      <c r="O1274" s="34">
        <f t="shared" si="168"/>
        <v>0.20606452207898154</v>
      </c>
      <c r="P1274" s="34">
        <f t="shared" si="169"/>
        <v>0.75952636925045092</v>
      </c>
      <c r="Q1274" s="34">
        <f t="shared" si="170"/>
        <v>0.79393547792101848</v>
      </c>
      <c r="R1274" s="46">
        <f t="shared" si="171"/>
        <v>8.2043548387338703</v>
      </c>
    </row>
    <row r="1275" spans="2:18" ht="12.75" customHeight="1" x14ac:dyDescent="0.25">
      <c r="B1275" s="17" t="s">
        <v>0</v>
      </c>
      <c r="C1275" s="44" t="s">
        <v>182</v>
      </c>
      <c r="D1275" s="22" t="s">
        <v>9</v>
      </c>
      <c r="E1275" s="20">
        <v>2</v>
      </c>
      <c r="F1275" s="17" t="s">
        <v>232</v>
      </c>
      <c r="G1275" s="17" t="s">
        <v>247</v>
      </c>
      <c r="H1275" s="17" t="s">
        <v>248</v>
      </c>
      <c r="I1275" s="17" t="s">
        <v>249</v>
      </c>
      <c r="J1275" s="27" t="s">
        <v>183</v>
      </c>
      <c r="K1275" s="29">
        <v>21</v>
      </c>
      <c r="L1275" s="31">
        <v>2835</v>
      </c>
      <c r="M1275" s="31">
        <v>665.38999999499993</v>
      </c>
      <c r="N1275" s="31">
        <v>398.30000000699999</v>
      </c>
      <c r="O1275" s="34">
        <f t="shared" si="168"/>
        <v>0.23470546737037035</v>
      </c>
      <c r="P1275" s="34">
        <f t="shared" si="169"/>
        <v>0.59859631195237839</v>
      </c>
      <c r="Q1275" s="34">
        <f t="shared" si="170"/>
        <v>0.76529453262962965</v>
      </c>
      <c r="R1275" s="46">
        <f t="shared" si="171"/>
        <v>18.966666666999998</v>
      </c>
    </row>
    <row r="1276" spans="2:18" ht="12.75" customHeight="1" x14ac:dyDescent="0.25">
      <c r="B1276" s="17" t="s">
        <v>0</v>
      </c>
      <c r="C1276" s="44" t="s">
        <v>137</v>
      </c>
      <c r="D1276" s="22" t="s">
        <v>9</v>
      </c>
      <c r="E1276" s="20">
        <v>2</v>
      </c>
      <c r="F1276" s="17" t="s">
        <v>232</v>
      </c>
      <c r="G1276" s="17" t="s">
        <v>247</v>
      </c>
      <c r="H1276" s="17" t="s">
        <v>248</v>
      </c>
      <c r="I1276" s="17" t="s">
        <v>249</v>
      </c>
      <c r="J1276" s="27" t="s">
        <v>138</v>
      </c>
      <c r="K1276" s="29">
        <v>11</v>
      </c>
      <c r="L1276" s="31">
        <v>814</v>
      </c>
      <c r="M1276" s="31">
        <v>537.02</v>
      </c>
      <c r="N1276" s="31">
        <v>349.55999999800002</v>
      </c>
      <c r="O1276" s="34">
        <f t="shared" si="168"/>
        <v>0.65972972972972965</v>
      </c>
      <c r="P1276" s="34">
        <f t="shared" si="169"/>
        <v>0.65092547763211805</v>
      </c>
      <c r="Q1276" s="34">
        <f t="shared" si="170"/>
        <v>0.34027027027027035</v>
      </c>
      <c r="R1276" s="46">
        <f t="shared" si="171"/>
        <v>31.778181818000004</v>
      </c>
    </row>
    <row r="1277" spans="2:18" ht="12.75" customHeight="1" thickBot="1" x14ac:dyDescent="0.3">
      <c r="B1277" s="15" t="s">
        <v>0</v>
      </c>
      <c r="C1277" s="50" t="s">
        <v>64</v>
      </c>
      <c r="D1277" s="19" t="s">
        <v>9</v>
      </c>
      <c r="E1277" s="16">
        <v>2</v>
      </c>
      <c r="F1277" s="15" t="s">
        <v>232</v>
      </c>
      <c r="G1277" s="15" t="s">
        <v>247</v>
      </c>
      <c r="H1277" s="15" t="s">
        <v>248</v>
      </c>
      <c r="I1277" s="15" t="s">
        <v>249</v>
      </c>
      <c r="J1277" s="24" t="s">
        <v>65</v>
      </c>
      <c r="K1277" s="26">
        <v>22</v>
      </c>
      <c r="L1277" s="28">
        <v>717.42</v>
      </c>
      <c r="M1277" s="28">
        <v>225.69999999799998</v>
      </c>
      <c r="N1277" s="28">
        <v>182.9800000006</v>
      </c>
      <c r="O1277" s="32">
        <f t="shared" si="168"/>
        <v>0.31459953722784423</v>
      </c>
      <c r="P1277" s="32">
        <f t="shared" si="169"/>
        <v>0.81072219761728603</v>
      </c>
      <c r="Q1277" s="32">
        <f t="shared" si="170"/>
        <v>0.68540046277215572</v>
      </c>
      <c r="R1277" s="49">
        <f t="shared" si="171"/>
        <v>8.3172727273000007</v>
      </c>
    </row>
    <row r="1278" spans="2:18" ht="17.25" customHeight="1" x14ac:dyDescent="0.25">
      <c r="B1278" s="48"/>
      <c r="C1278" s="58"/>
      <c r="D1278" s="51" t="s">
        <v>366</v>
      </c>
      <c r="E1278" s="52"/>
      <c r="F1278" s="52"/>
      <c r="G1278" s="53"/>
      <c r="H1278" s="53"/>
      <c r="I1278" s="53"/>
      <c r="J1278" s="54"/>
      <c r="K1278" s="55">
        <f>SUM(K1172:K1277)</f>
        <v>14224555</v>
      </c>
      <c r="L1278" s="56">
        <f>SUM(L1172:L1277)</f>
        <v>674188621.89885378</v>
      </c>
      <c r="M1278" s="56">
        <f>SUM(M1172:M1277)</f>
        <v>157346730.77487537</v>
      </c>
      <c r="N1278" s="56">
        <f>SUM(N1172:N1277)</f>
        <v>127597433.91605549</v>
      </c>
      <c r="O1278" s="57">
        <f>IFERROR(M1278/L1278,0)</f>
        <v>0.2333868084746194</v>
      </c>
      <c r="P1278" s="57">
        <f>IFERROR(N1278/M1278,0)</f>
        <v>0.81093158585300484</v>
      </c>
      <c r="Q1278" s="57">
        <f>IFERROR(1-(M1278/L1278),0)</f>
        <v>0.76661319152538066</v>
      </c>
      <c r="R1278" s="59">
        <f>IFERROR(N1278/K1278,0)</f>
        <v>8.9702232453708035</v>
      </c>
    </row>
    <row r="1279" spans="2:18" ht="15.75" thickBot="1" x14ac:dyDescent="0.3">
      <c r="B1279" s="60"/>
      <c r="C1279" s="64"/>
      <c r="D1279" s="62" t="s">
        <v>249</v>
      </c>
      <c r="E1279" s="61"/>
      <c r="F1279" s="61"/>
      <c r="G1279" s="61"/>
      <c r="H1279" s="61"/>
      <c r="I1279" s="61"/>
      <c r="J1279" s="61"/>
      <c r="K1279" s="63"/>
      <c r="L1279" s="63"/>
      <c r="M1279" s="63"/>
      <c r="N1279" s="63"/>
      <c r="O1279" s="63"/>
      <c r="P1279" s="63"/>
      <c r="Q1279" s="63"/>
      <c r="R1279" s="65"/>
    </row>
    <row r="1280" spans="2:18" ht="15.75" thickBot="1" x14ac:dyDescent="0.3"/>
    <row r="1281" spans="2:18" ht="15.75" x14ac:dyDescent="0.25">
      <c r="B1281" s="1"/>
      <c r="C1281" s="7" t="s">
        <v>348</v>
      </c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9"/>
    </row>
    <row r="1282" spans="2:18" ht="18" x14ac:dyDescent="0.25">
      <c r="B1282" s="2"/>
      <c r="C1282" s="8" t="s">
        <v>254</v>
      </c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10"/>
    </row>
    <row r="1283" spans="2:18" ht="15.75" thickBot="1" x14ac:dyDescent="0.3">
      <c r="B1283" s="3"/>
      <c r="C1283" s="11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12"/>
    </row>
    <row r="1284" spans="2:18" ht="17.25" customHeight="1" thickBot="1" x14ac:dyDescent="0.3">
      <c r="B1284" s="14" t="s">
        <v>349</v>
      </c>
      <c r="C1284" s="18" t="s">
        <v>350</v>
      </c>
      <c r="D1284" s="21" t="s">
        <v>351</v>
      </c>
      <c r="E1284" s="23" t="s">
        <v>352</v>
      </c>
      <c r="F1284" s="21" t="s">
        <v>353</v>
      </c>
      <c r="G1284" s="23" t="s">
        <v>354</v>
      </c>
      <c r="H1284" s="23" t="s">
        <v>355</v>
      </c>
      <c r="I1284" s="23" t="s">
        <v>356</v>
      </c>
      <c r="J1284" s="25" t="s">
        <v>357</v>
      </c>
      <c r="K1284" s="25" t="s">
        <v>358</v>
      </c>
      <c r="L1284" s="30" t="s">
        <v>359</v>
      </c>
      <c r="M1284" s="30" t="s">
        <v>360</v>
      </c>
      <c r="N1284" s="30" t="s">
        <v>361</v>
      </c>
      <c r="O1284" s="33" t="s">
        <v>362</v>
      </c>
      <c r="P1284" s="33" t="s">
        <v>363</v>
      </c>
      <c r="Q1284" s="33" t="s">
        <v>364</v>
      </c>
      <c r="R1284" s="35" t="s">
        <v>365</v>
      </c>
    </row>
    <row r="1285" spans="2:18" ht="12.75" customHeight="1" x14ac:dyDescent="0.25">
      <c r="B1285" s="17" t="s">
        <v>0</v>
      </c>
      <c r="C1285" s="43" t="s">
        <v>14</v>
      </c>
      <c r="D1285" s="37" t="s">
        <v>9</v>
      </c>
      <c r="E1285" s="36">
        <v>2</v>
      </c>
      <c r="F1285" s="38" t="s">
        <v>232</v>
      </c>
      <c r="G1285" s="38" t="s">
        <v>252</v>
      </c>
      <c r="H1285" s="38" t="s">
        <v>253</v>
      </c>
      <c r="I1285" s="38" t="s">
        <v>254</v>
      </c>
      <c r="J1285" s="39" t="s">
        <v>15</v>
      </c>
      <c r="K1285" s="40">
        <v>294645</v>
      </c>
      <c r="L1285" s="41">
        <v>172857070.73001367</v>
      </c>
      <c r="M1285" s="41">
        <v>46008455.249980502</v>
      </c>
      <c r="N1285" s="41">
        <v>34500800.320008397</v>
      </c>
      <c r="O1285" s="42">
        <f t="shared" ref="O1285:O1316" si="172">IFERROR(M1285/L1285,0)</f>
        <v>0.26616472820970882</v>
      </c>
      <c r="P1285" s="42">
        <f t="shared" ref="P1285:P1316" si="173">IFERROR(N1285/M1285,0)</f>
        <v>0.74987956306190084</v>
      </c>
      <c r="Q1285" s="42">
        <f t="shared" ref="Q1285:Q1316" si="174">IFERROR(1-(M1285/L1285),0)</f>
        <v>0.73383527179029118</v>
      </c>
      <c r="R1285" s="45">
        <f t="shared" ref="R1285:R1316" si="175">IFERROR(N1285/K1285,0)</f>
        <v>117.09277374470429</v>
      </c>
    </row>
    <row r="1286" spans="2:18" ht="12.75" customHeight="1" x14ac:dyDescent="0.25">
      <c r="B1286" s="17" t="s">
        <v>0</v>
      </c>
      <c r="C1286" s="44" t="s">
        <v>12</v>
      </c>
      <c r="D1286" s="22" t="s">
        <v>9</v>
      </c>
      <c r="E1286" s="20">
        <v>2</v>
      </c>
      <c r="F1286" s="17" t="s">
        <v>232</v>
      </c>
      <c r="G1286" s="17" t="s">
        <v>252</v>
      </c>
      <c r="H1286" s="17" t="s">
        <v>253</v>
      </c>
      <c r="I1286" s="17" t="s">
        <v>254</v>
      </c>
      <c r="J1286" s="27" t="s">
        <v>13</v>
      </c>
      <c r="K1286" s="29">
        <v>89430</v>
      </c>
      <c r="L1286" s="31">
        <v>51380562.599970192</v>
      </c>
      <c r="M1286" s="31">
        <v>13880753.480022181</v>
      </c>
      <c r="N1286" s="31">
        <v>10423600.899993882</v>
      </c>
      <c r="O1286" s="34">
        <f t="shared" si="172"/>
        <v>0.27015573161571871</v>
      </c>
      <c r="P1286" s="34">
        <f t="shared" si="173"/>
        <v>0.75093912697145782</v>
      </c>
      <c r="Q1286" s="34">
        <f t="shared" si="174"/>
        <v>0.72984426838428129</v>
      </c>
      <c r="R1286" s="46">
        <f t="shared" si="175"/>
        <v>116.55597562332419</v>
      </c>
    </row>
    <row r="1287" spans="2:18" ht="12.75" customHeight="1" x14ac:dyDescent="0.25">
      <c r="B1287" s="17" t="s">
        <v>0</v>
      </c>
      <c r="C1287" s="44" t="s">
        <v>14</v>
      </c>
      <c r="D1287" s="22" t="s">
        <v>2</v>
      </c>
      <c r="E1287" s="20">
        <v>1</v>
      </c>
      <c r="F1287" s="17" t="s">
        <v>232</v>
      </c>
      <c r="G1287" s="17" t="s">
        <v>252</v>
      </c>
      <c r="H1287" s="17" t="s">
        <v>253</v>
      </c>
      <c r="I1287" s="17" t="s">
        <v>254</v>
      </c>
      <c r="J1287" s="27" t="s">
        <v>15</v>
      </c>
      <c r="K1287" s="29">
        <v>247606</v>
      </c>
      <c r="L1287" s="31">
        <v>68779186.230000123</v>
      </c>
      <c r="M1287" s="31">
        <v>13307266.790005671</v>
      </c>
      <c r="N1287" s="31">
        <v>10188945.760000579</v>
      </c>
      <c r="O1287" s="34">
        <f t="shared" si="172"/>
        <v>0.19347810754122158</v>
      </c>
      <c r="P1287" s="34">
        <f t="shared" si="173"/>
        <v>0.76566780547699809</v>
      </c>
      <c r="Q1287" s="34">
        <f t="shared" si="174"/>
        <v>0.80652189245877848</v>
      </c>
      <c r="R1287" s="46">
        <f t="shared" si="175"/>
        <v>41.149833848939764</v>
      </c>
    </row>
    <row r="1288" spans="2:18" ht="12.75" customHeight="1" x14ac:dyDescent="0.25">
      <c r="B1288" s="17" t="s">
        <v>0</v>
      </c>
      <c r="C1288" s="44" t="s">
        <v>22</v>
      </c>
      <c r="D1288" s="22" t="s">
        <v>9</v>
      </c>
      <c r="E1288" s="20">
        <v>2</v>
      </c>
      <c r="F1288" s="17" t="s">
        <v>232</v>
      </c>
      <c r="G1288" s="17" t="s">
        <v>252</v>
      </c>
      <c r="H1288" s="17" t="s">
        <v>253</v>
      </c>
      <c r="I1288" s="17" t="s">
        <v>254</v>
      </c>
      <c r="J1288" s="27" t="s">
        <v>23</v>
      </c>
      <c r="K1288" s="29">
        <v>56849</v>
      </c>
      <c r="L1288" s="31">
        <v>32626547.210002113</v>
      </c>
      <c r="M1288" s="31">
        <v>9027444.8199920747</v>
      </c>
      <c r="N1288" s="31">
        <v>6918958.949998212</v>
      </c>
      <c r="O1288" s="34">
        <f t="shared" si="172"/>
        <v>0.27669016773017857</v>
      </c>
      <c r="P1288" s="34">
        <f t="shared" si="173"/>
        <v>0.76643602790853571</v>
      </c>
      <c r="Q1288" s="34">
        <f t="shared" si="174"/>
        <v>0.72330983226982148</v>
      </c>
      <c r="R1288" s="46">
        <f t="shared" si="175"/>
        <v>121.70766328340362</v>
      </c>
    </row>
    <row r="1289" spans="2:18" ht="12.75" customHeight="1" x14ac:dyDescent="0.25">
      <c r="B1289" s="17" t="s">
        <v>0</v>
      </c>
      <c r="C1289" s="44" t="s">
        <v>18</v>
      </c>
      <c r="D1289" s="22" t="s">
        <v>9</v>
      </c>
      <c r="E1289" s="20">
        <v>2</v>
      </c>
      <c r="F1289" s="17" t="s">
        <v>232</v>
      </c>
      <c r="G1289" s="17" t="s">
        <v>252</v>
      </c>
      <c r="H1289" s="17" t="s">
        <v>253</v>
      </c>
      <c r="I1289" s="17" t="s">
        <v>254</v>
      </c>
      <c r="J1289" s="27" t="s">
        <v>19</v>
      </c>
      <c r="K1289" s="29">
        <v>100835</v>
      </c>
      <c r="L1289" s="31">
        <v>33766463.799999699</v>
      </c>
      <c r="M1289" s="31">
        <v>8803062.0099870823</v>
      </c>
      <c r="N1289" s="31">
        <v>6449790.059997485</v>
      </c>
      <c r="O1289" s="34">
        <f t="shared" si="172"/>
        <v>0.26070429116083993</v>
      </c>
      <c r="P1289" s="34">
        <f t="shared" si="173"/>
        <v>0.73267574994702889</v>
      </c>
      <c r="Q1289" s="34">
        <f t="shared" si="174"/>
        <v>0.73929570883916007</v>
      </c>
      <c r="R1289" s="46">
        <f t="shared" si="175"/>
        <v>63.963802846209006</v>
      </c>
    </row>
    <row r="1290" spans="2:18" ht="12.75" customHeight="1" x14ac:dyDescent="0.25">
      <c r="B1290" s="17" t="s">
        <v>0</v>
      </c>
      <c r="C1290" s="44" t="s">
        <v>18</v>
      </c>
      <c r="D1290" s="22" t="s">
        <v>2</v>
      </c>
      <c r="E1290" s="20">
        <v>1</v>
      </c>
      <c r="F1290" s="17" t="s">
        <v>232</v>
      </c>
      <c r="G1290" s="17" t="s">
        <v>252</v>
      </c>
      <c r="H1290" s="17" t="s">
        <v>253</v>
      </c>
      <c r="I1290" s="17" t="s">
        <v>254</v>
      </c>
      <c r="J1290" s="27" t="s">
        <v>19</v>
      </c>
      <c r="K1290" s="29">
        <v>281876</v>
      </c>
      <c r="L1290" s="31">
        <v>64124995.430001386</v>
      </c>
      <c r="M1290" s="31">
        <v>8327933.5200007968</v>
      </c>
      <c r="N1290" s="31">
        <v>6235590.4999998165</v>
      </c>
      <c r="O1290" s="34">
        <f t="shared" si="172"/>
        <v>0.12987031755957845</v>
      </c>
      <c r="P1290" s="34">
        <f t="shared" si="173"/>
        <v>0.74875603713983774</v>
      </c>
      <c r="Q1290" s="34">
        <f t="shared" si="174"/>
        <v>0.87012968244042155</v>
      </c>
      <c r="R1290" s="46">
        <f t="shared" si="175"/>
        <v>22.121750344122297</v>
      </c>
    </row>
    <row r="1291" spans="2:18" ht="12.75" customHeight="1" x14ac:dyDescent="0.25">
      <c r="B1291" s="17" t="s">
        <v>0</v>
      </c>
      <c r="C1291" s="44" t="s">
        <v>236</v>
      </c>
      <c r="D1291" s="22" t="s">
        <v>9</v>
      </c>
      <c r="E1291" s="20">
        <v>2</v>
      </c>
      <c r="F1291" s="17" t="s">
        <v>232</v>
      </c>
      <c r="G1291" s="17" t="s">
        <v>252</v>
      </c>
      <c r="H1291" s="17" t="s">
        <v>253</v>
      </c>
      <c r="I1291" s="17" t="s">
        <v>254</v>
      </c>
      <c r="J1291" s="27" t="s">
        <v>237</v>
      </c>
      <c r="K1291" s="29">
        <v>72225</v>
      </c>
      <c r="L1291" s="31">
        <v>36819082.019996189</v>
      </c>
      <c r="M1291" s="31">
        <v>7992201.0900000986</v>
      </c>
      <c r="N1291" s="31">
        <v>5884290.4999984009</v>
      </c>
      <c r="O1291" s="34">
        <f t="shared" si="172"/>
        <v>0.21706682110269859</v>
      </c>
      <c r="P1291" s="34">
        <f t="shared" si="173"/>
        <v>0.73625405989357162</v>
      </c>
      <c r="Q1291" s="34">
        <f t="shared" si="174"/>
        <v>0.78293317889730141</v>
      </c>
      <c r="R1291" s="46">
        <f t="shared" si="175"/>
        <v>81.471658013131204</v>
      </c>
    </row>
    <row r="1292" spans="2:18" ht="12.75" customHeight="1" x14ac:dyDescent="0.25">
      <c r="B1292" s="17" t="s">
        <v>0</v>
      </c>
      <c r="C1292" s="44" t="s">
        <v>30</v>
      </c>
      <c r="D1292" s="22" t="s">
        <v>9</v>
      </c>
      <c r="E1292" s="20">
        <v>2</v>
      </c>
      <c r="F1292" s="17" t="s">
        <v>232</v>
      </c>
      <c r="G1292" s="17" t="s">
        <v>252</v>
      </c>
      <c r="H1292" s="17" t="s">
        <v>253</v>
      </c>
      <c r="I1292" s="17" t="s">
        <v>254</v>
      </c>
      <c r="J1292" s="27" t="s">
        <v>31</v>
      </c>
      <c r="K1292" s="29">
        <v>43991</v>
      </c>
      <c r="L1292" s="31">
        <v>17553048.260000456</v>
      </c>
      <c r="M1292" s="31">
        <v>5801449.5600074679</v>
      </c>
      <c r="N1292" s="31">
        <v>4357646.6000016909</v>
      </c>
      <c r="O1292" s="34">
        <f t="shared" si="172"/>
        <v>0.33050952028814834</v>
      </c>
      <c r="P1292" s="34">
        <f t="shared" si="173"/>
        <v>0.75113065362858755</v>
      </c>
      <c r="Q1292" s="34">
        <f t="shared" si="174"/>
        <v>0.66949047971185172</v>
      </c>
      <c r="R1292" s="46">
        <f t="shared" si="175"/>
        <v>99.057684526418839</v>
      </c>
    </row>
    <row r="1293" spans="2:18" ht="12.75" customHeight="1" x14ac:dyDescent="0.25">
      <c r="B1293" s="17" t="s">
        <v>0</v>
      </c>
      <c r="C1293" s="44" t="s">
        <v>12</v>
      </c>
      <c r="D1293" s="22" t="s">
        <v>2</v>
      </c>
      <c r="E1293" s="20">
        <v>1</v>
      </c>
      <c r="F1293" s="17" t="s">
        <v>232</v>
      </c>
      <c r="G1293" s="17" t="s">
        <v>252</v>
      </c>
      <c r="H1293" s="17" t="s">
        <v>253</v>
      </c>
      <c r="I1293" s="17" t="s">
        <v>254</v>
      </c>
      <c r="J1293" s="27" t="s">
        <v>13</v>
      </c>
      <c r="K1293" s="29">
        <v>85497</v>
      </c>
      <c r="L1293" s="31">
        <v>22081742.970004614</v>
      </c>
      <c r="M1293" s="31">
        <v>4802551.1600017389</v>
      </c>
      <c r="N1293" s="31">
        <v>3688685.830000971</v>
      </c>
      <c r="O1293" s="34">
        <f t="shared" si="172"/>
        <v>0.21748967762759605</v>
      </c>
      <c r="P1293" s="34">
        <f t="shared" si="173"/>
        <v>0.76806799284562655</v>
      </c>
      <c r="Q1293" s="34">
        <f t="shared" si="174"/>
        <v>0.78251032237240392</v>
      </c>
      <c r="R1293" s="46">
        <f t="shared" si="175"/>
        <v>43.144038153396856</v>
      </c>
    </row>
    <row r="1294" spans="2:18" ht="12.75" customHeight="1" x14ac:dyDescent="0.25">
      <c r="B1294" s="17" t="s">
        <v>0</v>
      </c>
      <c r="C1294" s="44" t="s">
        <v>34</v>
      </c>
      <c r="D1294" s="22" t="s">
        <v>9</v>
      </c>
      <c r="E1294" s="20">
        <v>2</v>
      </c>
      <c r="F1294" s="17" t="s">
        <v>232</v>
      </c>
      <c r="G1294" s="17" t="s">
        <v>252</v>
      </c>
      <c r="H1294" s="17" t="s">
        <v>253</v>
      </c>
      <c r="I1294" s="17" t="s">
        <v>254</v>
      </c>
      <c r="J1294" s="27" t="s">
        <v>35</v>
      </c>
      <c r="K1294" s="29">
        <v>157454</v>
      </c>
      <c r="L1294" s="31">
        <v>22105076.680008106</v>
      </c>
      <c r="M1294" s="31">
        <v>4980648.7400005208</v>
      </c>
      <c r="N1294" s="31">
        <v>3622921.6500023524</v>
      </c>
      <c r="O1294" s="34">
        <f t="shared" si="172"/>
        <v>0.22531696279999941</v>
      </c>
      <c r="P1294" s="34">
        <f t="shared" si="173"/>
        <v>0.72739954956188568</v>
      </c>
      <c r="Q1294" s="34">
        <f t="shared" si="174"/>
        <v>0.77468303720000065</v>
      </c>
      <c r="R1294" s="46">
        <f t="shared" si="175"/>
        <v>23.009397347811756</v>
      </c>
    </row>
    <row r="1295" spans="2:18" ht="12.75" customHeight="1" x14ac:dyDescent="0.25">
      <c r="B1295" s="17" t="s">
        <v>0</v>
      </c>
      <c r="C1295" s="44" t="s">
        <v>56</v>
      </c>
      <c r="D1295" s="22" t="s">
        <v>9</v>
      </c>
      <c r="E1295" s="20">
        <v>2</v>
      </c>
      <c r="F1295" s="17" t="s">
        <v>232</v>
      </c>
      <c r="G1295" s="17" t="s">
        <v>252</v>
      </c>
      <c r="H1295" s="17" t="s">
        <v>253</v>
      </c>
      <c r="I1295" s="17" t="s">
        <v>254</v>
      </c>
      <c r="J1295" s="27" t="s">
        <v>57</v>
      </c>
      <c r="K1295" s="29">
        <v>134223</v>
      </c>
      <c r="L1295" s="31">
        <v>12192843.399996107</v>
      </c>
      <c r="M1295" s="31">
        <v>3293195.5300017279</v>
      </c>
      <c r="N1295" s="31">
        <v>2458832.3100037151</v>
      </c>
      <c r="O1295" s="34">
        <f t="shared" si="172"/>
        <v>0.2700924978666403</v>
      </c>
      <c r="P1295" s="34">
        <f t="shared" si="173"/>
        <v>0.7466402427682225</v>
      </c>
      <c r="Q1295" s="34">
        <f t="shared" si="174"/>
        <v>0.72990750213335964</v>
      </c>
      <c r="R1295" s="46">
        <f t="shared" si="175"/>
        <v>18.319008739215448</v>
      </c>
    </row>
    <row r="1296" spans="2:18" ht="12.75" customHeight="1" x14ac:dyDescent="0.25">
      <c r="B1296" s="17" t="s">
        <v>0</v>
      </c>
      <c r="C1296" s="44" t="s">
        <v>54</v>
      </c>
      <c r="D1296" s="22" t="s">
        <v>9</v>
      </c>
      <c r="E1296" s="20">
        <v>2</v>
      </c>
      <c r="F1296" s="17" t="s">
        <v>232</v>
      </c>
      <c r="G1296" s="17" t="s">
        <v>252</v>
      </c>
      <c r="H1296" s="17" t="s">
        <v>253</v>
      </c>
      <c r="I1296" s="17" t="s">
        <v>254</v>
      </c>
      <c r="J1296" s="27" t="s">
        <v>55</v>
      </c>
      <c r="K1296" s="29">
        <v>23888</v>
      </c>
      <c r="L1296" s="31">
        <v>8949605.809997363</v>
      </c>
      <c r="M1296" s="31">
        <v>2817785.5900038863</v>
      </c>
      <c r="N1296" s="31">
        <v>2073488.4900017602</v>
      </c>
      <c r="O1296" s="34">
        <f t="shared" si="172"/>
        <v>0.31485024590202776</v>
      </c>
      <c r="P1296" s="34">
        <f t="shared" si="173"/>
        <v>0.73585743974185791</v>
      </c>
      <c r="Q1296" s="34">
        <f t="shared" si="174"/>
        <v>0.6851497540979723</v>
      </c>
      <c r="R1296" s="46">
        <f t="shared" si="175"/>
        <v>86.800422387883458</v>
      </c>
    </row>
    <row r="1297" spans="2:18" ht="12.75" customHeight="1" x14ac:dyDescent="0.25">
      <c r="B1297" s="17" t="s">
        <v>0</v>
      </c>
      <c r="C1297" s="44" t="s">
        <v>36</v>
      </c>
      <c r="D1297" s="22" t="s">
        <v>9</v>
      </c>
      <c r="E1297" s="20">
        <v>2</v>
      </c>
      <c r="F1297" s="17" t="s">
        <v>232</v>
      </c>
      <c r="G1297" s="17" t="s">
        <v>252</v>
      </c>
      <c r="H1297" s="17" t="s">
        <v>253</v>
      </c>
      <c r="I1297" s="17" t="s">
        <v>254</v>
      </c>
      <c r="J1297" s="27" t="s">
        <v>37</v>
      </c>
      <c r="K1297" s="29">
        <v>10671</v>
      </c>
      <c r="L1297" s="31">
        <v>4313708.6999979895</v>
      </c>
      <c r="M1297" s="31">
        <v>1468441.4200056656</v>
      </c>
      <c r="N1297" s="31">
        <v>1113819.6800011264</v>
      </c>
      <c r="O1297" s="34">
        <f t="shared" si="172"/>
        <v>0.34041274507162478</v>
      </c>
      <c r="P1297" s="34">
        <f t="shared" si="173"/>
        <v>0.7585046736129446</v>
      </c>
      <c r="Q1297" s="34">
        <f t="shared" si="174"/>
        <v>0.65958725492837522</v>
      </c>
      <c r="R1297" s="46">
        <f t="shared" si="175"/>
        <v>104.37819135986565</v>
      </c>
    </row>
    <row r="1298" spans="2:18" ht="12.75" customHeight="1" x14ac:dyDescent="0.25">
      <c r="B1298" s="17" t="s">
        <v>0</v>
      </c>
      <c r="C1298" s="44" t="s">
        <v>114</v>
      </c>
      <c r="D1298" s="22" t="s">
        <v>9</v>
      </c>
      <c r="E1298" s="20">
        <v>2</v>
      </c>
      <c r="F1298" s="17" t="s">
        <v>232</v>
      </c>
      <c r="G1298" s="17" t="s">
        <v>252</v>
      </c>
      <c r="H1298" s="17" t="s">
        <v>253</v>
      </c>
      <c r="I1298" s="17" t="s">
        <v>254</v>
      </c>
      <c r="J1298" s="27" t="s">
        <v>118</v>
      </c>
      <c r="K1298" s="29">
        <v>14417</v>
      </c>
      <c r="L1298" s="31">
        <v>3741345.2600010065</v>
      </c>
      <c r="M1298" s="31">
        <v>1466911.4699988863</v>
      </c>
      <c r="N1298" s="31">
        <v>1071979.469999955</v>
      </c>
      <c r="O1298" s="34">
        <f t="shared" si="172"/>
        <v>0.39208128842898921</v>
      </c>
      <c r="P1298" s="34">
        <f t="shared" si="173"/>
        <v>0.7307731188445673</v>
      </c>
      <c r="Q1298" s="34">
        <f t="shared" si="174"/>
        <v>0.60791871157101074</v>
      </c>
      <c r="R1298" s="46">
        <f t="shared" si="175"/>
        <v>74.355238260383928</v>
      </c>
    </row>
    <row r="1299" spans="2:18" ht="12.75" customHeight="1" x14ac:dyDescent="0.25">
      <c r="B1299" s="17" t="s">
        <v>0</v>
      </c>
      <c r="C1299" s="44" t="s">
        <v>66</v>
      </c>
      <c r="D1299" s="22" t="s">
        <v>9</v>
      </c>
      <c r="E1299" s="20">
        <v>2</v>
      </c>
      <c r="F1299" s="17" t="s">
        <v>232</v>
      </c>
      <c r="G1299" s="17" t="s">
        <v>252</v>
      </c>
      <c r="H1299" s="17" t="s">
        <v>253</v>
      </c>
      <c r="I1299" s="17" t="s">
        <v>254</v>
      </c>
      <c r="J1299" s="27" t="s">
        <v>67</v>
      </c>
      <c r="K1299" s="29">
        <v>8234</v>
      </c>
      <c r="L1299" s="31">
        <v>3502569.4900031998</v>
      </c>
      <c r="M1299" s="31">
        <v>1229421.2199985574</v>
      </c>
      <c r="N1299" s="31">
        <v>967125.67000115954</v>
      </c>
      <c r="O1299" s="34">
        <f t="shared" si="172"/>
        <v>0.35100551852218476</v>
      </c>
      <c r="P1299" s="34">
        <f t="shared" si="173"/>
        <v>0.78665119347972079</v>
      </c>
      <c r="Q1299" s="34">
        <f t="shared" si="174"/>
        <v>0.64899448147781524</v>
      </c>
      <c r="R1299" s="46">
        <f t="shared" si="175"/>
        <v>117.4551457373281</v>
      </c>
    </row>
    <row r="1300" spans="2:18" ht="12.75" customHeight="1" x14ac:dyDescent="0.25">
      <c r="B1300" s="17" t="s">
        <v>0</v>
      </c>
      <c r="C1300" s="44" t="s">
        <v>32</v>
      </c>
      <c r="D1300" s="22" t="s">
        <v>9</v>
      </c>
      <c r="E1300" s="20">
        <v>2</v>
      </c>
      <c r="F1300" s="17" t="s">
        <v>232</v>
      </c>
      <c r="G1300" s="17" t="s">
        <v>252</v>
      </c>
      <c r="H1300" s="17" t="s">
        <v>253</v>
      </c>
      <c r="I1300" s="17" t="s">
        <v>254</v>
      </c>
      <c r="J1300" s="27" t="s">
        <v>33</v>
      </c>
      <c r="K1300" s="29">
        <v>6189</v>
      </c>
      <c r="L1300" s="31">
        <v>3314617.0400002543</v>
      </c>
      <c r="M1300" s="31">
        <v>937747.64999701828</v>
      </c>
      <c r="N1300" s="31">
        <v>709230.45999981568</v>
      </c>
      <c r="O1300" s="34">
        <f t="shared" si="172"/>
        <v>0.28291281879035607</v>
      </c>
      <c r="P1300" s="34">
        <f t="shared" si="173"/>
        <v>0.75631270310522325</v>
      </c>
      <c r="Q1300" s="34">
        <f t="shared" si="174"/>
        <v>0.71708718120964399</v>
      </c>
      <c r="R1300" s="46">
        <f t="shared" si="175"/>
        <v>114.59532396183805</v>
      </c>
    </row>
    <row r="1301" spans="2:18" ht="12.75" customHeight="1" x14ac:dyDescent="0.25">
      <c r="B1301" s="17" t="s">
        <v>0</v>
      </c>
      <c r="C1301" s="44" t="s">
        <v>103</v>
      </c>
      <c r="D1301" s="22" t="s">
        <v>9</v>
      </c>
      <c r="E1301" s="20">
        <v>2</v>
      </c>
      <c r="F1301" s="17" t="s">
        <v>232</v>
      </c>
      <c r="G1301" s="17" t="s">
        <v>252</v>
      </c>
      <c r="H1301" s="17" t="s">
        <v>253</v>
      </c>
      <c r="I1301" s="17" t="s">
        <v>254</v>
      </c>
      <c r="J1301" s="27" t="s">
        <v>104</v>
      </c>
      <c r="K1301" s="29">
        <v>10166</v>
      </c>
      <c r="L1301" s="31">
        <v>2158181.7300006091</v>
      </c>
      <c r="M1301" s="31">
        <v>867719.0499989388</v>
      </c>
      <c r="N1301" s="31">
        <v>652575.01999843074</v>
      </c>
      <c r="O1301" s="34">
        <f t="shared" si="172"/>
        <v>0.40206023336074387</v>
      </c>
      <c r="P1301" s="34">
        <f t="shared" si="173"/>
        <v>0.75205796161698746</v>
      </c>
      <c r="Q1301" s="34">
        <f t="shared" si="174"/>
        <v>0.59793976663925608</v>
      </c>
      <c r="R1301" s="46">
        <f t="shared" si="175"/>
        <v>64.191916191071286</v>
      </c>
    </row>
    <row r="1302" spans="2:18" ht="12.75" customHeight="1" x14ac:dyDescent="0.25">
      <c r="B1302" s="17" t="s">
        <v>0</v>
      </c>
      <c r="C1302" s="44" t="s">
        <v>7</v>
      </c>
      <c r="D1302" s="22" t="s">
        <v>2</v>
      </c>
      <c r="E1302" s="20">
        <v>1</v>
      </c>
      <c r="F1302" s="17" t="s">
        <v>232</v>
      </c>
      <c r="G1302" s="17" t="s">
        <v>252</v>
      </c>
      <c r="H1302" s="17" t="s">
        <v>253</v>
      </c>
      <c r="I1302" s="17" t="s">
        <v>254</v>
      </c>
      <c r="J1302" s="27" t="s">
        <v>8</v>
      </c>
      <c r="K1302" s="29">
        <v>24786</v>
      </c>
      <c r="L1302" s="31">
        <v>18951226.910000581</v>
      </c>
      <c r="M1302" s="31">
        <v>810211.97999873501</v>
      </c>
      <c r="N1302" s="31">
        <v>644928.66999996942</v>
      </c>
      <c r="O1302" s="34">
        <f t="shared" si="172"/>
        <v>4.2752481612216113E-2</v>
      </c>
      <c r="P1302" s="34">
        <f t="shared" si="173"/>
        <v>0.79599991844230245</v>
      </c>
      <c r="Q1302" s="34">
        <f t="shared" si="174"/>
        <v>0.95724751838778388</v>
      </c>
      <c r="R1302" s="46">
        <f t="shared" si="175"/>
        <v>26.019876946662205</v>
      </c>
    </row>
    <row r="1303" spans="2:18" ht="12.75" customHeight="1" x14ac:dyDescent="0.25">
      <c r="B1303" s="17" t="s">
        <v>0</v>
      </c>
      <c r="C1303" s="44" t="s">
        <v>26</v>
      </c>
      <c r="D1303" s="22" t="s">
        <v>9</v>
      </c>
      <c r="E1303" s="20">
        <v>2</v>
      </c>
      <c r="F1303" s="17" t="s">
        <v>232</v>
      </c>
      <c r="G1303" s="17" t="s">
        <v>252</v>
      </c>
      <c r="H1303" s="17" t="s">
        <v>253</v>
      </c>
      <c r="I1303" s="17" t="s">
        <v>254</v>
      </c>
      <c r="J1303" s="27" t="s">
        <v>27</v>
      </c>
      <c r="K1303" s="29">
        <v>5739</v>
      </c>
      <c r="L1303" s="31">
        <v>2736437.6199987186</v>
      </c>
      <c r="M1303" s="31">
        <v>829473.65000088117</v>
      </c>
      <c r="N1303" s="31">
        <v>639384.52000173507</v>
      </c>
      <c r="O1303" s="34">
        <f t="shared" si="172"/>
        <v>0.30312170975096797</v>
      </c>
      <c r="P1303" s="34">
        <f t="shared" si="173"/>
        <v>0.77083162316374465</v>
      </c>
      <c r="Q1303" s="34">
        <f t="shared" si="174"/>
        <v>0.69687829024903203</v>
      </c>
      <c r="R1303" s="46">
        <f t="shared" si="175"/>
        <v>111.41044084365483</v>
      </c>
    </row>
    <row r="1304" spans="2:18" ht="12.75" customHeight="1" x14ac:dyDescent="0.25">
      <c r="B1304" s="17" t="s">
        <v>0</v>
      </c>
      <c r="C1304" s="44" t="s">
        <v>30</v>
      </c>
      <c r="D1304" s="22" t="s">
        <v>2</v>
      </c>
      <c r="E1304" s="20">
        <v>1</v>
      </c>
      <c r="F1304" s="17" t="s">
        <v>232</v>
      </c>
      <c r="G1304" s="17" t="s">
        <v>252</v>
      </c>
      <c r="H1304" s="17" t="s">
        <v>253</v>
      </c>
      <c r="I1304" s="17" t="s">
        <v>254</v>
      </c>
      <c r="J1304" s="27" t="s">
        <v>31</v>
      </c>
      <c r="K1304" s="29">
        <v>14886</v>
      </c>
      <c r="L1304" s="31">
        <v>3644393.8699983708</v>
      </c>
      <c r="M1304" s="31">
        <v>786259.42999980657</v>
      </c>
      <c r="N1304" s="31">
        <v>604801.44999966945</v>
      </c>
      <c r="O1304" s="34">
        <f t="shared" si="172"/>
        <v>0.21574491068940307</v>
      </c>
      <c r="P1304" s="34">
        <f t="shared" si="173"/>
        <v>0.76921360421689089</v>
      </c>
      <c r="Q1304" s="34">
        <f t="shared" si="174"/>
        <v>0.78425508931059695</v>
      </c>
      <c r="R1304" s="46">
        <f t="shared" si="175"/>
        <v>40.628876125196122</v>
      </c>
    </row>
    <row r="1305" spans="2:18" ht="12.75" customHeight="1" x14ac:dyDescent="0.25">
      <c r="B1305" s="17" t="s">
        <v>0</v>
      </c>
      <c r="C1305" s="44" t="s">
        <v>46</v>
      </c>
      <c r="D1305" s="22" t="s">
        <v>9</v>
      </c>
      <c r="E1305" s="20">
        <v>2</v>
      </c>
      <c r="F1305" s="17" t="s">
        <v>232</v>
      </c>
      <c r="G1305" s="17" t="s">
        <v>252</v>
      </c>
      <c r="H1305" s="17" t="s">
        <v>253</v>
      </c>
      <c r="I1305" s="17" t="s">
        <v>254</v>
      </c>
      <c r="J1305" s="27" t="s">
        <v>47</v>
      </c>
      <c r="K1305" s="29">
        <v>23277</v>
      </c>
      <c r="L1305" s="31">
        <v>2658696.9699997883</v>
      </c>
      <c r="M1305" s="31">
        <v>764050.02000189084</v>
      </c>
      <c r="N1305" s="31">
        <v>567474.01999968186</v>
      </c>
      <c r="O1305" s="34">
        <f t="shared" si="172"/>
        <v>0.28737762468731126</v>
      </c>
      <c r="P1305" s="34">
        <f t="shared" si="173"/>
        <v>0.7427184152135452</v>
      </c>
      <c r="Q1305" s="34">
        <f t="shared" si="174"/>
        <v>0.71262237531268879</v>
      </c>
      <c r="R1305" s="46">
        <f t="shared" si="175"/>
        <v>24.379173432988868</v>
      </c>
    </row>
    <row r="1306" spans="2:18" ht="12.75" customHeight="1" x14ac:dyDescent="0.25">
      <c r="B1306" s="17" t="s">
        <v>0</v>
      </c>
      <c r="C1306" s="44" t="s">
        <v>32</v>
      </c>
      <c r="D1306" s="22" t="s">
        <v>2</v>
      </c>
      <c r="E1306" s="20">
        <v>1</v>
      </c>
      <c r="F1306" s="17" t="s">
        <v>232</v>
      </c>
      <c r="G1306" s="17" t="s">
        <v>252</v>
      </c>
      <c r="H1306" s="17" t="s">
        <v>253</v>
      </c>
      <c r="I1306" s="17" t="s">
        <v>254</v>
      </c>
      <c r="J1306" s="27" t="s">
        <v>33</v>
      </c>
      <c r="K1306" s="29">
        <v>13814</v>
      </c>
      <c r="L1306" s="31">
        <v>4553737.7100013513</v>
      </c>
      <c r="M1306" s="31">
        <v>704676.39000314905</v>
      </c>
      <c r="N1306" s="31">
        <v>547900.14999948838</v>
      </c>
      <c r="O1306" s="34">
        <f t="shared" si="172"/>
        <v>0.15474681127449916</v>
      </c>
      <c r="P1306" s="34">
        <f t="shared" si="173"/>
        <v>0.77752023165844952</v>
      </c>
      <c r="Q1306" s="34">
        <f t="shared" si="174"/>
        <v>0.84525318872550081</v>
      </c>
      <c r="R1306" s="46">
        <f t="shared" si="175"/>
        <v>39.662671926993511</v>
      </c>
    </row>
    <row r="1307" spans="2:18" ht="12.75" customHeight="1" x14ac:dyDescent="0.25">
      <c r="B1307" s="17" t="s">
        <v>0</v>
      </c>
      <c r="C1307" s="44" t="s">
        <v>22</v>
      </c>
      <c r="D1307" s="22" t="s">
        <v>2</v>
      </c>
      <c r="E1307" s="20">
        <v>1</v>
      </c>
      <c r="F1307" s="17" t="s">
        <v>232</v>
      </c>
      <c r="G1307" s="17" t="s">
        <v>252</v>
      </c>
      <c r="H1307" s="17" t="s">
        <v>253</v>
      </c>
      <c r="I1307" s="17" t="s">
        <v>254</v>
      </c>
      <c r="J1307" s="27" t="s">
        <v>23</v>
      </c>
      <c r="K1307" s="29">
        <v>22026</v>
      </c>
      <c r="L1307" s="31">
        <v>3371451.6799979117</v>
      </c>
      <c r="M1307" s="31">
        <v>663323.89999950153</v>
      </c>
      <c r="N1307" s="31">
        <v>503959.82999975322</v>
      </c>
      <c r="O1307" s="34">
        <f t="shared" si="172"/>
        <v>0.19674726585430771</v>
      </c>
      <c r="P1307" s="34">
        <f t="shared" si="173"/>
        <v>0.75974924166026869</v>
      </c>
      <c r="Q1307" s="34">
        <f t="shared" si="174"/>
        <v>0.80325273414569232</v>
      </c>
      <c r="R1307" s="46">
        <f t="shared" si="175"/>
        <v>22.88022473439359</v>
      </c>
    </row>
    <row r="1308" spans="2:18" ht="12.75" customHeight="1" x14ac:dyDescent="0.25">
      <c r="B1308" s="17" t="s">
        <v>0</v>
      </c>
      <c r="C1308" s="44" t="s">
        <v>42</v>
      </c>
      <c r="D1308" s="22" t="s">
        <v>9</v>
      </c>
      <c r="E1308" s="20">
        <v>2</v>
      </c>
      <c r="F1308" s="17" t="s">
        <v>232</v>
      </c>
      <c r="G1308" s="17" t="s">
        <v>252</v>
      </c>
      <c r="H1308" s="17" t="s">
        <v>253</v>
      </c>
      <c r="I1308" s="17" t="s">
        <v>254</v>
      </c>
      <c r="J1308" s="27" t="s">
        <v>43</v>
      </c>
      <c r="K1308" s="29">
        <v>3438</v>
      </c>
      <c r="L1308" s="31">
        <v>2498533.9099960634</v>
      </c>
      <c r="M1308" s="31">
        <v>610511.90000033891</v>
      </c>
      <c r="N1308" s="31">
        <v>469140.37999877497</v>
      </c>
      <c r="O1308" s="34">
        <f t="shared" si="172"/>
        <v>0.24434805449620686</v>
      </c>
      <c r="P1308" s="34">
        <f t="shared" si="173"/>
        <v>0.7684377323333329</v>
      </c>
      <c r="Q1308" s="34">
        <f t="shared" si="174"/>
        <v>0.75565194550379311</v>
      </c>
      <c r="R1308" s="46">
        <f t="shared" si="175"/>
        <v>136.45735311191825</v>
      </c>
    </row>
    <row r="1309" spans="2:18" ht="12.75" customHeight="1" x14ac:dyDescent="0.25">
      <c r="B1309" s="17" t="s">
        <v>0</v>
      </c>
      <c r="C1309" s="44" t="s">
        <v>110</v>
      </c>
      <c r="D1309" s="22" t="s">
        <v>9</v>
      </c>
      <c r="E1309" s="20">
        <v>2</v>
      </c>
      <c r="F1309" s="17" t="s">
        <v>232</v>
      </c>
      <c r="G1309" s="17" t="s">
        <v>252</v>
      </c>
      <c r="H1309" s="17" t="s">
        <v>253</v>
      </c>
      <c r="I1309" s="17" t="s">
        <v>254</v>
      </c>
      <c r="J1309" s="27" t="s">
        <v>111</v>
      </c>
      <c r="K1309" s="29">
        <v>9721</v>
      </c>
      <c r="L1309" s="31">
        <v>1905669.2900008308</v>
      </c>
      <c r="M1309" s="31">
        <v>661503.9700001278</v>
      </c>
      <c r="N1309" s="31">
        <v>468157.70000002539</v>
      </c>
      <c r="O1309" s="34">
        <f t="shared" si="172"/>
        <v>0.34712422216755112</v>
      </c>
      <c r="P1309" s="34">
        <f t="shared" si="173"/>
        <v>0.70771714340570768</v>
      </c>
      <c r="Q1309" s="34">
        <f t="shared" si="174"/>
        <v>0.65287577783244888</v>
      </c>
      <c r="R1309" s="46">
        <f t="shared" si="175"/>
        <v>48.159417755377575</v>
      </c>
    </row>
    <row r="1310" spans="2:18" ht="12.75" customHeight="1" x14ac:dyDescent="0.25">
      <c r="B1310" s="17" t="s">
        <v>0</v>
      </c>
      <c r="C1310" s="44" t="s">
        <v>48</v>
      </c>
      <c r="D1310" s="22" t="s">
        <v>9</v>
      </c>
      <c r="E1310" s="20">
        <v>2</v>
      </c>
      <c r="F1310" s="17" t="s">
        <v>232</v>
      </c>
      <c r="G1310" s="17" t="s">
        <v>252</v>
      </c>
      <c r="H1310" s="17" t="s">
        <v>253</v>
      </c>
      <c r="I1310" s="17" t="s">
        <v>254</v>
      </c>
      <c r="J1310" s="27" t="s">
        <v>49</v>
      </c>
      <c r="K1310" s="29">
        <v>5148</v>
      </c>
      <c r="L1310" s="31">
        <v>1710888.0700000003</v>
      </c>
      <c r="M1310" s="31">
        <v>584075.01000402088</v>
      </c>
      <c r="N1310" s="31">
        <v>436979.55999978218</v>
      </c>
      <c r="O1310" s="34">
        <f t="shared" si="172"/>
        <v>0.34138703767103873</v>
      </c>
      <c r="P1310" s="34">
        <f t="shared" si="173"/>
        <v>0.74815657666431223</v>
      </c>
      <c r="Q1310" s="34">
        <f t="shared" si="174"/>
        <v>0.65861296232896127</v>
      </c>
      <c r="R1310" s="46">
        <f t="shared" si="175"/>
        <v>84.883364413322099</v>
      </c>
    </row>
    <row r="1311" spans="2:18" ht="12.75" customHeight="1" x14ac:dyDescent="0.25">
      <c r="B1311" s="17" t="s">
        <v>0</v>
      </c>
      <c r="C1311" s="44" t="s">
        <v>24</v>
      </c>
      <c r="D1311" s="22" t="s">
        <v>9</v>
      </c>
      <c r="E1311" s="20">
        <v>2</v>
      </c>
      <c r="F1311" s="17" t="s">
        <v>232</v>
      </c>
      <c r="G1311" s="17" t="s">
        <v>252</v>
      </c>
      <c r="H1311" s="17" t="s">
        <v>253</v>
      </c>
      <c r="I1311" s="17" t="s">
        <v>254</v>
      </c>
      <c r="J1311" s="27" t="s">
        <v>25</v>
      </c>
      <c r="K1311" s="29">
        <v>4169</v>
      </c>
      <c r="L1311" s="31">
        <v>1497251.3200016764</v>
      </c>
      <c r="M1311" s="31">
        <v>540592.7600000489</v>
      </c>
      <c r="N1311" s="31">
        <v>410388.55000126612</v>
      </c>
      <c r="O1311" s="34">
        <f t="shared" si="172"/>
        <v>0.36105679305692223</v>
      </c>
      <c r="P1311" s="34">
        <f t="shared" si="173"/>
        <v>0.75914547949408162</v>
      </c>
      <c r="Q1311" s="34">
        <f t="shared" si="174"/>
        <v>0.63894320694307782</v>
      </c>
      <c r="R1311" s="46">
        <f t="shared" si="175"/>
        <v>98.438126649380223</v>
      </c>
    </row>
    <row r="1312" spans="2:18" ht="12.75" customHeight="1" x14ac:dyDescent="0.25">
      <c r="B1312" s="17" t="s">
        <v>0</v>
      </c>
      <c r="C1312" s="44" t="s">
        <v>26</v>
      </c>
      <c r="D1312" s="22" t="s">
        <v>2</v>
      </c>
      <c r="E1312" s="20">
        <v>1</v>
      </c>
      <c r="F1312" s="17" t="s">
        <v>232</v>
      </c>
      <c r="G1312" s="17" t="s">
        <v>252</v>
      </c>
      <c r="H1312" s="17" t="s">
        <v>253</v>
      </c>
      <c r="I1312" s="17" t="s">
        <v>254</v>
      </c>
      <c r="J1312" s="27" t="s">
        <v>27</v>
      </c>
      <c r="K1312" s="29">
        <v>19709</v>
      </c>
      <c r="L1312" s="31">
        <v>4418765.5000007162</v>
      </c>
      <c r="M1312" s="31">
        <v>508879.82999975764</v>
      </c>
      <c r="N1312" s="31">
        <v>388441.54000039358</v>
      </c>
      <c r="O1312" s="34">
        <f t="shared" si="172"/>
        <v>0.11516334822467388</v>
      </c>
      <c r="P1312" s="34">
        <f t="shared" si="173"/>
        <v>0.76332665808463773</v>
      </c>
      <c r="Q1312" s="34">
        <f t="shared" si="174"/>
        <v>0.88483665177532611</v>
      </c>
      <c r="R1312" s="46">
        <f t="shared" si="175"/>
        <v>19.708840631203692</v>
      </c>
    </row>
    <row r="1313" spans="2:18" ht="12.75" customHeight="1" x14ac:dyDescent="0.25">
      <c r="B1313" s="17" t="s">
        <v>0</v>
      </c>
      <c r="C1313" s="44" t="s">
        <v>50</v>
      </c>
      <c r="D1313" s="22" t="s">
        <v>9</v>
      </c>
      <c r="E1313" s="20">
        <v>2</v>
      </c>
      <c r="F1313" s="17" t="s">
        <v>232</v>
      </c>
      <c r="G1313" s="17" t="s">
        <v>252</v>
      </c>
      <c r="H1313" s="17" t="s">
        <v>253</v>
      </c>
      <c r="I1313" s="17" t="s">
        <v>254</v>
      </c>
      <c r="J1313" s="27" t="s">
        <v>51</v>
      </c>
      <c r="K1313" s="29">
        <v>15588</v>
      </c>
      <c r="L1313" s="31">
        <v>1833094.0100003919</v>
      </c>
      <c r="M1313" s="31">
        <v>442125.22000024817</v>
      </c>
      <c r="N1313" s="31">
        <v>328671.01999992953</v>
      </c>
      <c r="O1313" s="34">
        <f t="shared" si="172"/>
        <v>0.24119069594262307</v>
      </c>
      <c r="P1313" s="34">
        <f t="shared" si="173"/>
        <v>0.74338898830459177</v>
      </c>
      <c r="Q1313" s="34">
        <f t="shared" si="174"/>
        <v>0.7588093040573769</v>
      </c>
      <c r="R1313" s="46">
        <f t="shared" si="175"/>
        <v>21.084874262248494</v>
      </c>
    </row>
    <row r="1314" spans="2:18" ht="12.75" customHeight="1" x14ac:dyDescent="0.25">
      <c r="B1314" s="17" t="s">
        <v>0</v>
      </c>
      <c r="C1314" s="44" t="s">
        <v>166</v>
      </c>
      <c r="D1314" s="22" t="s">
        <v>9</v>
      </c>
      <c r="E1314" s="20">
        <v>2</v>
      </c>
      <c r="F1314" s="17" t="s">
        <v>232</v>
      </c>
      <c r="G1314" s="17" t="s">
        <v>252</v>
      </c>
      <c r="H1314" s="17" t="s">
        <v>253</v>
      </c>
      <c r="I1314" s="17" t="s">
        <v>254</v>
      </c>
      <c r="J1314" s="27" t="s">
        <v>167</v>
      </c>
      <c r="K1314" s="29">
        <v>18071</v>
      </c>
      <c r="L1314" s="31">
        <v>1739001.5200003902</v>
      </c>
      <c r="M1314" s="31">
        <v>447565.36999980989</v>
      </c>
      <c r="N1314" s="31">
        <v>318915.74000040378</v>
      </c>
      <c r="O1314" s="34">
        <f t="shared" si="172"/>
        <v>0.25736916549659455</v>
      </c>
      <c r="P1314" s="34">
        <f t="shared" si="173"/>
        <v>0.71255678248864351</v>
      </c>
      <c r="Q1314" s="34">
        <f t="shared" si="174"/>
        <v>0.74263083450340539</v>
      </c>
      <c r="R1314" s="46">
        <f t="shared" si="175"/>
        <v>17.647929832350382</v>
      </c>
    </row>
    <row r="1315" spans="2:18" ht="12.75" customHeight="1" x14ac:dyDescent="0.25">
      <c r="B1315" s="17" t="s">
        <v>0</v>
      </c>
      <c r="C1315" s="44" t="s">
        <v>64</v>
      </c>
      <c r="D1315" s="22" t="s">
        <v>9</v>
      </c>
      <c r="E1315" s="20">
        <v>2</v>
      </c>
      <c r="F1315" s="17" t="s">
        <v>232</v>
      </c>
      <c r="G1315" s="17" t="s">
        <v>252</v>
      </c>
      <c r="H1315" s="17" t="s">
        <v>253</v>
      </c>
      <c r="I1315" s="17" t="s">
        <v>254</v>
      </c>
      <c r="J1315" s="27" t="s">
        <v>65</v>
      </c>
      <c r="K1315" s="29">
        <v>2538</v>
      </c>
      <c r="L1315" s="31">
        <v>1507132.8200006199</v>
      </c>
      <c r="M1315" s="31">
        <v>416386.50999872392</v>
      </c>
      <c r="N1315" s="31">
        <v>318251.34999982396</v>
      </c>
      <c r="O1315" s="34">
        <f t="shared" si="172"/>
        <v>0.27627724940563148</v>
      </c>
      <c r="P1315" s="34">
        <f t="shared" si="173"/>
        <v>0.76431714850896415</v>
      </c>
      <c r="Q1315" s="34">
        <f t="shared" si="174"/>
        <v>0.72372275059436852</v>
      </c>
      <c r="R1315" s="46">
        <f t="shared" si="175"/>
        <v>125.39454294713316</v>
      </c>
    </row>
    <row r="1316" spans="2:18" ht="12.75" customHeight="1" x14ac:dyDescent="0.25">
      <c r="B1316" s="17" t="s">
        <v>0</v>
      </c>
      <c r="C1316" s="44" t="s">
        <v>52</v>
      </c>
      <c r="D1316" s="22" t="s">
        <v>9</v>
      </c>
      <c r="E1316" s="20">
        <v>2</v>
      </c>
      <c r="F1316" s="17" t="s">
        <v>232</v>
      </c>
      <c r="G1316" s="17" t="s">
        <v>252</v>
      </c>
      <c r="H1316" s="17" t="s">
        <v>253</v>
      </c>
      <c r="I1316" s="17" t="s">
        <v>254</v>
      </c>
      <c r="J1316" s="27" t="s">
        <v>53</v>
      </c>
      <c r="K1316" s="29">
        <v>3151</v>
      </c>
      <c r="L1316" s="31">
        <v>1452422.4999980659</v>
      </c>
      <c r="M1316" s="31">
        <v>363778.19999964704</v>
      </c>
      <c r="N1316" s="31">
        <v>279346.43999944796</v>
      </c>
      <c r="O1316" s="34">
        <f t="shared" si="172"/>
        <v>0.25046307117944777</v>
      </c>
      <c r="P1316" s="34">
        <f t="shared" si="173"/>
        <v>0.76790318936021729</v>
      </c>
      <c r="Q1316" s="34">
        <f t="shared" si="174"/>
        <v>0.74953692882055223</v>
      </c>
      <c r="R1316" s="46">
        <f t="shared" si="175"/>
        <v>88.653265629783547</v>
      </c>
    </row>
    <row r="1317" spans="2:18" ht="12.75" customHeight="1" x14ac:dyDescent="0.25">
      <c r="B1317" s="17" t="s">
        <v>0</v>
      </c>
      <c r="C1317" s="44" t="s">
        <v>7</v>
      </c>
      <c r="D1317" s="22" t="s">
        <v>9</v>
      </c>
      <c r="E1317" s="20">
        <v>2</v>
      </c>
      <c r="F1317" s="17" t="s">
        <v>232</v>
      </c>
      <c r="G1317" s="17" t="s">
        <v>252</v>
      </c>
      <c r="H1317" s="17" t="s">
        <v>253</v>
      </c>
      <c r="I1317" s="17" t="s">
        <v>254</v>
      </c>
      <c r="J1317" s="27" t="s">
        <v>8</v>
      </c>
      <c r="K1317" s="29">
        <v>3876</v>
      </c>
      <c r="L1317" s="31">
        <v>1485201.9400005399</v>
      </c>
      <c r="M1317" s="31">
        <v>328500.26000056003</v>
      </c>
      <c r="N1317" s="31">
        <v>255496.06999892398</v>
      </c>
      <c r="O1317" s="34">
        <f t="shared" ref="O1317:O1348" si="176">IFERROR(M1317/L1317,0)</f>
        <v>0.22118221849376296</v>
      </c>
      <c r="P1317" s="34">
        <f t="shared" ref="P1317:P1348" si="177">IFERROR(N1317/M1317,0)</f>
        <v>0.77776519872005101</v>
      </c>
      <c r="Q1317" s="34">
        <f t="shared" ref="Q1317:Q1348" si="178">IFERROR(1-(M1317/L1317),0)</f>
        <v>0.77881778150623704</v>
      </c>
      <c r="R1317" s="46">
        <f t="shared" ref="R1317:R1348" si="179">IFERROR(N1317/K1317,0)</f>
        <v>65.917458720052622</v>
      </c>
    </row>
    <row r="1318" spans="2:18" ht="12.75" customHeight="1" x14ac:dyDescent="0.25">
      <c r="B1318" s="17" t="s">
        <v>0</v>
      </c>
      <c r="C1318" s="44" t="s">
        <v>52</v>
      </c>
      <c r="D1318" s="22" t="s">
        <v>2</v>
      </c>
      <c r="E1318" s="20">
        <v>1</v>
      </c>
      <c r="F1318" s="17" t="s">
        <v>232</v>
      </c>
      <c r="G1318" s="17" t="s">
        <v>252</v>
      </c>
      <c r="H1318" s="17" t="s">
        <v>253</v>
      </c>
      <c r="I1318" s="17" t="s">
        <v>254</v>
      </c>
      <c r="J1318" s="27" t="s">
        <v>53</v>
      </c>
      <c r="K1318" s="29">
        <v>5197</v>
      </c>
      <c r="L1318" s="31">
        <v>951551.58999671764</v>
      </c>
      <c r="M1318" s="31">
        <v>260198.09000003256</v>
      </c>
      <c r="N1318" s="31">
        <v>201037.76999983474</v>
      </c>
      <c r="O1318" s="34">
        <f t="shared" si="176"/>
        <v>0.27344611972213728</v>
      </c>
      <c r="P1318" s="34">
        <f t="shared" si="177"/>
        <v>0.77263353470353902</v>
      </c>
      <c r="Q1318" s="34">
        <f t="shared" si="178"/>
        <v>0.72655388027786272</v>
      </c>
      <c r="R1318" s="46">
        <f t="shared" si="179"/>
        <v>38.683426977070376</v>
      </c>
    </row>
    <row r="1319" spans="2:18" ht="12.75" customHeight="1" x14ac:dyDescent="0.25">
      <c r="B1319" s="17" t="s">
        <v>0</v>
      </c>
      <c r="C1319" s="44" t="s">
        <v>70</v>
      </c>
      <c r="D1319" s="22" t="s">
        <v>9</v>
      </c>
      <c r="E1319" s="20">
        <v>2</v>
      </c>
      <c r="F1319" s="17" t="s">
        <v>232</v>
      </c>
      <c r="G1319" s="17" t="s">
        <v>252</v>
      </c>
      <c r="H1319" s="17" t="s">
        <v>253</v>
      </c>
      <c r="I1319" s="17" t="s">
        <v>254</v>
      </c>
      <c r="J1319" s="27" t="s">
        <v>71</v>
      </c>
      <c r="K1319" s="29">
        <v>2579</v>
      </c>
      <c r="L1319" s="31">
        <v>510091.56999991997</v>
      </c>
      <c r="M1319" s="31">
        <v>259325.26000146603</v>
      </c>
      <c r="N1319" s="31">
        <v>198515.71999877598</v>
      </c>
      <c r="O1319" s="34">
        <f t="shared" si="176"/>
        <v>0.5083896211056903</v>
      </c>
      <c r="P1319" s="34">
        <f t="shared" si="177"/>
        <v>0.76550861261125791</v>
      </c>
      <c r="Q1319" s="34">
        <f t="shared" si="178"/>
        <v>0.4916103788943097</v>
      </c>
      <c r="R1319" s="46">
        <f t="shared" si="179"/>
        <v>76.97391236866072</v>
      </c>
    </row>
    <row r="1320" spans="2:18" ht="12.75" customHeight="1" x14ac:dyDescent="0.25">
      <c r="B1320" s="17" t="s">
        <v>0</v>
      </c>
      <c r="C1320" s="44" t="s">
        <v>28</v>
      </c>
      <c r="D1320" s="22" t="s">
        <v>9</v>
      </c>
      <c r="E1320" s="20">
        <v>2</v>
      </c>
      <c r="F1320" s="17" t="s">
        <v>232</v>
      </c>
      <c r="G1320" s="17" t="s">
        <v>252</v>
      </c>
      <c r="H1320" s="17" t="s">
        <v>253</v>
      </c>
      <c r="I1320" s="17" t="s">
        <v>254</v>
      </c>
      <c r="J1320" s="27" t="s">
        <v>29</v>
      </c>
      <c r="K1320" s="29">
        <v>1710</v>
      </c>
      <c r="L1320" s="31">
        <v>602078.72999953001</v>
      </c>
      <c r="M1320" s="31">
        <v>251261.89999955299</v>
      </c>
      <c r="N1320" s="31">
        <v>191783.59000317601</v>
      </c>
      <c r="O1320" s="34">
        <f t="shared" si="176"/>
        <v>0.41732399349126503</v>
      </c>
      <c r="P1320" s="34">
        <f t="shared" si="177"/>
        <v>0.76328161971041852</v>
      </c>
      <c r="Q1320" s="34">
        <f t="shared" si="178"/>
        <v>0.58267600650873497</v>
      </c>
      <c r="R1320" s="46">
        <f t="shared" si="179"/>
        <v>112.15414620068772</v>
      </c>
    </row>
    <row r="1321" spans="2:18" ht="12.75" customHeight="1" x14ac:dyDescent="0.25">
      <c r="B1321" s="17" t="s">
        <v>0</v>
      </c>
      <c r="C1321" s="44" t="s">
        <v>250</v>
      </c>
      <c r="D1321" s="22" t="s">
        <v>9</v>
      </c>
      <c r="E1321" s="20">
        <v>2</v>
      </c>
      <c r="F1321" s="17" t="s">
        <v>232</v>
      </c>
      <c r="G1321" s="17" t="s">
        <v>252</v>
      </c>
      <c r="H1321" s="17" t="s">
        <v>253</v>
      </c>
      <c r="I1321" s="17" t="s">
        <v>254</v>
      </c>
      <c r="J1321" s="27" t="s">
        <v>251</v>
      </c>
      <c r="K1321" s="29">
        <v>2268</v>
      </c>
      <c r="L1321" s="31">
        <v>491509.520000046</v>
      </c>
      <c r="M1321" s="31">
        <v>217882.93999979401</v>
      </c>
      <c r="N1321" s="31">
        <v>170620.82999998095</v>
      </c>
      <c r="O1321" s="34">
        <f t="shared" si="176"/>
        <v>0.44329342796813703</v>
      </c>
      <c r="P1321" s="34">
        <f t="shared" si="177"/>
        <v>0.7830848528119837</v>
      </c>
      <c r="Q1321" s="34">
        <f t="shared" si="178"/>
        <v>0.55670657203186291</v>
      </c>
      <c r="R1321" s="46">
        <f t="shared" si="179"/>
        <v>75.229642857134465</v>
      </c>
    </row>
    <row r="1322" spans="2:18" ht="12.75" customHeight="1" x14ac:dyDescent="0.25">
      <c r="B1322" s="17" t="s">
        <v>0</v>
      </c>
      <c r="C1322" s="44" t="s">
        <v>62</v>
      </c>
      <c r="D1322" s="22" t="s">
        <v>9</v>
      </c>
      <c r="E1322" s="20">
        <v>2</v>
      </c>
      <c r="F1322" s="17" t="s">
        <v>232</v>
      </c>
      <c r="G1322" s="17" t="s">
        <v>252</v>
      </c>
      <c r="H1322" s="17" t="s">
        <v>253</v>
      </c>
      <c r="I1322" s="17" t="s">
        <v>254</v>
      </c>
      <c r="J1322" s="27" t="s">
        <v>63</v>
      </c>
      <c r="K1322" s="29">
        <v>1191</v>
      </c>
      <c r="L1322" s="31">
        <v>708125</v>
      </c>
      <c r="M1322" s="31">
        <v>222256.34000149503</v>
      </c>
      <c r="N1322" s="31">
        <v>170065.11999561498</v>
      </c>
      <c r="O1322" s="34">
        <f t="shared" si="176"/>
        <v>0.31386596999328514</v>
      </c>
      <c r="P1322" s="34">
        <f t="shared" si="177"/>
        <v>0.76517556257099806</v>
      </c>
      <c r="Q1322" s="34">
        <f t="shared" si="178"/>
        <v>0.68613403000671491</v>
      </c>
      <c r="R1322" s="46">
        <f t="shared" si="179"/>
        <v>142.79187237247268</v>
      </c>
    </row>
    <row r="1323" spans="2:18" ht="12.75" customHeight="1" x14ac:dyDescent="0.25">
      <c r="B1323" s="17" t="s">
        <v>0</v>
      </c>
      <c r="C1323" s="44" t="s">
        <v>16</v>
      </c>
      <c r="D1323" s="22" t="s">
        <v>9</v>
      </c>
      <c r="E1323" s="20">
        <v>2</v>
      </c>
      <c r="F1323" s="17" t="s">
        <v>232</v>
      </c>
      <c r="G1323" s="17" t="s">
        <v>252</v>
      </c>
      <c r="H1323" s="17" t="s">
        <v>253</v>
      </c>
      <c r="I1323" s="17" t="s">
        <v>254</v>
      </c>
      <c r="J1323" s="27" t="s">
        <v>17</v>
      </c>
      <c r="K1323" s="29">
        <v>3107</v>
      </c>
      <c r="L1323" s="31">
        <v>1163468.3100005102</v>
      </c>
      <c r="M1323" s="31">
        <v>195024.70000003901</v>
      </c>
      <c r="N1323" s="31">
        <v>151959.44999982105</v>
      </c>
      <c r="O1323" s="34">
        <f t="shared" si="176"/>
        <v>0.16762355994032488</v>
      </c>
      <c r="P1323" s="34">
        <f t="shared" si="177"/>
        <v>0.779180534567112</v>
      </c>
      <c r="Q1323" s="34">
        <f t="shared" si="178"/>
        <v>0.83237644005967515</v>
      </c>
      <c r="R1323" s="46">
        <f t="shared" si="179"/>
        <v>48.908738332739318</v>
      </c>
    </row>
    <row r="1324" spans="2:18" ht="12.75" customHeight="1" x14ac:dyDescent="0.25">
      <c r="B1324" s="17" t="s">
        <v>0</v>
      </c>
      <c r="C1324" s="44" t="s">
        <v>58</v>
      </c>
      <c r="D1324" s="22" t="s">
        <v>9</v>
      </c>
      <c r="E1324" s="20">
        <v>2</v>
      </c>
      <c r="F1324" s="17" t="s">
        <v>232</v>
      </c>
      <c r="G1324" s="17" t="s">
        <v>252</v>
      </c>
      <c r="H1324" s="17" t="s">
        <v>253</v>
      </c>
      <c r="I1324" s="17" t="s">
        <v>254</v>
      </c>
      <c r="J1324" s="27" t="s">
        <v>59</v>
      </c>
      <c r="K1324" s="29">
        <v>3349</v>
      </c>
      <c r="L1324" s="31">
        <v>840562.16000013996</v>
      </c>
      <c r="M1324" s="31">
        <v>182688.56999993298</v>
      </c>
      <c r="N1324" s="31">
        <v>141213.45999987502</v>
      </c>
      <c r="O1324" s="34">
        <f t="shared" si="176"/>
        <v>0.2173409400203104</v>
      </c>
      <c r="P1324" s="34">
        <f t="shared" si="177"/>
        <v>0.77297370054364556</v>
      </c>
      <c r="Q1324" s="34">
        <f t="shared" si="178"/>
        <v>0.78265905997968965</v>
      </c>
      <c r="R1324" s="46">
        <f t="shared" si="179"/>
        <v>42.165858465176179</v>
      </c>
    </row>
    <row r="1325" spans="2:18" ht="12.75" customHeight="1" x14ac:dyDescent="0.25">
      <c r="B1325" s="17" t="s">
        <v>0</v>
      </c>
      <c r="C1325" s="44" t="s">
        <v>94</v>
      </c>
      <c r="D1325" s="22" t="s">
        <v>9</v>
      </c>
      <c r="E1325" s="20">
        <v>2</v>
      </c>
      <c r="F1325" s="17" t="s">
        <v>232</v>
      </c>
      <c r="G1325" s="17" t="s">
        <v>252</v>
      </c>
      <c r="H1325" s="17" t="s">
        <v>253</v>
      </c>
      <c r="I1325" s="17" t="s">
        <v>254</v>
      </c>
      <c r="J1325" s="27" t="s">
        <v>95</v>
      </c>
      <c r="K1325" s="29">
        <v>2486</v>
      </c>
      <c r="L1325" s="31">
        <v>518797.58000040002</v>
      </c>
      <c r="M1325" s="31">
        <v>152929.600000643</v>
      </c>
      <c r="N1325" s="31">
        <v>117158.6400003052</v>
      </c>
      <c r="O1325" s="34">
        <f t="shared" si="176"/>
        <v>0.29477701110426358</v>
      </c>
      <c r="P1325" s="34">
        <f t="shared" si="177"/>
        <v>0.76609524905454929</v>
      </c>
      <c r="Q1325" s="34">
        <f t="shared" si="178"/>
        <v>0.70522298889573642</v>
      </c>
      <c r="R1325" s="46">
        <f t="shared" si="179"/>
        <v>47.12736926802301</v>
      </c>
    </row>
    <row r="1326" spans="2:18" ht="12.75" customHeight="1" x14ac:dyDescent="0.25">
      <c r="B1326" s="17" t="s">
        <v>0</v>
      </c>
      <c r="C1326" s="44" t="s">
        <v>90</v>
      </c>
      <c r="D1326" s="22" t="s">
        <v>9</v>
      </c>
      <c r="E1326" s="20">
        <v>2</v>
      </c>
      <c r="F1326" s="17" t="s">
        <v>232</v>
      </c>
      <c r="G1326" s="17" t="s">
        <v>252</v>
      </c>
      <c r="H1326" s="17" t="s">
        <v>253</v>
      </c>
      <c r="I1326" s="17" t="s">
        <v>254</v>
      </c>
      <c r="J1326" s="27" t="s">
        <v>91</v>
      </c>
      <c r="K1326" s="29">
        <v>1679</v>
      </c>
      <c r="L1326" s="31">
        <v>529167.40000031004</v>
      </c>
      <c r="M1326" s="31">
        <v>133536.45999978899</v>
      </c>
      <c r="N1326" s="31">
        <v>103321.52000051802</v>
      </c>
      <c r="O1326" s="34">
        <f t="shared" si="176"/>
        <v>0.25235201563760495</v>
      </c>
      <c r="P1326" s="34">
        <f t="shared" si="177"/>
        <v>0.7737326569888201</v>
      </c>
      <c r="Q1326" s="34">
        <f t="shared" si="178"/>
        <v>0.7476479843623951</v>
      </c>
      <c r="R1326" s="46">
        <f t="shared" si="179"/>
        <v>61.537534246883872</v>
      </c>
    </row>
    <row r="1327" spans="2:18" ht="12.75" customHeight="1" x14ac:dyDescent="0.25">
      <c r="B1327" s="17" t="s">
        <v>0</v>
      </c>
      <c r="C1327" s="44" t="s">
        <v>56</v>
      </c>
      <c r="D1327" s="22" t="s">
        <v>2</v>
      </c>
      <c r="E1327" s="20">
        <v>1</v>
      </c>
      <c r="F1327" s="17" t="s">
        <v>232</v>
      </c>
      <c r="G1327" s="17" t="s">
        <v>252</v>
      </c>
      <c r="H1327" s="17" t="s">
        <v>253</v>
      </c>
      <c r="I1327" s="17" t="s">
        <v>254</v>
      </c>
      <c r="J1327" s="27" t="s">
        <v>57</v>
      </c>
      <c r="K1327" s="29">
        <v>4300</v>
      </c>
      <c r="L1327" s="31">
        <v>870696.070000023</v>
      </c>
      <c r="M1327" s="31">
        <v>135154.38999986101</v>
      </c>
      <c r="N1327" s="31">
        <v>102723.48000001597</v>
      </c>
      <c r="O1327" s="34">
        <f t="shared" si="176"/>
        <v>0.1552256805292086</v>
      </c>
      <c r="P1327" s="34">
        <f t="shared" si="177"/>
        <v>0.76004545616403296</v>
      </c>
      <c r="Q1327" s="34">
        <f t="shared" si="178"/>
        <v>0.8447743194707914</v>
      </c>
      <c r="R1327" s="46">
        <f t="shared" si="179"/>
        <v>23.889181395352551</v>
      </c>
    </row>
    <row r="1328" spans="2:18" ht="12.75" customHeight="1" x14ac:dyDescent="0.25">
      <c r="B1328" s="17" t="s">
        <v>0</v>
      </c>
      <c r="C1328" s="44" t="s">
        <v>70</v>
      </c>
      <c r="D1328" s="22" t="s">
        <v>2</v>
      </c>
      <c r="E1328" s="20">
        <v>1</v>
      </c>
      <c r="F1328" s="17" t="s">
        <v>232</v>
      </c>
      <c r="G1328" s="17" t="s">
        <v>252</v>
      </c>
      <c r="H1328" s="17" t="s">
        <v>253</v>
      </c>
      <c r="I1328" s="17" t="s">
        <v>254</v>
      </c>
      <c r="J1328" s="27" t="s">
        <v>71</v>
      </c>
      <c r="K1328" s="29">
        <v>4284</v>
      </c>
      <c r="L1328" s="31">
        <v>522864.12</v>
      </c>
      <c r="M1328" s="31">
        <v>130090.73000015</v>
      </c>
      <c r="N1328" s="31">
        <v>100422.0299987031</v>
      </c>
      <c r="O1328" s="34">
        <f t="shared" si="176"/>
        <v>0.24880408699711504</v>
      </c>
      <c r="P1328" s="34">
        <f t="shared" si="177"/>
        <v>0.77193840021181614</v>
      </c>
      <c r="Q1328" s="34">
        <f t="shared" si="178"/>
        <v>0.75119591300288491</v>
      </c>
      <c r="R1328" s="46">
        <f t="shared" si="179"/>
        <v>23.441183473086625</v>
      </c>
    </row>
    <row r="1329" spans="2:18" ht="12.75" customHeight="1" x14ac:dyDescent="0.25">
      <c r="B1329" s="17" t="s">
        <v>0</v>
      </c>
      <c r="C1329" s="44" t="s">
        <v>221</v>
      </c>
      <c r="D1329" s="22" t="s">
        <v>9</v>
      </c>
      <c r="E1329" s="20">
        <v>2</v>
      </c>
      <c r="F1329" s="17" t="s">
        <v>232</v>
      </c>
      <c r="G1329" s="17" t="s">
        <v>252</v>
      </c>
      <c r="H1329" s="17" t="s">
        <v>253</v>
      </c>
      <c r="I1329" s="17" t="s">
        <v>254</v>
      </c>
      <c r="J1329" s="27" t="s">
        <v>222</v>
      </c>
      <c r="K1329" s="29">
        <v>834</v>
      </c>
      <c r="L1329" s="31">
        <v>349430</v>
      </c>
      <c r="M1329" s="31">
        <v>129015.37000008</v>
      </c>
      <c r="N1329" s="31">
        <v>99797.570002036009</v>
      </c>
      <c r="O1329" s="34">
        <f t="shared" si="176"/>
        <v>0.36921663852582776</v>
      </c>
      <c r="P1329" s="34">
        <f t="shared" si="177"/>
        <v>0.77353240937086898</v>
      </c>
      <c r="Q1329" s="34">
        <f t="shared" si="178"/>
        <v>0.63078336147417224</v>
      </c>
      <c r="R1329" s="46">
        <f t="shared" si="179"/>
        <v>119.66135491850841</v>
      </c>
    </row>
    <row r="1330" spans="2:18" ht="12.75" customHeight="1" x14ac:dyDescent="0.25">
      <c r="B1330" s="17" t="s">
        <v>0</v>
      </c>
      <c r="C1330" s="44" t="s">
        <v>176</v>
      </c>
      <c r="D1330" s="22" t="s">
        <v>9</v>
      </c>
      <c r="E1330" s="20">
        <v>2</v>
      </c>
      <c r="F1330" s="17" t="s">
        <v>232</v>
      </c>
      <c r="G1330" s="17" t="s">
        <v>252</v>
      </c>
      <c r="H1330" s="17" t="s">
        <v>253</v>
      </c>
      <c r="I1330" s="17" t="s">
        <v>254</v>
      </c>
      <c r="J1330" s="27" t="s">
        <v>177</v>
      </c>
      <c r="K1330" s="29">
        <v>1657</v>
      </c>
      <c r="L1330" s="31">
        <v>571573.00000015006</v>
      </c>
      <c r="M1330" s="31">
        <v>127591.79000099699</v>
      </c>
      <c r="N1330" s="31">
        <v>97573.640000078987</v>
      </c>
      <c r="O1330" s="34">
        <f t="shared" si="176"/>
        <v>0.22322921131852536</v>
      </c>
      <c r="P1330" s="34">
        <f t="shared" si="177"/>
        <v>0.76473290326373322</v>
      </c>
      <c r="Q1330" s="34">
        <f t="shared" si="178"/>
        <v>0.77677078868147464</v>
      </c>
      <c r="R1330" s="46">
        <f t="shared" si="179"/>
        <v>58.885721182908263</v>
      </c>
    </row>
    <row r="1331" spans="2:18" ht="12.75" customHeight="1" x14ac:dyDescent="0.25">
      <c r="B1331" s="17" t="s">
        <v>0</v>
      </c>
      <c r="C1331" s="44" t="s">
        <v>20</v>
      </c>
      <c r="D1331" s="22" t="s">
        <v>9</v>
      </c>
      <c r="E1331" s="20">
        <v>2</v>
      </c>
      <c r="F1331" s="17" t="s">
        <v>232</v>
      </c>
      <c r="G1331" s="17" t="s">
        <v>252</v>
      </c>
      <c r="H1331" s="17" t="s">
        <v>253</v>
      </c>
      <c r="I1331" s="17" t="s">
        <v>254</v>
      </c>
      <c r="J1331" s="27" t="s">
        <v>21</v>
      </c>
      <c r="K1331" s="29">
        <v>1818</v>
      </c>
      <c r="L1331" s="31">
        <v>517291.90000144002</v>
      </c>
      <c r="M1331" s="31">
        <v>116017.30000032499</v>
      </c>
      <c r="N1331" s="31">
        <v>89288.529999988023</v>
      </c>
      <c r="O1331" s="34">
        <f t="shared" si="176"/>
        <v>0.22427820733323298</v>
      </c>
      <c r="P1331" s="34">
        <f t="shared" si="177"/>
        <v>0.76961392826533548</v>
      </c>
      <c r="Q1331" s="34">
        <f t="shared" si="178"/>
        <v>0.775721792666767</v>
      </c>
      <c r="R1331" s="46">
        <f t="shared" si="179"/>
        <v>49.113602860279443</v>
      </c>
    </row>
    <row r="1332" spans="2:18" ht="12.75" customHeight="1" x14ac:dyDescent="0.25">
      <c r="B1332" s="17" t="s">
        <v>0</v>
      </c>
      <c r="C1332" s="44" t="s">
        <v>170</v>
      </c>
      <c r="D1332" s="22" t="s">
        <v>9</v>
      </c>
      <c r="E1332" s="20">
        <v>2</v>
      </c>
      <c r="F1332" s="17" t="s">
        <v>232</v>
      </c>
      <c r="G1332" s="17" t="s">
        <v>252</v>
      </c>
      <c r="H1332" s="17" t="s">
        <v>253</v>
      </c>
      <c r="I1332" s="17" t="s">
        <v>254</v>
      </c>
      <c r="J1332" s="27" t="s">
        <v>171</v>
      </c>
      <c r="K1332" s="29">
        <v>1217</v>
      </c>
      <c r="L1332" s="31">
        <v>340832.42000049999</v>
      </c>
      <c r="M1332" s="31">
        <v>120916.20999921799</v>
      </c>
      <c r="N1332" s="31">
        <v>88564.089999975011</v>
      </c>
      <c r="O1332" s="34">
        <f t="shared" si="176"/>
        <v>0.35476733697762852</v>
      </c>
      <c r="P1332" s="34">
        <f t="shared" si="177"/>
        <v>0.73244182893714405</v>
      </c>
      <c r="Q1332" s="34">
        <f t="shared" si="178"/>
        <v>0.64523266302237148</v>
      </c>
      <c r="R1332" s="46">
        <f t="shared" si="179"/>
        <v>72.77246507804027</v>
      </c>
    </row>
    <row r="1333" spans="2:18" ht="12.75" customHeight="1" x14ac:dyDescent="0.25">
      <c r="B1333" s="17" t="s">
        <v>0</v>
      </c>
      <c r="C1333" s="44" t="s">
        <v>236</v>
      </c>
      <c r="D1333" s="22" t="s">
        <v>2</v>
      </c>
      <c r="E1333" s="20">
        <v>1</v>
      </c>
      <c r="F1333" s="17" t="s">
        <v>232</v>
      </c>
      <c r="G1333" s="17" t="s">
        <v>252</v>
      </c>
      <c r="H1333" s="17" t="s">
        <v>253</v>
      </c>
      <c r="I1333" s="17" t="s">
        <v>254</v>
      </c>
      <c r="J1333" s="27" t="s">
        <v>237</v>
      </c>
      <c r="K1333" s="29">
        <v>1995</v>
      </c>
      <c r="L1333" s="31">
        <v>317484.62999985198</v>
      </c>
      <c r="M1333" s="31">
        <v>96314.379999852026</v>
      </c>
      <c r="N1333" s="31">
        <v>76358.749999950407</v>
      </c>
      <c r="O1333" s="34">
        <f t="shared" si="176"/>
        <v>0.3033670637847789</v>
      </c>
      <c r="P1333" s="34">
        <f t="shared" si="177"/>
        <v>0.79280736687572217</v>
      </c>
      <c r="Q1333" s="34">
        <f t="shared" si="178"/>
        <v>0.69663293621522104</v>
      </c>
      <c r="R1333" s="46">
        <f t="shared" si="179"/>
        <v>38.275062656616747</v>
      </c>
    </row>
    <row r="1334" spans="2:18" ht="12.75" customHeight="1" x14ac:dyDescent="0.25">
      <c r="B1334" s="17" t="s">
        <v>0</v>
      </c>
      <c r="C1334" s="44" t="s">
        <v>36</v>
      </c>
      <c r="D1334" s="22" t="s">
        <v>2</v>
      </c>
      <c r="E1334" s="20">
        <v>1</v>
      </c>
      <c r="F1334" s="17" t="s">
        <v>232</v>
      </c>
      <c r="G1334" s="17" t="s">
        <v>252</v>
      </c>
      <c r="H1334" s="17" t="s">
        <v>253</v>
      </c>
      <c r="I1334" s="17" t="s">
        <v>254</v>
      </c>
      <c r="J1334" s="27" t="s">
        <v>37</v>
      </c>
      <c r="K1334" s="29">
        <v>3652</v>
      </c>
      <c r="L1334" s="31">
        <v>464788.17999974999</v>
      </c>
      <c r="M1334" s="31">
        <v>101912.79000005501</v>
      </c>
      <c r="N1334" s="31">
        <v>75669.040000209323</v>
      </c>
      <c r="O1334" s="34">
        <f t="shared" si="176"/>
        <v>0.21926717241413032</v>
      </c>
      <c r="P1334" s="34">
        <f t="shared" si="177"/>
        <v>0.7424881607123941</v>
      </c>
      <c r="Q1334" s="34">
        <f t="shared" si="178"/>
        <v>0.7807328275858697</v>
      </c>
      <c r="R1334" s="46">
        <f t="shared" si="179"/>
        <v>20.719890471032127</v>
      </c>
    </row>
    <row r="1335" spans="2:18" ht="12.75" customHeight="1" x14ac:dyDescent="0.25">
      <c r="B1335" s="17" t="s">
        <v>0</v>
      </c>
      <c r="C1335" s="44" t="s">
        <v>34</v>
      </c>
      <c r="D1335" s="22" t="s">
        <v>2</v>
      </c>
      <c r="E1335" s="20">
        <v>1</v>
      </c>
      <c r="F1335" s="17" t="s">
        <v>232</v>
      </c>
      <c r="G1335" s="17" t="s">
        <v>252</v>
      </c>
      <c r="H1335" s="17" t="s">
        <v>253</v>
      </c>
      <c r="I1335" s="17" t="s">
        <v>254</v>
      </c>
      <c r="J1335" s="27" t="s">
        <v>35</v>
      </c>
      <c r="K1335" s="29">
        <v>3364</v>
      </c>
      <c r="L1335" s="31">
        <v>494161.39999925997</v>
      </c>
      <c r="M1335" s="31">
        <v>91415.069999913758</v>
      </c>
      <c r="N1335" s="31">
        <v>68654.320000131193</v>
      </c>
      <c r="O1335" s="34">
        <f t="shared" si="176"/>
        <v>0.18499030883442263</v>
      </c>
      <c r="P1335" s="34">
        <f t="shared" si="177"/>
        <v>0.75101752916883358</v>
      </c>
      <c r="Q1335" s="34">
        <f t="shared" si="178"/>
        <v>0.81500969116557731</v>
      </c>
      <c r="R1335" s="46">
        <f t="shared" si="179"/>
        <v>20.408537455449224</v>
      </c>
    </row>
    <row r="1336" spans="2:18" ht="12.75" customHeight="1" x14ac:dyDescent="0.25">
      <c r="B1336" s="17" t="s">
        <v>0</v>
      </c>
      <c r="C1336" s="44" t="s">
        <v>98</v>
      </c>
      <c r="D1336" s="22" t="s">
        <v>2</v>
      </c>
      <c r="E1336" s="20">
        <v>1</v>
      </c>
      <c r="F1336" s="17" t="s">
        <v>232</v>
      </c>
      <c r="G1336" s="17" t="s">
        <v>252</v>
      </c>
      <c r="H1336" s="17" t="s">
        <v>253</v>
      </c>
      <c r="I1336" s="17" t="s">
        <v>254</v>
      </c>
      <c r="J1336" s="27" t="s">
        <v>102</v>
      </c>
      <c r="K1336" s="29">
        <v>1324</v>
      </c>
      <c r="L1336" s="31">
        <v>2836868.08999532</v>
      </c>
      <c r="M1336" s="31">
        <v>73890.609999840977</v>
      </c>
      <c r="N1336" s="31">
        <v>58498.680000232001</v>
      </c>
      <c r="O1336" s="34">
        <f t="shared" si="176"/>
        <v>2.6046544166233289E-2</v>
      </c>
      <c r="P1336" s="34">
        <f t="shared" si="177"/>
        <v>0.79169301756147226</v>
      </c>
      <c r="Q1336" s="34">
        <f t="shared" si="178"/>
        <v>0.97395345583376669</v>
      </c>
      <c r="R1336" s="46">
        <f t="shared" si="179"/>
        <v>44.183293051534747</v>
      </c>
    </row>
    <row r="1337" spans="2:18" ht="12.75" customHeight="1" x14ac:dyDescent="0.25">
      <c r="B1337" s="17" t="s">
        <v>0</v>
      </c>
      <c r="C1337" s="44" t="s">
        <v>64</v>
      </c>
      <c r="D1337" s="22" t="s">
        <v>2</v>
      </c>
      <c r="E1337" s="20">
        <v>1</v>
      </c>
      <c r="F1337" s="17" t="s">
        <v>232</v>
      </c>
      <c r="G1337" s="17" t="s">
        <v>252</v>
      </c>
      <c r="H1337" s="17" t="s">
        <v>253</v>
      </c>
      <c r="I1337" s="17" t="s">
        <v>254</v>
      </c>
      <c r="J1337" s="27" t="s">
        <v>65</v>
      </c>
      <c r="K1337" s="29">
        <v>1477</v>
      </c>
      <c r="L1337" s="31">
        <v>220863.45000013799</v>
      </c>
      <c r="M1337" s="31">
        <v>58157.389999936</v>
      </c>
      <c r="N1337" s="31">
        <v>45938.539999807406</v>
      </c>
      <c r="O1337" s="34">
        <f t="shared" si="176"/>
        <v>0.26331830821215402</v>
      </c>
      <c r="P1337" s="34">
        <f t="shared" si="177"/>
        <v>0.78990030329521255</v>
      </c>
      <c r="Q1337" s="34">
        <f t="shared" si="178"/>
        <v>0.73668169178784604</v>
      </c>
      <c r="R1337" s="46">
        <f t="shared" si="179"/>
        <v>31.102599864459989</v>
      </c>
    </row>
    <row r="1338" spans="2:18" ht="12.75" customHeight="1" x14ac:dyDescent="0.25">
      <c r="B1338" s="17" t="s">
        <v>0</v>
      </c>
      <c r="C1338" s="44" t="s">
        <v>174</v>
      </c>
      <c r="D1338" s="22" t="s">
        <v>9</v>
      </c>
      <c r="E1338" s="20">
        <v>2</v>
      </c>
      <c r="F1338" s="17" t="s">
        <v>232</v>
      </c>
      <c r="G1338" s="17" t="s">
        <v>252</v>
      </c>
      <c r="H1338" s="17" t="s">
        <v>253</v>
      </c>
      <c r="I1338" s="17" t="s">
        <v>254</v>
      </c>
      <c r="J1338" s="27" t="s">
        <v>175</v>
      </c>
      <c r="K1338" s="29">
        <v>399</v>
      </c>
      <c r="L1338" s="31">
        <v>103911.10000096</v>
      </c>
      <c r="M1338" s="31">
        <v>53963.379999947996</v>
      </c>
      <c r="N1338" s="31">
        <v>42901.620000417999</v>
      </c>
      <c r="O1338" s="34">
        <f t="shared" si="176"/>
        <v>0.51932257477256472</v>
      </c>
      <c r="P1338" s="34">
        <f t="shared" si="177"/>
        <v>0.79501358144095757</v>
      </c>
      <c r="Q1338" s="34">
        <f t="shared" si="178"/>
        <v>0.48067742522743528</v>
      </c>
      <c r="R1338" s="46">
        <f t="shared" si="179"/>
        <v>107.52285714390476</v>
      </c>
    </row>
    <row r="1339" spans="2:18" ht="12.75" customHeight="1" x14ac:dyDescent="0.25">
      <c r="B1339" s="17" t="s">
        <v>0</v>
      </c>
      <c r="C1339" s="44" t="s">
        <v>76</v>
      </c>
      <c r="D1339" s="22" t="s">
        <v>9</v>
      </c>
      <c r="E1339" s="20">
        <v>2</v>
      </c>
      <c r="F1339" s="17" t="s">
        <v>232</v>
      </c>
      <c r="G1339" s="17" t="s">
        <v>252</v>
      </c>
      <c r="H1339" s="17" t="s">
        <v>253</v>
      </c>
      <c r="I1339" s="17" t="s">
        <v>254</v>
      </c>
      <c r="J1339" s="27" t="s">
        <v>77</v>
      </c>
      <c r="K1339" s="29">
        <v>306</v>
      </c>
      <c r="L1339" s="31">
        <v>218633.78</v>
      </c>
      <c r="M1339" s="31">
        <v>57120.31000053</v>
      </c>
      <c r="N1339" s="31">
        <v>42698.390000909996</v>
      </c>
      <c r="O1339" s="34">
        <f t="shared" si="176"/>
        <v>0.26126022246210079</v>
      </c>
      <c r="P1339" s="34">
        <f t="shared" si="177"/>
        <v>0.74751677644105596</v>
      </c>
      <c r="Q1339" s="34">
        <f t="shared" si="178"/>
        <v>0.73873977753789921</v>
      </c>
      <c r="R1339" s="46">
        <f t="shared" si="179"/>
        <v>139.53722222519607</v>
      </c>
    </row>
    <row r="1340" spans="2:18" ht="12.75" customHeight="1" x14ac:dyDescent="0.25">
      <c r="B1340" s="17" t="s">
        <v>0</v>
      </c>
      <c r="C1340" s="44" t="s">
        <v>66</v>
      </c>
      <c r="D1340" s="22" t="s">
        <v>2</v>
      </c>
      <c r="E1340" s="20">
        <v>1</v>
      </c>
      <c r="F1340" s="17" t="s">
        <v>232</v>
      </c>
      <c r="G1340" s="17" t="s">
        <v>252</v>
      </c>
      <c r="H1340" s="17" t="s">
        <v>253</v>
      </c>
      <c r="I1340" s="17" t="s">
        <v>254</v>
      </c>
      <c r="J1340" s="27" t="s">
        <v>67</v>
      </c>
      <c r="K1340" s="29">
        <v>1255</v>
      </c>
      <c r="L1340" s="31">
        <v>181688.95999977001</v>
      </c>
      <c r="M1340" s="31">
        <v>54566.050000055984</v>
      </c>
      <c r="N1340" s="31">
        <v>42694.969999837995</v>
      </c>
      <c r="O1340" s="34">
        <f t="shared" si="176"/>
        <v>0.30032672320940718</v>
      </c>
      <c r="P1340" s="34">
        <f t="shared" si="177"/>
        <v>0.78244567821556055</v>
      </c>
      <c r="Q1340" s="34">
        <f t="shared" si="178"/>
        <v>0.69967327679059288</v>
      </c>
      <c r="R1340" s="46">
        <f t="shared" si="179"/>
        <v>34.019896414213541</v>
      </c>
    </row>
    <row r="1341" spans="2:18" ht="12.75" customHeight="1" x14ac:dyDescent="0.25">
      <c r="B1341" s="17" t="s">
        <v>0</v>
      </c>
      <c r="C1341" s="44" t="s">
        <v>184</v>
      </c>
      <c r="D1341" s="22" t="s">
        <v>9</v>
      </c>
      <c r="E1341" s="20">
        <v>2</v>
      </c>
      <c r="F1341" s="17" t="s">
        <v>232</v>
      </c>
      <c r="G1341" s="17" t="s">
        <v>252</v>
      </c>
      <c r="H1341" s="17" t="s">
        <v>253</v>
      </c>
      <c r="I1341" s="17" t="s">
        <v>254</v>
      </c>
      <c r="J1341" s="27" t="s">
        <v>185</v>
      </c>
      <c r="K1341" s="29">
        <v>275</v>
      </c>
      <c r="L1341" s="31">
        <v>54055.109999460001</v>
      </c>
      <c r="M1341" s="31">
        <v>47840.580000326998</v>
      </c>
      <c r="N1341" s="31">
        <v>37611.529999280996</v>
      </c>
      <c r="O1341" s="34">
        <f t="shared" si="176"/>
        <v>0.88503344088662317</v>
      </c>
      <c r="P1341" s="34">
        <f t="shared" si="177"/>
        <v>0.78618465743985366</v>
      </c>
      <c r="Q1341" s="34">
        <f t="shared" si="178"/>
        <v>0.11496655911337683</v>
      </c>
      <c r="R1341" s="46">
        <f t="shared" si="179"/>
        <v>136.76919999738544</v>
      </c>
    </row>
    <row r="1342" spans="2:18" ht="12.75" customHeight="1" x14ac:dyDescent="0.25">
      <c r="B1342" s="17" t="s">
        <v>0</v>
      </c>
      <c r="C1342" s="44" t="s">
        <v>82</v>
      </c>
      <c r="D1342" s="22" t="s">
        <v>9</v>
      </c>
      <c r="E1342" s="20">
        <v>2</v>
      </c>
      <c r="F1342" s="17" t="s">
        <v>232</v>
      </c>
      <c r="G1342" s="17" t="s">
        <v>252</v>
      </c>
      <c r="H1342" s="17" t="s">
        <v>253</v>
      </c>
      <c r="I1342" s="17" t="s">
        <v>254</v>
      </c>
      <c r="J1342" s="27" t="s">
        <v>83</v>
      </c>
      <c r="K1342" s="29">
        <v>314</v>
      </c>
      <c r="L1342" s="31">
        <v>147534.42000045002</v>
      </c>
      <c r="M1342" s="31">
        <v>44106.299999504998</v>
      </c>
      <c r="N1342" s="31">
        <v>33761.180000264998</v>
      </c>
      <c r="O1342" s="34">
        <f t="shared" si="176"/>
        <v>0.29895599955163321</v>
      </c>
      <c r="P1342" s="34">
        <f t="shared" si="177"/>
        <v>0.76545028716178631</v>
      </c>
      <c r="Q1342" s="34">
        <f t="shared" si="178"/>
        <v>0.70104400044836679</v>
      </c>
      <c r="R1342" s="46">
        <f t="shared" si="179"/>
        <v>107.51968152950636</v>
      </c>
    </row>
    <row r="1343" spans="2:18" ht="12.75" customHeight="1" x14ac:dyDescent="0.25">
      <c r="B1343" s="17" t="s">
        <v>0</v>
      </c>
      <c r="C1343" s="44" t="s">
        <v>145</v>
      </c>
      <c r="D1343" s="22" t="s">
        <v>9</v>
      </c>
      <c r="E1343" s="20">
        <v>2</v>
      </c>
      <c r="F1343" s="17" t="s">
        <v>232</v>
      </c>
      <c r="G1343" s="17" t="s">
        <v>252</v>
      </c>
      <c r="H1343" s="17" t="s">
        <v>253</v>
      </c>
      <c r="I1343" s="17" t="s">
        <v>254</v>
      </c>
      <c r="J1343" s="27" t="s">
        <v>146</v>
      </c>
      <c r="K1343" s="29">
        <v>362</v>
      </c>
      <c r="L1343" s="31">
        <v>149425.97999997999</v>
      </c>
      <c r="M1343" s="31">
        <v>39936.94</v>
      </c>
      <c r="N1343" s="31">
        <v>30055.579999817</v>
      </c>
      <c r="O1343" s="34">
        <f t="shared" si="176"/>
        <v>0.26726905187441535</v>
      </c>
      <c r="P1343" s="34">
        <f t="shared" si="177"/>
        <v>0.7525759359584635</v>
      </c>
      <c r="Q1343" s="34">
        <f t="shared" si="178"/>
        <v>0.73273094812558459</v>
      </c>
      <c r="R1343" s="46">
        <f t="shared" si="179"/>
        <v>83.026464087892265</v>
      </c>
    </row>
    <row r="1344" spans="2:18" ht="12.75" customHeight="1" x14ac:dyDescent="0.25">
      <c r="B1344" s="17" t="s">
        <v>0</v>
      </c>
      <c r="C1344" s="44" t="s">
        <v>54</v>
      </c>
      <c r="D1344" s="22" t="s">
        <v>2</v>
      </c>
      <c r="E1344" s="20">
        <v>1</v>
      </c>
      <c r="F1344" s="17" t="s">
        <v>232</v>
      </c>
      <c r="G1344" s="17" t="s">
        <v>252</v>
      </c>
      <c r="H1344" s="17" t="s">
        <v>253</v>
      </c>
      <c r="I1344" s="17" t="s">
        <v>254</v>
      </c>
      <c r="J1344" s="27" t="s">
        <v>55</v>
      </c>
      <c r="K1344" s="29">
        <v>1146</v>
      </c>
      <c r="L1344" s="31">
        <v>284616.99999976897</v>
      </c>
      <c r="M1344" s="31">
        <v>38508.370000087503</v>
      </c>
      <c r="N1344" s="31">
        <v>29934.869999982402</v>
      </c>
      <c r="O1344" s="34">
        <f t="shared" si="176"/>
        <v>0.13529891046606057</v>
      </c>
      <c r="P1344" s="34">
        <f t="shared" si="177"/>
        <v>0.77736009080400914</v>
      </c>
      <c r="Q1344" s="34">
        <f t="shared" si="178"/>
        <v>0.86470108953393943</v>
      </c>
      <c r="R1344" s="46">
        <f t="shared" si="179"/>
        <v>26.12117801045585</v>
      </c>
    </row>
    <row r="1345" spans="2:18" ht="12.75" customHeight="1" x14ac:dyDescent="0.25">
      <c r="B1345" s="17" t="s">
        <v>0</v>
      </c>
      <c r="C1345" s="44" t="s">
        <v>151</v>
      </c>
      <c r="D1345" s="22" t="s">
        <v>9</v>
      </c>
      <c r="E1345" s="20">
        <v>2</v>
      </c>
      <c r="F1345" s="17" t="s">
        <v>232</v>
      </c>
      <c r="G1345" s="17" t="s">
        <v>252</v>
      </c>
      <c r="H1345" s="17" t="s">
        <v>253</v>
      </c>
      <c r="I1345" s="17" t="s">
        <v>254</v>
      </c>
      <c r="J1345" s="27" t="s">
        <v>152</v>
      </c>
      <c r="K1345" s="29">
        <v>513</v>
      </c>
      <c r="L1345" s="31">
        <v>169690</v>
      </c>
      <c r="M1345" s="31">
        <v>38832.39000023</v>
      </c>
      <c r="N1345" s="31">
        <v>29410.070000024007</v>
      </c>
      <c r="O1345" s="34">
        <f t="shared" si="176"/>
        <v>0.22884312570116094</v>
      </c>
      <c r="P1345" s="34">
        <f t="shared" si="177"/>
        <v>0.75735925601926157</v>
      </c>
      <c r="Q1345" s="34">
        <f t="shared" si="178"/>
        <v>0.77115687429883906</v>
      </c>
      <c r="R1345" s="46">
        <f t="shared" si="179"/>
        <v>57.329571150144261</v>
      </c>
    </row>
    <row r="1346" spans="2:18" ht="12.75" customHeight="1" x14ac:dyDescent="0.25">
      <c r="B1346" s="17" t="s">
        <v>0</v>
      </c>
      <c r="C1346" s="44" t="s">
        <v>127</v>
      </c>
      <c r="D1346" s="22" t="s">
        <v>9</v>
      </c>
      <c r="E1346" s="20">
        <v>2</v>
      </c>
      <c r="F1346" s="17" t="s">
        <v>232</v>
      </c>
      <c r="G1346" s="17" t="s">
        <v>252</v>
      </c>
      <c r="H1346" s="17" t="s">
        <v>253</v>
      </c>
      <c r="I1346" s="17" t="s">
        <v>254</v>
      </c>
      <c r="J1346" s="27" t="s">
        <v>128</v>
      </c>
      <c r="K1346" s="29">
        <v>209</v>
      </c>
      <c r="L1346" s="31">
        <v>105271.83999997001</v>
      </c>
      <c r="M1346" s="31">
        <v>37148.369999860006</v>
      </c>
      <c r="N1346" s="31">
        <v>29370.540000065001</v>
      </c>
      <c r="O1346" s="34">
        <f t="shared" si="176"/>
        <v>0.35288040942260146</v>
      </c>
      <c r="P1346" s="34">
        <f t="shared" si="177"/>
        <v>0.79062796026247406</v>
      </c>
      <c r="Q1346" s="34">
        <f t="shared" si="178"/>
        <v>0.64711959057739854</v>
      </c>
      <c r="R1346" s="46">
        <f t="shared" si="179"/>
        <v>140.52889952184211</v>
      </c>
    </row>
    <row r="1347" spans="2:18" ht="12.75" customHeight="1" x14ac:dyDescent="0.25">
      <c r="B1347" s="17" t="s">
        <v>0</v>
      </c>
      <c r="C1347" s="44" t="s">
        <v>28</v>
      </c>
      <c r="D1347" s="22" t="s">
        <v>2</v>
      </c>
      <c r="E1347" s="20">
        <v>1</v>
      </c>
      <c r="F1347" s="17" t="s">
        <v>232</v>
      </c>
      <c r="G1347" s="17" t="s">
        <v>252</v>
      </c>
      <c r="H1347" s="17" t="s">
        <v>253</v>
      </c>
      <c r="I1347" s="17" t="s">
        <v>254</v>
      </c>
      <c r="J1347" s="27" t="s">
        <v>29</v>
      </c>
      <c r="K1347" s="29">
        <v>1347</v>
      </c>
      <c r="L1347" s="31">
        <v>236511.56999962704</v>
      </c>
      <c r="M1347" s="31">
        <v>33118.380000049998</v>
      </c>
      <c r="N1347" s="31">
        <v>26042.000000044001</v>
      </c>
      <c r="O1347" s="34">
        <f t="shared" si="176"/>
        <v>0.1400285829572829</v>
      </c>
      <c r="P1347" s="34">
        <f t="shared" si="177"/>
        <v>0.78633073236084272</v>
      </c>
      <c r="Q1347" s="34">
        <f t="shared" si="178"/>
        <v>0.85997141704271707</v>
      </c>
      <c r="R1347" s="46">
        <f t="shared" si="179"/>
        <v>19.333333333365999</v>
      </c>
    </row>
    <row r="1348" spans="2:18" ht="12.75" customHeight="1" x14ac:dyDescent="0.25">
      <c r="B1348" s="17" t="s">
        <v>0</v>
      </c>
      <c r="C1348" s="44" t="s">
        <v>186</v>
      </c>
      <c r="D1348" s="22" t="s">
        <v>2</v>
      </c>
      <c r="E1348" s="20">
        <v>1</v>
      </c>
      <c r="F1348" s="17" t="s">
        <v>232</v>
      </c>
      <c r="G1348" s="17" t="s">
        <v>252</v>
      </c>
      <c r="H1348" s="17" t="s">
        <v>253</v>
      </c>
      <c r="I1348" s="17" t="s">
        <v>254</v>
      </c>
      <c r="J1348" s="27" t="s">
        <v>187</v>
      </c>
      <c r="K1348" s="29">
        <v>616</v>
      </c>
      <c r="L1348" s="31">
        <v>105896.000000851</v>
      </c>
      <c r="M1348" s="31">
        <v>32560.919999798698</v>
      </c>
      <c r="N1348" s="31">
        <v>25750.260000062401</v>
      </c>
      <c r="O1348" s="34">
        <f t="shared" si="176"/>
        <v>0.30748016921826166</v>
      </c>
      <c r="P1348" s="34">
        <f t="shared" si="177"/>
        <v>0.79083330569964227</v>
      </c>
      <c r="Q1348" s="34">
        <f t="shared" si="178"/>
        <v>0.6925198307817384</v>
      </c>
      <c r="R1348" s="46">
        <f t="shared" si="179"/>
        <v>41.802370129971429</v>
      </c>
    </row>
    <row r="1349" spans="2:18" ht="12.75" customHeight="1" x14ac:dyDescent="0.25">
      <c r="B1349" s="17" t="s">
        <v>0</v>
      </c>
      <c r="C1349" s="44" t="s">
        <v>72</v>
      </c>
      <c r="D1349" s="22" t="s">
        <v>9</v>
      </c>
      <c r="E1349" s="20">
        <v>2</v>
      </c>
      <c r="F1349" s="17" t="s">
        <v>232</v>
      </c>
      <c r="G1349" s="17" t="s">
        <v>252</v>
      </c>
      <c r="H1349" s="17" t="s">
        <v>253</v>
      </c>
      <c r="I1349" s="17" t="s">
        <v>254</v>
      </c>
      <c r="J1349" s="27" t="s">
        <v>73</v>
      </c>
      <c r="K1349" s="29">
        <v>581</v>
      </c>
      <c r="L1349" s="31">
        <v>182028.44999997996</v>
      </c>
      <c r="M1349" s="31">
        <v>32492.770000022996</v>
      </c>
      <c r="N1349" s="31">
        <v>24874.879999951998</v>
      </c>
      <c r="O1349" s="34">
        <f t="shared" ref="O1349:O1380" si="180">IFERROR(M1349/L1349,0)</f>
        <v>0.17850379981825135</v>
      </c>
      <c r="P1349" s="34">
        <f t="shared" ref="P1349:P1380" si="181">IFERROR(N1349/M1349,0)</f>
        <v>0.7655512287790297</v>
      </c>
      <c r="Q1349" s="34">
        <f t="shared" ref="Q1349:Q1380" si="182">IFERROR(1-(M1349/L1349),0)</f>
        <v>0.82149620018174863</v>
      </c>
      <c r="R1349" s="46">
        <f t="shared" ref="R1349:R1380" si="183">IFERROR(N1349/K1349,0)</f>
        <v>42.813907056716005</v>
      </c>
    </row>
    <row r="1350" spans="2:18" ht="12.75" customHeight="1" x14ac:dyDescent="0.25">
      <c r="B1350" s="17" t="s">
        <v>0</v>
      </c>
      <c r="C1350" s="44" t="s">
        <v>50</v>
      </c>
      <c r="D1350" s="22" t="s">
        <v>2</v>
      </c>
      <c r="E1350" s="20">
        <v>1</v>
      </c>
      <c r="F1350" s="17" t="s">
        <v>232</v>
      </c>
      <c r="G1350" s="17" t="s">
        <v>252</v>
      </c>
      <c r="H1350" s="17" t="s">
        <v>253</v>
      </c>
      <c r="I1350" s="17" t="s">
        <v>254</v>
      </c>
      <c r="J1350" s="27" t="s">
        <v>51</v>
      </c>
      <c r="K1350" s="29">
        <v>1762</v>
      </c>
      <c r="L1350" s="31">
        <v>231073.75999968403</v>
      </c>
      <c r="M1350" s="31">
        <v>27048.579999997812</v>
      </c>
      <c r="N1350" s="31">
        <v>21360.869999999002</v>
      </c>
      <c r="O1350" s="34">
        <f t="shared" si="180"/>
        <v>0.11705604305757088</v>
      </c>
      <c r="P1350" s="34">
        <f t="shared" si="181"/>
        <v>0.78972241796060016</v>
      </c>
      <c r="Q1350" s="34">
        <f t="shared" si="182"/>
        <v>0.88294395694242911</v>
      </c>
      <c r="R1350" s="46">
        <f t="shared" si="183"/>
        <v>12.123081725311579</v>
      </c>
    </row>
    <row r="1351" spans="2:18" ht="12.75" customHeight="1" x14ac:dyDescent="0.25">
      <c r="B1351" s="17" t="s">
        <v>0</v>
      </c>
      <c r="C1351" s="44" t="s">
        <v>42</v>
      </c>
      <c r="D1351" s="22" t="s">
        <v>2</v>
      </c>
      <c r="E1351" s="20">
        <v>1</v>
      </c>
      <c r="F1351" s="17" t="s">
        <v>232</v>
      </c>
      <c r="G1351" s="17" t="s">
        <v>252</v>
      </c>
      <c r="H1351" s="17" t="s">
        <v>253</v>
      </c>
      <c r="I1351" s="17" t="s">
        <v>254</v>
      </c>
      <c r="J1351" s="27" t="s">
        <v>43</v>
      </c>
      <c r="K1351" s="29">
        <v>849</v>
      </c>
      <c r="L1351" s="31">
        <v>190070.73000117298</v>
      </c>
      <c r="M1351" s="31">
        <v>28475.379999966</v>
      </c>
      <c r="N1351" s="31">
        <v>21356.859999995395</v>
      </c>
      <c r="O1351" s="34">
        <f t="shared" si="180"/>
        <v>0.1498146505766052</v>
      </c>
      <c r="P1351" s="34">
        <f t="shared" si="181"/>
        <v>0.75001141336905408</v>
      </c>
      <c r="Q1351" s="34">
        <f t="shared" si="182"/>
        <v>0.85018534942339485</v>
      </c>
      <c r="R1351" s="46">
        <f t="shared" si="183"/>
        <v>25.155312131914481</v>
      </c>
    </row>
    <row r="1352" spans="2:18" ht="12.75" customHeight="1" x14ac:dyDescent="0.25">
      <c r="B1352" s="17" t="s">
        <v>0</v>
      </c>
      <c r="C1352" s="44" t="s">
        <v>161</v>
      </c>
      <c r="D1352" s="22" t="s">
        <v>9</v>
      </c>
      <c r="E1352" s="20">
        <v>2</v>
      </c>
      <c r="F1352" s="17" t="s">
        <v>232</v>
      </c>
      <c r="G1352" s="17" t="s">
        <v>252</v>
      </c>
      <c r="H1352" s="17" t="s">
        <v>253</v>
      </c>
      <c r="I1352" s="17" t="s">
        <v>254</v>
      </c>
      <c r="J1352" s="27" t="s">
        <v>162</v>
      </c>
      <c r="K1352" s="29">
        <v>255</v>
      </c>
      <c r="L1352" s="31">
        <v>88873.000000439992</v>
      </c>
      <c r="M1352" s="31">
        <v>23051.420000153998</v>
      </c>
      <c r="N1352" s="31">
        <v>18072.759999957798</v>
      </c>
      <c r="O1352" s="34">
        <f t="shared" si="180"/>
        <v>0.25937483825278629</v>
      </c>
      <c r="P1352" s="34">
        <f t="shared" si="181"/>
        <v>0.78401937927629017</v>
      </c>
      <c r="Q1352" s="34">
        <f t="shared" si="182"/>
        <v>0.74062516174721371</v>
      </c>
      <c r="R1352" s="46">
        <f t="shared" si="183"/>
        <v>70.873568627285479</v>
      </c>
    </row>
    <row r="1353" spans="2:18" ht="12.75" customHeight="1" x14ac:dyDescent="0.25">
      <c r="B1353" s="17" t="s">
        <v>0</v>
      </c>
      <c r="C1353" s="44" t="s">
        <v>1</v>
      </c>
      <c r="D1353" s="22" t="s">
        <v>2</v>
      </c>
      <c r="E1353" s="20">
        <v>1</v>
      </c>
      <c r="F1353" s="17" t="s">
        <v>232</v>
      </c>
      <c r="G1353" s="17" t="s">
        <v>252</v>
      </c>
      <c r="H1353" s="17" t="s">
        <v>253</v>
      </c>
      <c r="I1353" s="17" t="s">
        <v>254</v>
      </c>
      <c r="J1353" s="27" t="s">
        <v>6</v>
      </c>
      <c r="K1353" s="29">
        <v>809</v>
      </c>
      <c r="L1353" s="31">
        <v>457253.00000032003</v>
      </c>
      <c r="M1353" s="31">
        <v>21655.489999990001</v>
      </c>
      <c r="N1353" s="31">
        <v>17246.340000028002</v>
      </c>
      <c r="O1353" s="34">
        <f t="shared" si="180"/>
        <v>4.7359973581310222E-2</v>
      </c>
      <c r="P1353" s="34">
        <f t="shared" si="181"/>
        <v>0.7963957407583927</v>
      </c>
      <c r="Q1353" s="34">
        <f t="shared" si="182"/>
        <v>0.95264002641868983</v>
      </c>
      <c r="R1353" s="46">
        <f t="shared" si="183"/>
        <v>21.318096415362177</v>
      </c>
    </row>
    <row r="1354" spans="2:18" ht="12.75" customHeight="1" x14ac:dyDescent="0.25">
      <c r="B1354" s="17" t="s">
        <v>0</v>
      </c>
      <c r="C1354" s="44" t="s">
        <v>44</v>
      </c>
      <c r="D1354" s="22" t="s">
        <v>9</v>
      </c>
      <c r="E1354" s="20">
        <v>2</v>
      </c>
      <c r="F1354" s="17" t="s">
        <v>232</v>
      </c>
      <c r="G1354" s="17" t="s">
        <v>252</v>
      </c>
      <c r="H1354" s="17" t="s">
        <v>253</v>
      </c>
      <c r="I1354" s="17" t="s">
        <v>254</v>
      </c>
      <c r="J1354" s="27" t="s">
        <v>45</v>
      </c>
      <c r="K1354" s="29">
        <v>232</v>
      </c>
      <c r="L1354" s="31">
        <v>64039.58</v>
      </c>
      <c r="M1354" s="31">
        <v>21331.500000151002</v>
      </c>
      <c r="N1354" s="31">
        <v>16509.960000049003</v>
      </c>
      <c r="O1354" s="34">
        <f t="shared" si="180"/>
        <v>0.33309868678325188</v>
      </c>
      <c r="P1354" s="34">
        <f t="shared" si="181"/>
        <v>0.77397088812001646</v>
      </c>
      <c r="Q1354" s="34">
        <f t="shared" si="182"/>
        <v>0.66690131321674806</v>
      </c>
      <c r="R1354" s="46">
        <f t="shared" si="183"/>
        <v>71.163620689866391</v>
      </c>
    </row>
    <row r="1355" spans="2:18" ht="12.75" customHeight="1" x14ac:dyDescent="0.25">
      <c r="B1355" s="17" t="s">
        <v>0</v>
      </c>
      <c r="C1355" s="44" t="s">
        <v>105</v>
      </c>
      <c r="D1355" s="22" t="s">
        <v>9</v>
      </c>
      <c r="E1355" s="20">
        <v>2</v>
      </c>
      <c r="F1355" s="17" t="s">
        <v>232</v>
      </c>
      <c r="G1355" s="17" t="s">
        <v>252</v>
      </c>
      <c r="H1355" s="17" t="s">
        <v>253</v>
      </c>
      <c r="I1355" s="17" t="s">
        <v>254</v>
      </c>
      <c r="J1355" s="27" t="s">
        <v>106</v>
      </c>
      <c r="K1355" s="29">
        <v>317</v>
      </c>
      <c r="L1355" s="31">
        <v>63744.140000250001</v>
      </c>
      <c r="M1355" s="31">
        <v>17909.369999971001</v>
      </c>
      <c r="N1355" s="31">
        <v>13309.700000024</v>
      </c>
      <c r="O1355" s="34">
        <f t="shared" si="180"/>
        <v>0.28095712013529023</v>
      </c>
      <c r="P1355" s="34">
        <f t="shared" si="181"/>
        <v>0.74316963690211058</v>
      </c>
      <c r="Q1355" s="34">
        <f t="shared" si="182"/>
        <v>0.71904287986470972</v>
      </c>
      <c r="R1355" s="46">
        <f t="shared" si="183"/>
        <v>41.986435331305998</v>
      </c>
    </row>
    <row r="1356" spans="2:18" ht="12.75" customHeight="1" x14ac:dyDescent="0.25">
      <c r="B1356" s="17" t="s">
        <v>0</v>
      </c>
      <c r="C1356" s="44" t="s">
        <v>46</v>
      </c>
      <c r="D1356" s="22" t="s">
        <v>2</v>
      </c>
      <c r="E1356" s="20">
        <v>1</v>
      </c>
      <c r="F1356" s="17" t="s">
        <v>232</v>
      </c>
      <c r="G1356" s="17" t="s">
        <v>252</v>
      </c>
      <c r="H1356" s="17" t="s">
        <v>253</v>
      </c>
      <c r="I1356" s="17" t="s">
        <v>254</v>
      </c>
      <c r="J1356" s="27" t="s">
        <v>47</v>
      </c>
      <c r="K1356" s="29">
        <v>1085</v>
      </c>
      <c r="L1356" s="31">
        <v>115596.74999957401</v>
      </c>
      <c r="M1356" s="31">
        <v>16520.940000012597</v>
      </c>
      <c r="N1356" s="31">
        <v>13009.960000009898</v>
      </c>
      <c r="O1356" s="34">
        <f t="shared" si="180"/>
        <v>0.14291872392669758</v>
      </c>
      <c r="P1356" s="34">
        <f t="shared" si="181"/>
        <v>0.7874830366795097</v>
      </c>
      <c r="Q1356" s="34">
        <f t="shared" si="182"/>
        <v>0.85708127607330242</v>
      </c>
      <c r="R1356" s="46">
        <f t="shared" si="183"/>
        <v>11.990746543787925</v>
      </c>
    </row>
    <row r="1357" spans="2:18" ht="12.75" customHeight="1" x14ac:dyDescent="0.25">
      <c r="B1357" s="17" t="s">
        <v>0</v>
      </c>
      <c r="C1357" s="44" t="s">
        <v>176</v>
      </c>
      <c r="D1357" s="22" t="s">
        <v>2</v>
      </c>
      <c r="E1357" s="20">
        <v>1</v>
      </c>
      <c r="F1357" s="17" t="s">
        <v>232</v>
      </c>
      <c r="G1357" s="17" t="s">
        <v>252</v>
      </c>
      <c r="H1357" s="17" t="s">
        <v>253</v>
      </c>
      <c r="I1357" s="17" t="s">
        <v>254</v>
      </c>
      <c r="J1357" s="27" t="s">
        <v>177</v>
      </c>
      <c r="K1357" s="29">
        <v>693</v>
      </c>
      <c r="L1357" s="31">
        <v>56986.999999680003</v>
      </c>
      <c r="M1357" s="31">
        <v>14889.319999989999</v>
      </c>
      <c r="N1357" s="31">
        <v>11162.420000041999</v>
      </c>
      <c r="O1357" s="34">
        <f t="shared" si="180"/>
        <v>0.2612757295536457</v>
      </c>
      <c r="P1357" s="34">
        <f t="shared" si="181"/>
        <v>0.74969306859208451</v>
      </c>
      <c r="Q1357" s="34">
        <f t="shared" si="182"/>
        <v>0.73872427044635436</v>
      </c>
      <c r="R1357" s="46">
        <f t="shared" si="183"/>
        <v>16.107388167448772</v>
      </c>
    </row>
    <row r="1358" spans="2:18" ht="12.75" customHeight="1" x14ac:dyDescent="0.25">
      <c r="B1358" s="17" t="s">
        <v>0</v>
      </c>
      <c r="C1358" s="44" t="s">
        <v>62</v>
      </c>
      <c r="D1358" s="22" t="s">
        <v>2</v>
      </c>
      <c r="E1358" s="20">
        <v>1</v>
      </c>
      <c r="F1358" s="17" t="s">
        <v>232</v>
      </c>
      <c r="G1358" s="17" t="s">
        <v>252</v>
      </c>
      <c r="H1358" s="17" t="s">
        <v>253</v>
      </c>
      <c r="I1358" s="17" t="s">
        <v>254</v>
      </c>
      <c r="J1358" s="27" t="s">
        <v>63</v>
      </c>
      <c r="K1358" s="29">
        <v>227</v>
      </c>
      <c r="L1358" s="31">
        <v>59801.299999996998</v>
      </c>
      <c r="M1358" s="31">
        <v>14204.510000086002</v>
      </c>
      <c r="N1358" s="31">
        <v>11156.219999937</v>
      </c>
      <c r="O1358" s="34">
        <f t="shared" si="180"/>
        <v>0.23752844837966255</v>
      </c>
      <c r="P1358" s="34">
        <f t="shared" si="181"/>
        <v>0.78539984834883103</v>
      </c>
      <c r="Q1358" s="34">
        <f t="shared" si="182"/>
        <v>0.76247155162033742</v>
      </c>
      <c r="R1358" s="46">
        <f t="shared" si="183"/>
        <v>49.146343612057272</v>
      </c>
    </row>
    <row r="1359" spans="2:18" ht="12.75" customHeight="1" x14ac:dyDescent="0.25">
      <c r="B1359" s="17" t="s">
        <v>0</v>
      </c>
      <c r="C1359" s="44" t="s">
        <v>137</v>
      </c>
      <c r="D1359" s="22" t="s">
        <v>9</v>
      </c>
      <c r="E1359" s="20">
        <v>2</v>
      </c>
      <c r="F1359" s="17" t="s">
        <v>232</v>
      </c>
      <c r="G1359" s="17" t="s">
        <v>252</v>
      </c>
      <c r="H1359" s="17" t="s">
        <v>253</v>
      </c>
      <c r="I1359" s="17" t="s">
        <v>254</v>
      </c>
      <c r="J1359" s="27" t="s">
        <v>138</v>
      </c>
      <c r="K1359" s="29">
        <v>97</v>
      </c>
      <c r="L1359" s="31">
        <v>34412.280000289997</v>
      </c>
      <c r="M1359" s="31">
        <v>13626.01999983</v>
      </c>
      <c r="N1359" s="31">
        <v>10752.299999910001</v>
      </c>
      <c r="O1359" s="34">
        <f t="shared" si="180"/>
        <v>0.39596388265221516</v>
      </c>
      <c r="P1359" s="34">
        <f t="shared" si="181"/>
        <v>0.78910055908065224</v>
      </c>
      <c r="Q1359" s="34">
        <f t="shared" si="182"/>
        <v>0.60403611734778484</v>
      </c>
      <c r="R1359" s="46">
        <f t="shared" si="183"/>
        <v>110.8484536073196</v>
      </c>
    </row>
    <row r="1360" spans="2:18" ht="12.75" customHeight="1" x14ac:dyDescent="0.25">
      <c r="B1360" s="17" t="s">
        <v>0</v>
      </c>
      <c r="C1360" s="44" t="s">
        <v>157</v>
      </c>
      <c r="D1360" s="22" t="s">
        <v>9</v>
      </c>
      <c r="E1360" s="20">
        <v>2</v>
      </c>
      <c r="F1360" s="17" t="s">
        <v>232</v>
      </c>
      <c r="G1360" s="17" t="s">
        <v>252</v>
      </c>
      <c r="H1360" s="17" t="s">
        <v>253</v>
      </c>
      <c r="I1360" s="17" t="s">
        <v>254</v>
      </c>
      <c r="J1360" s="27" t="s">
        <v>158</v>
      </c>
      <c r="K1360" s="29">
        <v>98</v>
      </c>
      <c r="L1360" s="31">
        <v>62825.999999959997</v>
      </c>
      <c r="M1360" s="31">
        <v>12365.059999879999</v>
      </c>
      <c r="N1360" s="31">
        <v>9458.7900000359987</v>
      </c>
      <c r="O1360" s="34">
        <f t="shared" si="180"/>
        <v>0.19681437621188477</v>
      </c>
      <c r="P1360" s="34">
        <f t="shared" si="181"/>
        <v>0.76496110816508733</v>
      </c>
      <c r="Q1360" s="34">
        <f t="shared" si="182"/>
        <v>0.8031856237881152</v>
      </c>
      <c r="R1360" s="46">
        <f t="shared" si="183"/>
        <v>96.518265306489781</v>
      </c>
    </row>
    <row r="1361" spans="2:18" ht="12.75" customHeight="1" x14ac:dyDescent="0.25">
      <c r="B1361" s="17" t="s">
        <v>0</v>
      </c>
      <c r="C1361" s="44" t="s">
        <v>44</v>
      </c>
      <c r="D1361" s="22" t="s">
        <v>2</v>
      </c>
      <c r="E1361" s="20">
        <v>1</v>
      </c>
      <c r="F1361" s="17" t="s">
        <v>232</v>
      </c>
      <c r="G1361" s="17" t="s">
        <v>252</v>
      </c>
      <c r="H1361" s="17" t="s">
        <v>253</v>
      </c>
      <c r="I1361" s="17" t="s">
        <v>254</v>
      </c>
      <c r="J1361" s="27" t="s">
        <v>45</v>
      </c>
      <c r="K1361" s="29">
        <v>727</v>
      </c>
      <c r="L1361" s="31">
        <v>41719.959999980994</v>
      </c>
      <c r="M1361" s="31">
        <v>11098.520000026998</v>
      </c>
      <c r="N1361" s="31">
        <v>8814.0199999737015</v>
      </c>
      <c r="O1361" s="34">
        <f t="shared" si="180"/>
        <v>0.26602422437682238</v>
      </c>
      <c r="P1361" s="34">
        <f t="shared" si="181"/>
        <v>0.79416174408409956</v>
      </c>
      <c r="Q1361" s="34">
        <f t="shared" si="182"/>
        <v>0.73397577562317762</v>
      </c>
      <c r="R1361" s="46">
        <f t="shared" si="183"/>
        <v>12.123823933939066</v>
      </c>
    </row>
    <row r="1362" spans="2:18" ht="12.75" customHeight="1" x14ac:dyDescent="0.25">
      <c r="B1362" s="17" t="s">
        <v>0</v>
      </c>
      <c r="C1362" s="44" t="s">
        <v>38</v>
      </c>
      <c r="D1362" s="22" t="s">
        <v>2</v>
      </c>
      <c r="E1362" s="20">
        <v>1</v>
      </c>
      <c r="F1362" s="17" t="s">
        <v>232</v>
      </c>
      <c r="G1362" s="17" t="s">
        <v>252</v>
      </c>
      <c r="H1362" s="17" t="s">
        <v>253</v>
      </c>
      <c r="I1362" s="17" t="s">
        <v>254</v>
      </c>
      <c r="J1362" s="27" t="s">
        <v>39</v>
      </c>
      <c r="K1362" s="29">
        <v>411</v>
      </c>
      <c r="L1362" s="31">
        <v>79160.280000005994</v>
      </c>
      <c r="M1362" s="31">
        <v>9172.42</v>
      </c>
      <c r="N1362" s="31">
        <v>7312.2299999980005</v>
      </c>
      <c r="O1362" s="34">
        <f t="shared" si="180"/>
        <v>0.11587149514882092</v>
      </c>
      <c r="P1362" s="34">
        <f t="shared" si="181"/>
        <v>0.79719746806164571</v>
      </c>
      <c r="Q1362" s="34">
        <f t="shared" si="182"/>
        <v>0.88412850485117911</v>
      </c>
      <c r="R1362" s="46">
        <f t="shared" si="183"/>
        <v>17.791313868608274</v>
      </c>
    </row>
    <row r="1363" spans="2:18" ht="12.75" customHeight="1" x14ac:dyDescent="0.25">
      <c r="B1363" s="17" t="s">
        <v>0</v>
      </c>
      <c r="C1363" s="44" t="s">
        <v>72</v>
      </c>
      <c r="D1363" s="22" t="s">
        <v>2</v>
      </c>
      <c r="E1363" s="20">
        <v>1</v>
      </c>
      <c r="F1363" s="17" t="s">
        <v>232</v>
      </c>
      <c r="G1363" s="17" t="s">
        <v>252</v>
      </c>
      <c r="H1363" s="17" t="s">
        <v>253</v>
      </c>
      <c r="I1363" s="17" t="s">
        <v>254</v>
      </c>
      <c r="J1363" s="27" t="s">
        <v>73</v>
      </c>
      <c r="K1363" s="29">
        <v>326</v>
      </c>
      <c r="L1363" s="31">
        <v>42142</v>
      </c>
      <c r="M1363" s="31">
        <v>9445.4099999800001</v>
      </c>
      <c r="N1363" s="31">
        <v>7272.0300000009993</v>
      </c>
      <c r="O1363" s="34">
        <f t="shared" si="180"/>
        <v>0.2241329315167766</v>
      </c>
      <c r="P1363" s="34">
        <f t="shared" si="181"/>
        <v>0.76990093601192511</v>
      </c>
      <c r="Q1363" s="34">
        <f t="shared" si="182"/>
        <v>0.7758670684832234</v>
      </c>
      <c r="R1363" s="46">
        <f t="shared" si="183"/>
        <v>22.30684049080061</v>
      </c>
    </row>
    <row r="1364" spans="2:18" ht="12.75" customHeight="1" x14ac:dyDescent="0.25">
      <c r="B1364" s="17" t="s">
        <v>0</v>
      </c>
      <c r="C1364" s="44" t="s">
        <v>103</v>
      </c>
      <c r="D1364" s="22" t="s">
        <v>2</v>
      </c>
      <c r="E1364" s="20">
        <v>1</v>
      </c>
      <c r="F1364" s="17" t="s">
        <v>232</v>
      </c>
      <c r="G1364" s="17" t="s">
        <v>252</v>
      </c>
      <c r="H1364" s="17" t="s">
        <v>253</v>
      </c>
      <c r="I1364" s="17" t="s">
        <v>254</v>
      </c>
      <c r="J1364" s="27" t="s">
        <v>104</v>
      </c>
      <c r="K1364" s="29">
        <v>423</v>
      </c>
      <c r="L1364" s="31">
        <v>19663.419999966001</v>
      </c>
      <c r="M1364" s="31">
        <v>8793.1599998040001</v>
      </c>
      <c r="N1364" s="31">
        <v>6699.8099998199996</v>
      </c>
      <c r="O1364" s="34">
        <f t="shared" si="180"/>
        <v>0.44718365369906171</v>
      </c>
      <c r="P1364" s="34">
        <f t="shared" si="181"/>
        <v>0.76193427618391329</v>
      </c>
      <c r="Q1364" s="34">
        <f t="shared" si="182"/>
        <v>0.55281634630093834</v>
      </c>
      <c r="R1364" s="46">
        <f t="shared" si="183"/>
        <v>15.838794325815602</v>
      </c>
    </row>
    <row r="1365" spans="2:18" ht="12.75" customHeight="1" x14ac:dyDescent="0.25">
      <c r="B1365" s="17" t="s">
        <v>0</v>
      </c>
      <c r="C1365" s="44" t="s">
        <v>76</v>
      </c>
      <c r="D1365" s="22" t="s">
        <v>2</v>
      </c>
      <c r="E1365" s="20">
        <v>1</v>
      </c>
      <c r="F1365" s="17" t="s">
        <v>232</v>
      </c>
      <c r="G1365" s="17" t="s">
        <v>252</v>
      </c>
      <c r="H1365" s="17" t="s">
        <v>253</v>
      </c>
      <c r="I1365" s="17" t="s">
        <v>254</v>
      </c>
      <c r="J1365" s="27" t="s">
        <v>77</v>
      </c>
      <c r="K1365" s="29">
        <v>136</v>
      </c>
      <c r="L1365" s="31">
        <v>33266.839999999997</v>
      </c>
      <c r="M1365" s="31">
        <v>7874.1800000239</v>
      </c>
      <c r="N1365" s="31">
        <v>6006.2600000447001</v>
      </c>
      <c r="O1365" s="34">
        <f t="shared" si="180"/>
        <v>0.23669756430198663</v>
      </c>
      <c r="P1365" s="34">
        <f t="shared" si="181"/>
        <v>0.76277910843115981</v>
      </c>
      <c r="Q1365" s="34">
        <f t="shared" si="182"/>
        <v>0.76330243569801337</v>
      </c>
      <c r="R1365" s="46">
        <f t="shared" si="183"/>
        <v>44.163676470916911</v>
      </c>
    </row>
    <row r="1366" spans="2:18" ht="12.75" customHeight="1" x14ac:dyDescent="0.25">
      <c r="B1366" s="17" t="s">
        <v>0</v>
      </c>
      <c r="C1366" s="44" t="s">
        <v>161</v>
      </c>
      <c r="D1366" s="22" t="s">
        <v>2</v>
      </c>
      <c r="E1366" s="20">
        <v>1</v>
      </c>
      <c r="F1366" s="17" t="s">
        <v>232</v>
      </c>
      <c r="G1366" s="17" t="s">
        <v>252</v>
      </c>
      <c r="H1366" s="17" t="s">
        <v>253</v>
      </c>
      <c r="I1366" s="17" t="s">
        <v>254</v>
      </c>
      <c r="J1366" s="27" t="s">
        <v>162</v>
      </c>
      <c r="K1366" s="29">
        <v>231</v>
      </c>
      <c r="L1366" s="31">
        <v>36342.00000023</v>
      </c>
      <c r="M1366" s="31">
        <v>7606.5699999430008</v>
      </c>
      <c r="N1366" s="31">
        <v>5440.7599999349995</v>
      </c>
      <c r="O1366" s="34">
        <f t="shared" si="180"/>
        <v>0.20930521159800947</v>
      </c>
      <c r="P1366" s="34">
        <f t="shared" si="181"/>
        <v>0.71527114060289587</v>
      </c>
      <c r="Q1366" s="34">
        <f t="shared" si="182"/>
        <v>0.79069478840199059</v>
      </c>
      <c r="R1366" s="46">
        <f t="shared" si="183"/>
        <v>23.553073592792206</v>
      </c>
    </row>
    <row r="1367" spans="2:18" ht="12.75" customHeight="1" x14ac:dyDescent="0.25">
      <c r="B1367" s="17" t="s">
        <v>0</v>
      </c>
      <c r="C1367" s="44" t="s">
        <v>68</v>
      </c>
      <c r="D1367" s="22" t="s">
        <v>2</v>
      </c>
      <c r="E1367" s="20">
        <v>1</v>
      </c>
      <c r="F1367" s="17" t="s">
        <v>232</v>
      </c>
      <c r="G1367" s="17" t="s">
        <v>252</v>
      </c>
      <c r="H1367" s="17" t="s">
        <v>253</v>
      </c>
      <c r="I1367" s="17" t="s">
        <v>254</v>
      </c>
      <c r="J1367" s="27" t="s">
        <v>69</v>
      </c>
      <c r="K1367" s="29">
        <v>460</v>
      </c>
      <c r="L1367" s="31">
        <v>22580.069999977</v>
      </c>
      <c r="M1367" s="31">
        <v>6196.1199999720002</v>
      </c>
      <c r="N1367" s="31">
        <v>4946.459999994001</v>
      </c>
      <c r="O1367" s="34">
        <f t="shared" si="180"/>
        <v>0.27440658952688418</v>
      </c>
      <c r="P1367" s="34">
        <f t="shared" si="181"/>
        <v>0.79831572016299779</v>
      </c>
      <c r="Q1367" s="34">
        <f t="shared" si="182"/>
        <v>0.72559341047311587</v>
      </c>
      <c r="R1367" s="46">
        <f t="shared" si="183"/>
        <v>10.753173913030437</v>
      </c>
    </row>
    <row r="1368" spans="2:18" ht="12.75" customHeight="1" x14ac:dyDescent="0.25">
      <c r="B1368" s="17" t="s">
        <v>0</v>
      </c>
      <c r="C1368" s="44" t="s">
        <v>38</v>
      </c>
      <c r="D1368" s="22" t="s">
        <v>9</v>
      </c>
      <c r="E1368" s="20">
        <v>2</v>
      </c>
      <c r="F1368" s="17" t="s">
        <v>232</v>
      </c>
      <c r="G1368" s="17" t="s">
        <v>252</v>
      </c>
      <c r="H1368" s="17" t="s">
        <v>253</v>
      </c>
      <c r="I1368" s="17" t="s">
        <v>254</v>
      </c>
      <c r="J1368" s="27" t="s">
        <v>39</v>
      </c>
      <c r="K1368" s="29">
        <v>64</v>
      </c>
      <c r="L1368" s="31">
        <v>16862.99999996</v>
      </c>
      <c r="M1368" s="31">
        <v>6328.7700000219993</v>
      </c>
      <c r="N1368" s="31">
        <v>4776.1499999539992</v>
      </c>
      <c r="O1368" s="34">
        <f t="shared" si="180"/>
        <v>0.3753051058552459</v>
      </c>
      <c r="P1368" s="34">
        <f t="shared" si="181"/>
        <v>0.75467270890511062</v>
      </c>
      <c r="Q1368" s="34">
        <f t="shared" si="182"/>
        <v>0.6246948941447541</v>
      </c>
      <c r="R1368" s="46">
        <f t="shared" si="183"/>
        <v>74.627343749281238</v>
      </c>
    </row>
    <row r="1369" spans="2:18" ht="12.75" customHeight="1" x14ac:dyDescent="0.25">
      <c r="B1369" s="17" t="s">
        <v>0</v>
      </c>
      <c r="C1369" s="44" t="s">
        <v>24</v>
      </c>
      <c r="D1369" s="22" t="s">
        <v>2</v>
      </c>
      <c r="E1369" s="20">
        <v>1</v>
      </c>
      <c r="F1369" s="17" t="s">
        <v>232</v>
      </c>
      <c r="G1369" s="17" t="s">
        <v>252</v>
      </c>
      <c r="H1369" s="17" t="s">
        <v>253</v>
      </c>
      <c r="I1369" s="17" t="s">
        <v>254</v>
      </c>
      <c r="J1369" s="27" t="s">
        <v>25</v>
      </c>
      <c r="K1369" s="29">
        <v>344</v>
      </c>
      <c r="L1369" s="31">
        <v>21185.280000096998</v>
      </c>
      <c r="M1369" s="31">
        <v>5396.3600000109991</v>
      </c>
      <c r="N1369" s="31">
        <v>4277.7200000098001</v>
      </c>
      <c r="O1369" s="34">
        <f t="shared" si="180"/>
        <v>0.25472214669743765</v>
      </c>
      <c r="P1369" s="34">
        <f t="shared" si="181"/>
        <v>0.79270471206537019</v>
      </c>
      <c r="Q1369" s="34">
        <f t="shared" si="182"/>
        <v>0.74527785330256235</v>
      </c>
      <c r="R1369" s="46">
        <f t="shared" si="183"/>
        <v>12.435232558168023</v>
      </c>
    </row>
    <row r="1370" spans="2:18" ht="12.75" customHeight="1" x14ac:dyDescent="0.25">
      <c r="B1370" s="17" t="s">
        <v>0</v>
      </c>
      <c r="C1370" s="44" t="s">
        <v>186</v>
      </c>
      <c r="D1370" s="22" t="s">
        <v>9</v>
      </c>
      <c r="E1370" s="20">
        <v>2</v>
      </c>
      <c r="F1370" s="17" t="s">
        <v>232</v>
      </c>
      <c r="G1370" s="17" t="s">
        <v>252</v>
      </c>
      <c r="H1370" s="17" t="s">
        <v>253</v>
      </c>
      <c r="I1370" s="17" t="s">
        <v>254</v>
      </c>
      <c r="J1370" s="27" t="s">
        <v>187</v>
      </c>
      <c r="K1370" s="29">
        <v>43</v>
      </c>
      <c r="L1370" s="31">
        <v>18040.999999790001</v>
      </c>
      <c r="M1370" s="31">
        <v>5226.7800001800006</v>
      </c>
      <c r="N1370" s="31">
        <v>4143.6100000080005</v>
      </c>
      <c r="O1370" s="34">
        <f t="shared" si="180"/>
        <v>0.28971675629071786</v>
      </c>
      <c r="P1370" s="34">
        <f t="shared" si="181"/>
        <v>0.7927653354197618</v>
      </c>
      <c r="Q1370" s="34">
        <f t="shared" si="182"/>
        <v>0.71028324370928209</v>
      </c>
      <c r="R1370" s="46">
        <f t="shared" si="183"/>
        <v>96.363023256000005</v>
      </c>
    </row>
    <row r="1371" spans="2:18" ht="12.75" customHeight="1" x14ac:dyDescent="0.25">
      <c r="B1371" s="17" t="s">
        <v>0</v>
      </c>
      <c r="C1371" s="44" t="s">
        <v>135</v>
      </c>
      <c r="D1371" s="22" t="s">
        <v>9</v>
      </c>
      <c r="E1371" s="20">
        <v>2</v>
      </c>
      <c r="F1371" s="17" t="s">
        <v>232</v>
      </c>
      <c r="G1371" s="17" t="s">
        <v>252</v>
      </c>
      <c r="H1371" s="17" t="s">
        <v>253</v>
      </c>
      <c r="I1371" s="17" t="s">
        <v>254</v>
      </c>
      <c r="J1371" s="27" t="s">
        <v>136</v>
      </c>
      <c r="K1371" s="29">
        <v>68</v>
      </c>
      <c r="L1371" s="31">
        <v>13141</v>
      </c>
      <c r="M1371" s="31">
        <v>4790.8500000060003</v>
      </c>
      <c r="N1371" s="31">
        <v>3802.1400000001995</v>
      </c>
      <c r="O1371" s="34">
        <f t="shared" si="180"/>
        <v>0.3645727113618446</v>
      </c>
      <c r="P1371" s="34">
        <f t="shared" si="181"/>
        <v>0.79362534831928311</v>
      </c>
      <c r="Q1371" s="34">
        <f t="shared" si="182"/>
        <v>0.63542728863815534</v>
      </c>
      <c r="R1371" s="46">
        <f t="shared" si="183"/>
        <v>55.913823529414699</v>
      </c>
    </row>
    <row r="1372" spans="2:18" ht="12.75" customHeight="1" x14ac:dyDescent="0.25">
      <c r="B1372" s="17" t="s">
        <v>0</v>
      </c>
      <c r="C1372" s="44" t="s">
        <v>58</v>
      </c>
      <c r="D1372" s="22" t="s">
        <v>2</v>
      </c>
      <c r="E1372" s="20">
        <v>1</v>
      </c>
      <c r="F1372" s="17" t="s">
        <v>232</v>
      </c>
      <c r="G1372" s="17" t="s">
        <v>252</v>
      </c>
      <c r="H1372" s="17" t="s">
        <v>253</v>
      </c>
      <c r="I1372" s="17" t="s">
        <v>254</v>
      </c>
      <c r="J1372" s="27" t="s">
        <v>59</v>
      </c>
      <c r="K1372" s="29">
        <v>163</v>
      </c>
      <c r="L1372" s="31">
        <v>22611.779999840001</v>
      </c>
      <c r="M1372" s="31">
        <v>4670.9100000550006</v>
      </c>
      <c r="N1372" s="31">
        <v>3702.6200000019999</v>
      </c>
      <c r="O1372" s="34">
        <f t="shared" si="180"/>
        <v>0.20656976142913347</v>
      </c>
      <c r="P1372" s="34">
        <f t="shared" si="181"/>
        <v>0.79269778265014756</v>
      </c>
      <c r="Q1372" s="34">
        <f t="shared" si="182"/>
        <v>0.79343023857086648</v>
      </c>
      <c r="R1372" s="46">
        <f t="shared" si="183"/>
        <v>22.715460122711654</v>
      </c>
    </row>
    <row r="1373" spans="2:18" ht="12.75" customHeight="1" x14ac:dyDescent="0.25">
      <c r="B1373" s="17" t="s">
        <v>0</v>
      </c>
      <c r="C1373" s="44" t="s">
        <v>96</v>
      </c>
      <c r="D1373" s="22" t="s">
        <v>9</v>
      </c>
      <c r="E1373" s="20">
        <v>2</v>
      </c>
      <c r="F1373" s="17" t="s">
        <v>232</v>
      </c>
      <c r="G1373" s="17" t="s">
        <v>252</v>
      </c>
      <c r="H1373" s="17" t="s">
        <v>253</v>
      </c>
      <c r="I1373" s="17" t="s">
        <v>254</v>
      </c>
      <c r="J1373" s="27" t="s">
        <v>97</v>
      </c>
      <c r="K1373" s="29">
        <v>43</v>
      </c>
      <c r="L1373" s="31">
        <v>45220</v>
      </c>
      <c r="M1373" s="31">
        <v>3972.6800000550002</v>
      </c>
      <c r="N1373" s="31">
        <v>3069.5800000649997</v>
      </c>
      <c r="O1373" s="34">
        <f t="shared" si="180"/>
        <v>8.7852277754422822E-2</v>
      </c>
      <c r="P1373" s="34">
        <f t="shared" si="181"/>
        <v>0.7726723521709532</v>
      </c>
      <c r="Q1373" s="34">
        <f t="shared" si="182"/>
        <v>0.91214772224557716</v>
      </c>
      <c r="R1373" s="46">
        <f t="shared" si="183"/>
        <v>71.385581396860459</v>
      </c>
    </row>
    <row r="1374" spans="2:18" ht="12.75" customHeight="1" x14ac:dyDescent="0.25">
      <c r="B1374" s="17" t="s">
        <v>0</v>
      </c>
      <c r="C1374" s="44" t="s">
        <v>90</v>
      </c>
      <c r="D1374" s="22" t="s">
        <v>2</v>
      </c>
      <c r="E1374" s="20">
        <v>1</v>
      </c>
      <c r="F1374" s="17" t="s">
        <v>232</v>
      </c>
      <c r="G1374" s="17" t="s">
        <v>252</v>
      </c>
      <c r="H1374" s="17" t="s">
        <v>253</v>
      </c>
      <c r="I1374" s="17" t="s">
        <v>254</v>
      </c>
      <c r="J1374" s="27" t="s">
        <v>91</v>
      </c>
      <c r="K1374" s="29">
        <v>109</v>
      </c>
      <c r="L1374" s="31">
        <v>21647</v>
      </c>
      <c r="M1374" s="31">
        <v>3650.6300000050001</v>
      </c>
      <c r="N1374" s="31">
        <v>2915.1300000099995</v>
      </c>
      <c r="O1374" s="34">
        <f t="shared" si="180"/>
        <v>0.16864369196678525</v>
      </c>
      <c r="P1374" s="34">
        <f t="shared" si="181"/>
        <v>0.79852792531864547</v>
      </c>
      <c r="Q1374" s="34">
        <f t="shared" si="182"/>
        <v>0.8313563080332147</v>
      </c>
      <c r="R1374" s="46">
        <f t="shared" si="183"/>
        <v>26.744311926697243</v>
      </c>
    </row>
    <row r="1375" spans="2:18" ht="12.75" customHeight="1" x14ac:dyDescent="0.25">
      <c r="B1375" s="17" t="s">
        <v>0</v>
      </c>
      <c r="C1375" s="44" t="s">
        <v>74</v>
      </c>
      <c r="D1375" s="22" t="s">
        <v>9</v>
      </c>
      <c r="E1375" s="20">
        <v>2</v>
      </c>
      <c r="F1375" s="17" t="s">
        <v>232</v>
      </c>
      <c r="G1375" s="17" t="s">
        <v>252</v>
      </c>
      <c r="H1375" s="17" t="s">
        <v>253</v>
      </c>
      <c r="I1375" s="17" t="s">
        <v>254</v>
      </c>
      <c r="J1375" s="27" t="s">
        <v>75</v>
      </c>
      <c r="K1375" s="29">
        <v>74</v>
      </c>
      <c r="L1375" s="31">
        <v>20794</v>
      </c>
      <c r="M1375" s="31">
        <v>3723.5499999819999</v>
      </c>
      <c r="N1375" s="31">
        <v>2910.2799999920003</v>
      </c>
      <c r="O1375" s="34">
        <f t="shared" si="180"/>
        <v>0.17906848129181493</v>
      </c>
      <c r="P1375" s="34">
        <f t="shared" si="181"/>
        <v>0.78158746357805564</v>
      </c>
      <c r="Q1375" s="34">
        <f t="shared" si="182"/>
        <v>0.82093151870818504</v>
      </c>
      <c r="R1375" s="46">
        <f t="shared" si="183"/>
        <v>39.328108108000002</v>
      </c>
    </row>
    <row r="1376" spans="2:18" ht="12.75" customHeight="1" x14ac:dyDescent="0.25">
      <c r="B1376" s="17" t="s">
        <v>0</v>
      </c>
      <c r="C1376" s="44" t="s">
        <v>1</v>
      </c>
      <c r="D1376" s="22" t="s">
        <v>9</v>
      </c>
      <c r="E1376" s="20">
        <v>2</v>
      </c>
      <c r="F1376" s="17" t="s">
        <v>232</v>
      </c>
      <c r="G1376" s="17" t="s">
        <v>252</v>
      </c>
      <c r="H1376" s="17" t="s">
        <v>253</v>
      </c>
      <c r="I1376" s="17" t="s">
        <v>254</v>
      </c>
      <c r="J1376" s="27" t="s">
        <v>6</v>
      </c>
      <c r="K1376" s="29">
        <v>67</v>
      </c>
      <c r="L1376" s="31">
        <v>7772</v>
      </c>
      <c r="M1376" s="31">
        <v>3682.930000026</v>
      </c>
      <c r="N1376" s="31">
        <v>2845.8599999960002</v>
      </c>
      <c r="O1376" s="34">
        <f t="shared" si="180"/>
        <v>0.47387159032758619</v>
      </c>
      <c r="P1376" s="34">
        <f t="shared" si="181"/>
        <v>0.77271628838340933</v>
      </c>
      <c r="Q1376" s="34">
        <f t="shared" si="182"/>
        <v>0.52612840967241381</v>
      </c>
      <c r="R1376" s="46">
        <f t="shared" si="183"/>
        <v>42.475522388000002</v>
      </c>
    </row>
    <row r="1377" spans="2:18" ht="12.75" customHeight="1" x14ac:dyDescent="0.25">
      <c r="B1377" s="17" t="s">
        <v>0</v>
      </c>
      <c r="C1377" s="44" t="s">
        <v>16</v>
      </c>
      <c r="D1377" s="22" t="s">
        <v>2</v>
      </c>
      <c r="E1377" s="20">
        <v>1</v>
      </c>
      <c r="F1377" s="17" t="s">
        <v>232</v>
      </c>
      <c r="G1377" s="17" t="s">
        <v>252</v>
      </c>
      <c r="H1377" s="17" t="s">
        <v>253</v>
      </c>
      <c r="I1377" s="17" t="s">
        <v>254</v>
      </c>
      <c r="J1377" s="27" t="s">
        <v>17</v>
      </c>
      <c r="K1377" s="29">
        <v>82</v>
      </c>
      <c r="L1377" s="31">
        <v>14471</v>
      </c>
      <c r="M1377" s="31">
        <v>2244.5299999929998</v>
      </c>
      <c r="N1377" s="31">
        <v>1729.0499999859999</v>
      </c>
      <c r="O1377" s="34">
        <f t="shared" si="180"/>
        <v>0.15510538317966968</v>
      </c>
      <c r="P1377" s="34">
        <f t="shared" si="181"/>
        <v>0.77033944745287097</v>
      </c>
      <c r="Q1377" s="34">
        <f t="shared" si="182"/>
        <v>0.84489461682033029</v>
      </c>
      <c r="R1377" s="46">
        <f t="shared" si="183"/>
        <v>21.085975609585365</v>
      </c>
    </row>
    <row r="1378" spans="2:18" ht="12.75" customHeight="1" x14ac:dyDescent="0.25">
      <c r="B1378" s="17" t="s">
        <v>0</v>
      </c>
      <c r="C1378" s="44" t="s">
        <v>225</v>
      </c>
      <c r="D1378" s="22" t="s">
        <v>2</v>
      </c>
      <c r="E1378" s="20">
        <v>1</v>
      </c>
      <c r="F1378" s="17" t="s">
        <v>232</v>
      </c>
      <c r="G1378" s="17" t="s">
        <v>252</v>
      </c>
      <c r="H1378" s="17" t="s">
        <v>253</v>
      </c>
      <c r="I1378" s="17" t="s">
        <v>254</v>
      </c>
      <c r="J1378" s="27" t="s">
        <v>226</v>
      </c>
      <c r="K1378" s="29">
        <v>75</v>
      </c>
      <c r="L1378" s="31">
        <v>9438</v>
      </c>
      <c r="M1378" s="31">
        <v>2372.739999975</v>
      </c>
      <c r="N1378" s="31">
        <v>1715.3000000249999</v>
      </c>
      <c r="O1378" s="34">
        <f t="shared" si="180"/>
        <v>0.25140283958200893</v>
      </c>
      <c r="P1378" s="34">
        <f t="shared" si="181"/>
        <v>0.72291949393657662</v>
      </c>
      <c r="Q1378" s="34">
        <f t="shared" si="182"/>
        <v>0.74859716041799107</v>
      </c>
      <c r="R1378" s="46">
        <f t="shared" si="183"/>
        <v>22.870666666999998</v>
      </c>
    </row>
    <row r="1379" spans="2:18" ht="12.75" customHeight="1" x14ac:dyDescent="0.25">
      <c r="B1379" s="17" t="s">
        <v>0</v>
      </c>
      <c r="C1379" s="44" t="s">
        <v>110</v>
      </c>
      <c r="D1379" s="22" t="s">
        <v>2</v>
      </c>
      <c r="E1379" s="20">
        <v>1</v>
      </c>
      <c r="F1379" s="17" t="s">
        <v>232</v>
      </c>
      <c r="G1379" s="17" t="s">
        <v>252</v>
      </c>
      <c r="H1379" s="17" t="s">
        <v>253</v>
      </c>
      <c r="I1379" s="17" t="s">
        <v>254</v>
      </c>
      <c r="J1379" s="27" t="s">
        <v>111</v>
      </c>
      <c r="K1379" s="29">
        <v>87</v>
      </c>
      <c r="L1379" s="31">
        <v>11452</v>
      </c>
      <c r="M1379" s="31">
        <v>2504.7200000049997</v>
      </c>
      <c r="N1379" s="31">
        <v>1641.0099999969998</v>
      </c>
      <c r="O1379" s="34">
        <f t="shared" si="180"/>
        <v>0.21871463499869015</v>
      </c>
      <c r="P1379" s="34">
        <f t="shared" si="181"/>
        <v>0.65516704461725228</v>
      </c>
      <c r="Q1379" s="34">
        <f t="shared" si="182"/>
        <v>0.78128536500130985</v>
      </c>
      <c r="R1379" s="46">
        <f t="shared" si="183"/>
        <v>18.862183908011492</v>
      </c>
    </row>
    <row r="1380" spans="2:18" ht="12.75" customHeight="1" x14ac:dyDescent="0.25">
      <c r="B1380" s="17" t="s">
        <v>0</v>
      </c>
      <c r="C1380" s="44" t="s">
        <v>94</v>
      </c>
      <c r="D1380" s="22" t="s">
        <v>2</v>
      </c>
      <c r="E1380" s="20">
        <v>1</v>
      </c>
      <c r="F1380" s="17" t="s">
        <v>232</v>
      </c>
      <c r="G1380" s="17" t="s">
        <v>252</v>
      </c>
      <c r="H1380" s="17" t="s">
        <v>253</v>
      </c>
      <c r="I1380" s="17" t="s">
        <v>254</v>
      </c>
      <c r="J1380" s="27" t="s">
        <v>95</v>
      </c>
      <c r="K1380" s="29">
        <v>56</v>
      </c>
      <c r="L1380" s="31">
        <v>16485</v>
      </c>
      <c r="M1380" s="31">
        <v>1745.350000016</v>
      </c>
      <c r="N1380" s="31">
        <v>1241.3100000000002</v>
      </c>
      <c r="O1380" s="34">
        <f t="shared" si="180"/>
        <v>0.10587503791422505</v>
      </c>
      <c r="P1380" s="34">
        <f t="shared" si="181"/>
        <v>0.71120978599628781</v>
      </c>
      <c r="Q1380" s="34">
        <f t="shared" si="182"/>
        <v>0.89412496208577497</v>
      </c>
      <c r="R1380" s="46">
        <f t="shared" si="183"/>
        <v>22.166250000000002</v>
      </c>
    </row>
    <row r="1381" spans="2:18" ht="12.75" customHeight="1" x14ac:dyDescent="0.25">
      <c r="B1381" s="17" t="s">
        <v>0</v>
      </c>
      <c r="C1381" s="44" t="s">
        <v>182</v>
      </c>
      <c r="D1381" s="22" t="s">
        <v>2</v>
      </c>
      <c r="E1381" s="20">
        <v>1</v>
      </c>
      <c r="F1381" s="17" t="s">
        <v>232</v>
      </c>
      <c r="G1381" s="17" t="s">
        <v>252</v>
      </c>
      <c r="H1381" s="17" t="s">
        <v>253</v>
      </c>
      <c r="I1381" s="17" t="s">
        <v>254</v>
      </c>
      <c r="J1381" s="27" t="s">
        <v>183</v>
      </c>
      <c r="K1381" s="29">
        <v>97</v>
      </c>
      <c r="L1381" s="31">
        <v>7159</v>
      </c>
      <c r="M1381" s="31">
        <v>1544.9999999839999</v>
      </c>
      <c r="N1381" s="31">
        <v>1232.6999999985001</v>
      </c>
      <c r="O1381" s="34">
        <f t="shared" ref="O1381:O1391" si="184">IFERROR(M1381/L1381,0)</f>
        <v>0.21581226428048608</v>
      </c>
      <c r="P1381" s="34">
        <f t="shared" ref="P1381:P1391" si="185">IFERROR(N1381/M1381,0)</f>
        <v>0.79786407767719481</v>
      </c>
      <c r="Q1381" s="34">
        <f t="shared" ref="Q1381:Q1391" si="186">IFERROR(1-(M1381/L1381),0)</f>
        <v>0.78418773571951395</v>
      </c>
      <c r="R1381" s="46">
        <f t="shared" ref="R1381:R1391" si="187">IFERROR(N1381/K1381,0)</f>
        <v>12.708247422664948</v>
      </c>
    </row>
    <row r="1382" spans="2:18" ht="12.75" customHeight="1" x14ac:dyDescent="0.25">
      <c r="B1382" s="17" t="s">
        <v>0</v>
      </c>
      <c r="C1382" s="44" t="s">
        <v>180</v>
      </c>
      <c r="D1382" s="22" t="s">
        <v>9</v>
      </c>
      <c r="E1382" s="20">
        <v>2</v>
      </c>
      <c r="F1382" s="17" t="s">
        <v>232</v>
      </c>
      <c r="G1382" s="17" t="s">
        <v>252</v>
      </c>
      <c r="H1382" s="17" t="s">
        <v>253</v>
      </c>
      <c r="I1382" s="17" t="s">
        <v>254</v>
      </c>
      <c r="J1382" s="27" t="s">
        <v>181</v>
      </c>
      <c r="K1382" s="29">
        <v>17</v>
      </c>
      <c r="L1382" s="31">
        <v>4233</v>
      </c>
      <c r="M1382" s="31">
        <v>1583.0199999930001</v>
      </c>
      <c r="N1382" s="31">
        <v>1185.92</v>
      </c>
      <c r="O1382" s="34">
        <f t="shared" si="184"/>
        <v>0.3739711788313253</v>
      </c>
      <c r="P1382" s="34">
        <f t="shared" si="185"/>
        <v>0.74915035817945708</v>
      </c>
      <c r="Q1382" s="34">
        <f t="shared" si="186"/>
        <v>0.62602882116867464</v>
      </c>
      <c r="R1382" s="46">
        <f t="shared" si="187"/>
        <v>69.760000000000005</v>
      </c>
    </row>
    <row r="1383" spans="2:18" ht="12.75" customHeight="1" x14ac:dyDescent="0.25">
      <c r="B1383" s="17" t="s">
        <v>0</v>
      </c>
      <c r="C1383" s="44" t="s">
        <v>172</v>
      </c>
      <c r="D1383" s="22" t="s">
        <v>9</v>
      </c>
      <c r="E1383" s="20">
        <v>2</v>
      </c>
      <c r="F1383" s="17" t="s">
        <v>232</v>
      </c>
      <c r="G1383" s="17" t="s">
        <v>252</v>
      </c>
      <c r="H1383" s="17" t="s">
        <v>253</v>
      </c>
      <c r="I1383" s="17" t="s">
        <v>254</v>
      </c>
      <c r="J1383" s="27" t="s">
        <v>173</v>
      </c>
      <c r="K1383" s="29">
        <v>22</v>
      </c>
      <c r="L1383" s="31">
        <v>4048</v>
      </c>
      <c r="M1383" s="31">
        <v>1388.4899999960001</v>
      </c>
      <c r="N1383" s="31">
        <v>876.56000000800009</v>
      </c>
      <c r="O1383" s="34">
        <f t="shared" si="184"/>
        <v>0.34300642292391303</v>
      </c>
      <c r="P1383" s="34">
        <f t="shared" si="185"/>
        <v>0.63130451066304061</v>
      </c>
      <c r="Q1383" s="34">
        <f t="shared" si="186"/>
        <v>0.65699357707608697</v>
      </c>
      <c r="R1383" s="46">
        <f t="shared" si="187"/>
        <v>39.843636364000005</v>
      </c>
    </row>
    <row r="1384" spans="2:18" ht="12.75" customHeight="1" x14ac:dyDescent="0.25">
      <c r="B1384" s="17" t="s">
        <v>0</v>
      </c>
      <c r="C1384" s="44" t="s">
        <v>191</v>
      </c>
      <c r="D1384" s="22" t="s">
        <v>9</v>
      </c>
      <c r="E1384" s="20">
        <v>2</v>
      </c>
      <c r="F1384" s="17" t="s">
        <v>232</v>
      </c>
      <c r="G1384" s="17" t="s">
        <v>252</v>
      </c>
      <c r="H1384" s="17" t="s">
        <v>253</v>
      </c>
      <c r="I1384" s="17" t="s">
        <v>254</v>
      </c>
      <c r="J1384" s="27" t="s">
        <v>192</v>
      </c>
      <c r="K1384" s="29">
        <v>13</v>
      </c>
      <c r="L1384" s="31">
        <v>3094</v>
      </c>
      <c r="M1384" s="31">
        <v>999.57</v>
      </c>
      <c r="N1384" s="31">
        <v>796.38</v>
      </c>
      <c r="O1384" s="34">
        <f t="shared" si="184"/>
        <v>0.32306722689075634</v>
      </c>
      <c r="P1384" s="34">
        <f t="shared" si="185"/>
        <v>0.79672259071400697</v>
      </c>
      <c r="Q1384" s="34">
        <f t="shared" si="186"/>
        <v>0.6769327731092436</v>
      </c>
      <c r="R1384" s="46">
        <f t="shared" si="187"/>
        <v>61.26</v>
      </c>
    </row>
    <row r="1385" spans="2:18" ht="12.75" customHeight="1" x14ac:dyDescent="0.25">
      <c r="B1385" s="17" t="s">
        <v>0</v>
      </c>
      <c r="C1385" s="44" t="s">
        <v>96</v>
      </c>
      <c r="D1385" s="22" t="s">
        <v>2</v>
      </c>
      <c r="E1385" s="20">
        <v>1</v>
      </c>
      <c r="F1385" s="17" t="s">
        <v>232</v>
      </c>
      <c r="G1385" s="17" t="s">
        <v>252</v>
      </c>
      <c r="H1385" s="17" t="s">
        <v>253</v>
      </c>
      <c r="I1385" s="17" t="s">
        <v>254</v>
      </c>
      <c r="J1385" s="27" t="s">
        <v>97</v>
      </c>
      <c r="K1385" s="29">
        <v>13</v>
      </c>
      <c r="L1385" s="31">
        <v>3796</v>
      </c>
      <c r="M1385" s="31">
        <v>862.62999999800002</v>
      </c>
      <c r="N1385" s="31">
        <v>687.27000000100008</v>
      </c>
      <c r="O1385" s="34">
        <f t="shared" si="184"/>
        <v>0.22724710221232877</v>
      </c>
      <c r="P1385" s="34">
        <f t="shared" si="185"/>
        <v>0.79671469807749962</v>
      </c>
      <c r="Q1385" s="34">
        <f t="shared" si="186"/>
        <v>0.7727528977876712</v>
      </c>
      <c r="R1385" s="46">
        <f t="shared" si="187"/>
        <v>52.86692307700001</v>
      </c>
    </row>
    <row r="1386" spans="2:18" ht="12.75" customHeight="1" x14ac:dyDescent="0.25">
      <c r="B1386" s="17" t="s">
        <v>0</v>
      </c>
      <c r="C1386" s="44" t="s">
        <v>225</v>
      </c>
      <c r="D1386" s="22" t="s">
        <v>9</v>
      </c>
      <c r="E1386" s="20">
        <v>2</v>
      </c>
      <c r="F1386" s="17" t="s">
        <v>232</v>
      </c>
      <c r="G1386" s="17" t="s">
        <v>252</v>
      </c>
      <c r="H1386" s="17" t="s">
        <v>253</v>
      </c>
      <c r="I1386" s="17" t="s">
        <v>254</v>
      </c>
      <c r="J1386" s="27" t="s">
        <v>226</v>
      </c>
      <c r="K1386" s="29">
        <v>40</v>
      </c>
      <c r="L1386" s="31">
        <v>4440</v>
      </c>
      <c r="M1386" s="31">
        <v>1015.77</v>
      </c>
      <c r="N1386" s="31">
        <v>617.25</v>
      </c>
      <c r="O1386" s="34">
        <f t="shared" si="184"/>
        <v>0.22877702702702701</v>
      </c>
      <c r="P1386" s="34">
        <f t="shared" si="185"/>
        <v>0.6076670899908444</v>
      </c>
      <c r="Q1386" s="34">
        <f t="shared" si="186"/>
        <v>0.77122297297297293</v>
      </c>
      <c r="R1386" s="46">
        <f t="shared" si="187"/>
        <v>15.43125</v>
      </c>
    </row>
    <row r="1387" spans="2:18" ht="12.75" customHeight="1" x14ac:dyDescent="0.25">
      <c r="B1387" s="17" t="s">
        <v>0</v>
      </c>
      <c r="C1387" s="44" t="s">
        <v>170</v>
      </c>
      <c r="D1387" s="22" t="s">
        <v>2</v>
      </c>
      <c r="E1387" s="20">
        <v>1</v>
      </c>
      <c r="F1387" s="17" t="s">
        <v>232</v>
      </c>
      <c r="G1387" s="17" t="s">
        <v>252</v>
      </c>
      <c r="H1387" s="17" t="s">
        <v>253</v>
      </c>
      <c r="I1387" s="17" t="s">
        <v>254</v>
      </c>
      <c r="J1387" s="27" t="s">
        <v>171</v>
      </c>
      <c r="K1387" s="29">
        <v>25</v>
      </c>
      <c r="L1387" s="31">
        <v>8115.0000000000009</v>
      </c>
      <c r="M1387" s="31">
        <v>628.62</v>
      </c>
      <c r="N1387" s="31">
        <v>452.97999999999996</v>
      </c>
      <c r="O1387" s="34">
        <f t="shared" si="184"/>
        <v>7.7463955637707943E-2</v>
      </c>
      <c r="P1387" s="34">
        <f t="shared" si="185"/>
        <v>0.72059431771181315</v>
      </c>
      <c r="Q1387" s="34">
        <f t="shared" si="186"/>
        <v>0.92253604436229208</v>
      </c>
      <c r="R1387" s="46">
        <f t="shared" si="187"/>
        <v>18.119199999999999</v>
      </c>
    </row>
    <row r="1388" spans="2:18" ht="12.75" customHeight="1" x14ac:dyDescent="0.25">
      <c r="B1388" s="17" t="s">
        <v>0</v>
      </c>
      <c r="C1388" s="44" t="s">
        <v>20</v>
      </c>
      <c r="D1388" s="22" t="s">
        <v>2</v>
      </c>
      <c r="E1388" s="20">
        <v>1</v>
      </c>
      <c r="F1388" s="17" t="s">
        <v>232</v>
      </c>
      <c r="G1388" s="17" t="s">
        <v>252</v>
      </c>
      <c r="H1388" s="17" t="s">
        <v>253</v>
      </c>
      <c r="I1388" s="17" t="s">
        <v>254</v>
      </c>
      <c r="J1388" s="27" t="s">
        <v>21</v>
      </c>
      <c r="K1388" s="29">
        <v>20</v>
      </c>
      <c r="L1388" s="31">
        <v>3420</v>
      </c>
      <c r="M1388" s="31">
        <v>572.93999999999994</v>
      </c>
      <c r="N1388" s="31">
        <v>447.41999999999996</v>
      </c>
      <c r="O1388" s="34">
        <f t="shared" si="184"/>
        <v>0.16752631578947366</v>
      </c>
      <c r="P1388" s="34">
        <f t="shared" si="185"/>
        <v>0.7809194680071212</v>
      </c>
      <c r="Q1388" s="34">
        <f t="shared" si="186"/>
        <v>0.83247368421052637</v>
      </c>
      <c r="R1388" s="46">
        <f t="shared" si="187"/>
        <v>22.370999999999999</v>
      </c>
    </row>
    <row r="1389" spans="2:18" ht="12.75" customHeight="1" x14ac:dyDescent="0.25">
      <c r="B1389" s="17" t="s">
        <v>0</v>
      </c>
      <c r="C1389" s="44" t="s">
        <v>135</v>
      </c>
      <c r="D1389" s="22" t="s">
        <v>2</v>
      </c>
      <c r="E1389" s="20">
        <v>1</v>
      </c>
      <c r="F1389" s="17" t="s">
        <v>232</v>
      </c>
      <c r="G1389" s="17" t="s">
        <v>252</v>
      </c>
      <c r="H1389" s="17" t="s">
        <v>253</v>
      </c>
      <c r="I1389" s="17" t="s">
        <v>254</v>
      </c>
      <c r="J1389" s="27" t="s">
        <v>136</v>
      </c>
      <c r="K1389" s="29">
        <v>15</v>
      </c>
      <c r="L1389" s="31">
        <v>1830</v>
      </c>
      <c r="M1389" s="31">
        <v>170.809999995</v>
      </c>
      <c r="N1389" s="31">
        <v>136.0900000005</v>
      </c>
      <c r="O1389" s="34">
        <f t="shared" si="184"/>
        <v>9.3338797811475416E-2</v>
      </c>
      <c r="P1389" s="34">
        <f t="shared" si="185"/>
        <v>0.79673321236744721</v>
      </c>
      <c r="Q1389" s="34">
        <f t="shared" si="186"/>
        <v>0.90666120218852453</v>
      </c>
      <c r="R1389" s="46">
        <f t="shared" si="187"/>
        <v>9.0726666667</v>
      </c>
    </row>
    <row r="1390" spans="2:18" ht="12.75" customHeight="1" x14ac:dyDescent="0.25">
      <c r="B1390" s="17" t="s">
        <v>0</v>
      </c>
      <c r="C1390" s="44" t="s">
        <v>172</v>
      </c>
      <c r="D1390" s="22" t="s">
        <v>2</v>
      </c>
      <c r="E1390" s="20">
        <v>1</v>
      </c>
      <c r="F1390" s="17" t="s">
        <v>232</v>
      </c>
      <c r="G1390" s="17" t="s">
        <v>252</v>
      </c>
      <c r="H1390" s="17" t="s">
        <v>253</v>
      </c>
      <c r="I1390" s="17" t="s">
        <v>254</v>
      </c>
      <c r="J1390" s="27" t="s">
        <v>173</v>
      </c>
      <c r="K1390" s="29">
        <v>12</v>
      </c>
      <c r="L1390" s="31">
        <v>420</v>
      </c>
      <c r="M1390" s="31">
        <v>145.20999999600002</v>
      </c>
      <c r="N1390" s="31">
        <v>115.67000000039999</v>
      </c>
      <c r="O1390" s="34">
        <f t="shared" si="184"/>
        <v>0.34573809522857146</v>
      </c>
      <c r="P1390" s="34">
        <f t="shared" si="185"/>
        <v>0.79657048415113463</v>
      </c>
      <c r="Q1390" s="34">
        <f t="shared" si="186"/>
        <v>0.65426190477142854</v>
      </c>
      <c r="R1390" s="46">
        <f t="shared" si="187"/>
        <v>9.6391666666999996</v>
      </c>
    </row>
    <row r="1391" spans="2:18" ht="12.75" customHeight="1" thickBot="1" x14ac:dyDescent="0.3">
      <c r="B1391" s="15" t="s">
        <v>0</v>
      </c>
      <c r="C1391" s="50" t="s">
        <v>40</v>
      </c>
      <c r="D1391" s="19" t="s">
        <v>2</v>
      </c>
      <c r="E1391" s="16">
        <v>1</v>
      </c>
      <c r="F1391" s="15" t="s">
        <v>232</v>
      </c>
      <c r="G1391" s="15" t="s">
        <v>252</v>
      </c>
      <c r="H1391" s="15" t="s">
        <v>253</v>
      </c>
      <c r="I1391" s="15" t="s">
        <v>254</v>
      </c>
      <c r="J1391" s="24" t="s">
        <v>41</v>
      </c>
      <c r="K1391" s="26">
        <v>13</v>
      </c>
      <c r="L1391" s="28">
        <v>982.99999999499994</v>
      </c>
      <c r="M1391" s="28">
        <v>137.659999997</v>
      </c>
      <c r="N1391" s="28">
        <v>110.1800000002</v>
      </c>
      <c r="O1391" s="32">
        <f t="shared" si="184"/>
        <v>0.14004069175757905</v>
      </c>
      <c r="P1391" s="32">
        <f t="shared" si="185"/>
        <v>0.80037774228244318</v>
      </c>
      <c r="Q1391" s="32">
        <f t="shared" si="186"/>
        <v>0.85995930824242095</v>
      </c>
      <c r="R1391" s="49">
        <f t="shared" si="187"/>
        <v>8.4753846153999994</v>
      </c>
    </row>
    <row r="1392" spans="2:18" ht="17.25" customHeight="1" x14ac:dyDescent="0.25">
      <c r="B1392" s="48"/>
      <c r="C1392" s="58"/>
      <c r="D1392" s="51" t="s">
        <v>366</v>
      </c>
      <c r="E1392" s="52"/>
      <c r="F1392" s="52"/>
      <c r="G1392" s="53"/>
      <c r="H1392" s="53"/>
      <c r="I1392" s="53"/>
      <c r="J1392" s="54"/>
      <c r="K1392" s="55">
        <f>SUM(K1285:K1391)</f>
        <v>1895644</v>
      </c>
      <c r="L1392" s="56">
        <f>SUM(L1285:L1391)</f>
        <v>633972233.49998498</v>
      </c>
      <c r="M1392" s="56">
        <f>SUM(M1285:M1391)</f>
        <v>148371301.89001352</v>
      </c>
      <c r="N1392" s="56">
        <f>SUM(N1285:N1391)</f>
        <v>111500105.75000638</v>
      </c>
      <c r="O1392" s="57">
        <f>IFERROR(M1392/L1392,0)</f>
        <v>0.23403438518260758</v>
      </c>
      <c r="P1392" s="57">
        <f>IFERROR(N1392/M1392,0)</f>
        <v>0.75149374798005431</v>
      </c>
      <c r="Q1392" s="57">
        <f>IFERROR(1-(M1392/L1392),0)</f>
        <v>0.76596561481739245</v>
      </c>
      <c r="R1392" s="59">
        <f>IFERROR(N1392/K1392,0)</f>
        <v>58.819116748717782</v>
      </c>
    </row>
    <row r="1393" spans="2:18" ht="15.75" thickBot="1" x14ac:dyDescent="0.3">
      <c r="B1393" s="60"/>
      <c r="C1393" s="64"/>
      <c r="D1393" s="62" t="s">
        <v>254</v>
      </c>
      <c r="E1393" s="61"/>
      <c r="F1393" s="61"/>
      <c r="G1393" s="61"/>
      <c r="H1393" s="61"/>
      <c r="I1393" s="61"/>
      <c r="J1393" s="61"/>
      <c r="K1393" s="63"/>
      <c r="L1393" s="63"/>
      <c r="M1393" s="63"/>
      <c r="N1393" s="63"/>
      <c r="O1393" s="63"/>
      <c r="P1393" s="63"/>
      <c r="Q1393" s="63"/>
      <c r="R1393" s="65"/>
    </row>
    <row r="1394" spans="2:18" ht="15.75" thickBot="1" x14ac:dyDescent="0.3"/>
    <row r="1395" spans="2:18" ht="15.75" x14ac:dyDescent="0.25">
      <c r="B1395" s="1"/>
      <c r="C1395" s="7" t="s">
        <v>348</v>
      </c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9"/>
    </row>
    <row r="1396" spans="2:18" ht="18" x14ac:dyDescent="0.25">
      <c r="B1396" s="2"/>
      <c r="C1396" s="8" t="s">
        <v>259</v>
      </c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10"/>
    </row>
    <row r="1397" spans="2:18" ht="15.75" thickBot="1" x14ac:dyDescent="0.3">
      <c r="B1397" s="3"/>
      <c r="C1397" s="11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12"/>
    </row>
    <row r="1398" spans="2:18" ht="17.25" customHeight="1" thickBot="1" x14ac:dyDescent="0.3">
      <c r="B1398" s="14" t="s">
        <v>349</v>
      </c>
      <c r="C1398" s="18" t="s">
        <v>350</v>
      </c>
      <c r="D1398" s="21" t="s">
        <v>351</v>
      </c>
      <c r="E1398" s="23" t="s">
        <v>352</v>
      </c>
      <c r="F1398" s="21" t="s">
        <v>353</v>
      </c>
      <c r="G1398" s="23" t="s">
        <v>354</v>
      </c>
      <c r="H1398" s="23" t="s">
        <v>355</v>
      </c>
      <c r="I1398" s="23" t="s">
        <v>356</v>
      </c>
      <c r="J1398" s="25" t="s">
        <v>357</v>
      </c>
      <c r="K1398" s="25" t="s">
        <v>358</v>
      </c>
      <c r="L1398" s="30" t="s">
        <v>359</v>
      </c>
      <c r="M1398" s="30" t="s">
        <v>360</v>
      </c>
      <c r="N1398" s="30" t="s">
        <v>361</v>
      </c>
      <c r="O1398" s="33" t="s">
        <v>362</v>
      </c>
      <c r="P1398" s="33" t="s">
        <v>363</v>
      </c>
      <c r="Q1398" s="33" t="s">
        <v>364</v>
      </c>
      <c r="R1398" s="35" t="s">
        <v>365</v>
      </c>
    </row>
    <row r="1399" spans="2:18" ht="12.75" customHeight="1" thickBot="1" x14ac:dyDescent="0.3">
      <c r="B1399" s="15" t="s">
        <v>0</v>
      </c>
      <c r="C1399" s="70" t="s">
        <v>255</v>
      </c>
      <c r="D1399" s="71" t="s">
        <v>2</v>
      </c>
      <c r="E1399" s="72">
        <v>1</v>
      </c>
      <c r="F1399" s="73" t="s">
        <v>256</v>
      </c>
      <c r="G1399" s="73" t="s">
        <v>257</v>
      </c>
      <c r="H1399" s="73" t="s">
        <v>258</v>
      </c>
      <c r="I1399" s="73" t="s">
        <v>259</v>
      </c>
      <c r="J1399" s="74" t="s">
        <v>260</v>
      </c>
      <c r="K1399" s="66">
        <v>9368217</v>
      </c>
      <c r="L1399" s="67">
        <v>1589833788.4151702</v>
      </c>
      <c r="M1399" s="67">
        <v>398220596.44996822</v>
      </c>
      <c r="N1399" s="67">
        <v>315437681.38399357</v>
      </c>
      <c r="O1399" s="68">
        <f>IFERROR(M1399/L1399,0)</f>
        <v>0.25047938932467617</v>
      </c>
      <c r="P1399" s="68">
        <f>IFERROR(N1399/M1399,0)</f>
        <v>0.79211794717811546</v>
      </c>
      <c r="Q1399" s="68">
        <f>IFERROR(1-(M1399/L1399),0)</f>
        <v>0.74952061067532383</v>
      </c>
      <c r="R1399" s="69">
        <f>IFERROR(N1399/K1399,0)</f>
        <v>33.671047690717835</v>
      </c>
    </row>
    <row r="1400" spans="2:18" ht="17.25" customHeight="1" x14ac:dyDescent="0.25">
      <c r="B1400" s="48"/>
      <c r="C1400" s="58"/>
      <c r="D1400" s="51" t="s">
        <v>366</v>
      </c>
      <c r="E1400" s="52"/>
      <c r="F1400" s="52"/>
      <c r="G1400" s="53"/>
      <c r="H1400" s="53"/>
      <c r="I1400" s="53"/>
      <c r="J1400" s="54"/>
      <c r="K1400" s="55">
        <f>SUM(K1399:K1399)</f>
        <v>9368217</v>
      </c>
      <c r="L1400" s="56">
        <f>SUM(L1399:L1399)</f>
        <v>1589833788.4151702</v>
      </c>
      <c r="M1400" s="56">
        <f>SUM(M1399:M1399)</f>
        <v>398220596.44996822</v>
      </c>
      <c r="N1400" s="56">
        <f>SUM(N1399:N1399)</f>
        <v>315437681.38399357</v>
      </c>
      <c r="O1400" s="57">
        <f>IFERROR(M1400/L1400,0)</f>
        <v>0.25047938932467617</v>
      </c>
      <c r="P1400" s="57">
        <f>IFERROR(N1400/M1400,0)</f>
        <v>0.79211794717811546</v>
      </c>
      <c r="Q1400" s="57">
        <f>IFERROR(1-(M1400/L1400),0)</f>
        <v>0.74952061067532383</v>
      </c>
      <c r="R1400" s="59">
        <f>IFERROR(N1400/K1400,0)</f>
        <v>33.671047690717835</v>
      </c>
    </row>
    <row r="1401" spans="2:18" ht="15.75" thickBot="1" x14ac:dyDescent="0.3">
      <c r="B1401" s="60"/>
      <c r="C1401" s="64"/>
      <c r="D1401" s="62" t="s">
        <v>259</v>
      </c>
      <c r="E1401" s="61"/>
      <c r="F1401" s="61"/>
      <c r="G1401" s="61"/>
      <c r="H1401" s="61"/>
      <c r="I1401" s="61"/>
      <c r="J1401" s="61"/>
      <c r="K1401" s="63"/>
      <c r="L1401" s="63"/>
      <c r="M1401" s="63"/>
      <c r="N1401" s="63"/>
      <c r="O1401" s="63"/>
      <c r="P1401" s="63"/>
      <c r="Q1401" s="63"/>
      <c r="R1401" s="65"/>
    </row>
    <row r="1402" spans="2:18" ht="15.75" thickBot="1" x14ac:dyDescent="0.3"/>
    <row r="1403" spans="2:18" ht="15.75" x14ac:dyDescent="0.25">
      <c r="B1403" s="1"/>
      <c r="C1403" s="7" t="s">
        <v>348</v>
      </c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9"/>
    </row>
    <row r="1404" spans="2:18" ht="18" x14ac:dyDescent="0.25">
      <c r="B1404" s="2"/>
      <c r="C1404" s="8" t="s">
        <v>264</v>
      </c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10"/>
    </row>
    <row r="1405" spans="2:18" ht="15.75" thickBot="1" x14ac:dyDescent="0.3">
      <c r="B1405" s="3"/>
      <c r="C1405" s="11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12"/>
    </row>
    <row r="1406" spans="2:18" ht="17.25" customHeight="1" thickBot="1" x14ac:dyDescent="0.3">
      <c r="B1406" s="14" t="s">
        <v>349</v>
      </c>
      <c r="C1406" s="18" t="s">
        <v>350</v>
      </c>
      <c r="D1406" s="21" t="s">
        <v>351</v>
      </c>
      <c r="E1406" s="23" t="s">
        <v>352</v>
      </c>
      <c r="F1406" s="21" t="s">
        <v>353</v>
      </c>
      <c r="G1406" s="23" t="s">
        <v>354</v>
      </c>
      <c r="H1406" s="23" t="s">
        <v>355</v>
      </c>
      <c r="I1406" s="23" t="s">
        <v>356</v>
      </c>
      <c r="J1406" s="25" t="s">
        <v>357</v>
      </c>
      <c r="K1406" s="25" t="s">
        <v>358</v>
      </c>
      <c r="L1406" s="30" t="s">
        <v>359</v>
      </c>
      <c r="M1406" s="30" t="s">
        <v>360</v>
      </c>
      <c r="N1406" s="30" t="s">
        <v>361</v>
      </c>
      <c r="O1406" s="33" t="s">
        <v>362</v>
      </c>
      <c r="P1406" s="33" t="s">
        <v>363</v>
      </c>
      <c r="Q1406" s="33" t="s">
        <v>364</v>
      </c>
      <c r="R1406" s="35" t="s">
        <v>365</v>
      </c>
    </row>
    <row r="1407" spans="2:18" ht="12.75" customHeight="1" x14ac:dyDescent="0.25">
      <c r="B1407" s="17" t="s">
        <v>0</v>
      </c>
      <c r="C1407" s="43" t="s">
        <v>176</v>
      </c>
      <c r="D1407" s="37" t="s">
        <v>2</v>
      </c>
      <c r="E1407" s="36">
        <v>1</v>
      </c>
      <c r="F1407" s="38" t="s">
        <v>261</v>
      </c>
      <c r="G1407" s="38" t="s">
        <v>262</v>
      </c>
      <c r="H1407" s="38" t="s">
        <v>263</v>
      </c>
      <c r="I1407" s="38" t="s">
        <v>264</v>
      </c>
      <c r="J1407" s="39" t="s">
        <v>177</v>
      </c>
      <c r="K1407" s="40">
        <v>1837</v>
      </c>
      <c r="L1407" s="41">
        <v>4904950.2299964018</v>
      </c>
      <c r="M1407" s="41">
        <v>1195745.7900018778</v>
      </c>
      <c r="N1407" s="41">
        <v>949060.98000098497</v>
      </c>
      <c r="O1407" s="42">
        <f t="shared" ref="O1407:O1419" si="188">IFERROR(M1407/L1407,0)</f>
        <v>0.24378347056189295</v>
      </c>
      <c r="P1407" s="42">
        <f t="shared" ref="P1407:P1419" si="189">IFERROR(N1407/M1407,0)</f>
        <v>0.79369794812281513</v>
      </c>
      <c r="Q1407" s="42">
        <f t="shared" ref="Q1407:Q1419" si="190">IFERROR(1-(M1407/L1407),0)</f>
        <v>0.75621652943810702</v>
      </c>
      <c r="R1407" s="45">
        <f t="shared" ref="R1407:R1419" si="191">IFERROR(N1407/K1407,0)</f>
        <v>516.63635274958358</v>
      </c>
    </row>
    <row r="1408" spans="2:18" ht="12.75" customHeight="1" x14ac:dyDescent="0.25">
      <c r="B1408" s="17" t="s">
        <v>0</v>
      </c>
      <c r="C1408" s="44" t="s">
        <v>36</v>
      </c>
      <c r="D1408" s="22" t="s">
        <v>2</v>
      </c>
      <c r="E1408" s="20">
        <v>1</v>
      </c>
      <c r="F1408" s="17" t="s">
        <v>261</v>
      </c>
      <c r="G1408" s="17" t="s">
        <v>262</v>
      </c>
      <c r="H1408" s="17" t="s">
        <v>263</v>
      </c>
      <c r="I1408" s="17" t="s">
        <v>264</v>
      </c>
      <c r="J1408" s="27" t="s">
        <v>37</v>
      </c>
      <c r="K1408" s="29">
        <v>1603</v>
      </c>
      <c r="L1408" s="31">
        <v>4133323.9100065995</v>
      </c>
      <c r="M1408" s="31">
        <v>1033134.1199990982</v>
      </c>
      <c r="N1408" s="31">
        <v>821667.58999953419</v>
      </c>
      <c r="O1408" s="34">
        <f t="shared" si="188"/>
        <v>0.2499523730762849</v>
      </c>
      <c r="P1408" s="34">
        <f t="shared" si="189"/>
        <v>0.79531551043948812</v>
      </c>
      <c r="Q1408" s="34">
        <f t="shared" si="190"/>
        <v>0.75004762692371507</v>
      </c>
      <c r="R1408" s="46">
        <f t="shared" si="191"/>
        <v>512.58115408579795</v>
      </c>
    </row>
    <row r="1409" spans="2:18" ht="12.75" customHeight="1" x14ac:dyDescent="0.25">
      <c r="B1409" s="17" t="s">
        <v>0</v>
      </c>
      <c r="C1409" s="44" t="s">
        <v>18</v>
      </c>
      <c r="D1409" s="22" t="s">
        <v>9</v>
      </c>
      <c r="E1409" s="20">
        <v>2</v>
      </c>
      <c r="F1409" s="17" t="s">
        <v>261</v>
      </c>
      <c r="G1409" s="17" t="s">
        <v>262</v>
      </c>
      <c r="H1409" s="17" t="s">
        <v>263</v>
      </c>
      <c r="I1409" s="17" t="s">
        <v>264</v>
      </c>
      <c r="J1409" s="27" t="s">
        <v>19</v>
      </c>
      <c r="K1409" s="29">
        <v>2209</v>
      </c>
      <c r="L1409" s="31">
        <v>4218804.3400026299</v>
      </c>
      <c r="M1409" s="31">
        <v>859724.34999901126</v>
      </c>
      <c r="N1409" s="31">
        <v>674878.72000032896</v>
      </c>
      <c r="O1409" s="34">
        <f t="shared" si="188"/>
        <v>0.20378388773499634</v>
      </c>
      <c r="P1409" s="34">
        <f t="shared" si="189"/>
        <v>0.78499430660665259</v>
      </c>
      <c r="Q1409" s="34">
        <f t="shared" si="190"/>
        <v>0.79621611226500366</v>
      </c>
      <c r="R1409" s="46">
        <f t="shared" si="191"/>
        <v>305.51322770499274</v>
      </c>
    </row>
    <row r="1410" spans="2:18" ht="12.75" customHeight="1" x14ac:dyDescent="0.25">
      <c r="B1410" s="17" t="s">
        <v>0</v>
      </c>
      <c r="C1410" s="44" t="s">
        <v>18</v>
      </c>
      <c r="D1410" s="22" t="s">
        <v>2</v>
      </c>
      <c r="E1410" s="20">
        <v>1</v>
      </c>
      <c r="F1410" s="17" t="s">
        <v>261</v>
      </c>
      <c r="G1410" s="17" t="s">
        <v>262</v>
      </c>
      <c r="H1410" s="17" t="s">
        <v>263</v>
      </c>
      <c r="I1410" s="17" t="s">
        <v>264</v>
      </c>
      <c r="J1410" s="27" t="s">
        <v>19</v>
      </c>
      <c r="K1410" s="29">
        <v>4213</v>
      </c>
      <c r="L1410" s="31">
        <v>6216737.8699967004</v>
      </c>
      <c r="M1410" s="31">
        <v>583291.89000111271</v>
      </c>
      <c r="N1410" s="31">
        <v>444124.30000098201</v>
      </c>
      <c r="O1410" s="34">
        <f t="shared" si="188"/>
        <v>9.3826039025419333E-2</v>
      </c>
      <c r="P1410" s="34">
        <f t="shared" si="189"/>
        <v>0.76141003777737215</v>
      </c>
      <c r="Q1410" s="34">
        <f t="shared" si="190"/>
        <v>0.90617396097458069</v>
      </c>
      <c r="R1410" s="46">
        <f t="shared" si="191"/>
        <v>105.41758841703822</v>
      </c>
    </row>
    <row r="1411" spans="2:18" ht="12.75" customHeight="1" x14ac:dyDescent="0.25">
      <c r="B1411" s="17" t="s">
        <v>0</v>
      </c>
      <c r="C1411" s="44" t="s">
        <v>98</v>
      </c>
      <c r="D1411" s="22" t="s">
        <v>2</v>
      </c>
      <c r="E1411" s="20">
        <v>1</v>
      </c>
      <c r="F1411" s="17" t="s">
        <v>261</v>
      </c>
      <c r="G1411" s="17" t="s">
        <v>262</v>
      </c>
      <c r="H1411" s="17" t="s">
        <v>263</v>
      </c>
      <c r="I1411" s="17" t="s">
        <v>264</v>
      </c>
      <c r="J1411" s="27" t="s">
        <v>102</v>
      </c>
      <c r="K1411" s="29">
        <v>487</v>
      </c>
      <c r="L1411" s="31">
        <v>5831125.3999936003</v>
      </c>
      <c r="M1411" s="31">
        <v>540319.45999760996</v>
      </c>
      <c r="N1411" s="31">
        <v>430313.63999785995</v>
      </c>
      <c r="O1411" s="34">
        <f t="shared" si="188"/>
        <v>9.2661265696361628E-2</v>
      </c>
      <c r="P1411" s="34">
        <f t="shared" si="189"/>
        <v>0.79640596324212232</v>
      </c>
      <c r="Q1411" s="34">
        <f t="shared" si="190"/>
        <v>0.90733873430363832</v>
      </c>
      <c r="R1411" s="46">
        <f t="shared" si="191"/>
        <v>883.60090348636538</v>
      </c>
    </row>
    <row r="1412" spans="2:18" ht="12.75" customHeight="1" x14ac:dyDescent="0.25">
      <c r="B1412" s="17" t="s">
        <v>0</v>
      </c>
      <c r="C1412" s="44" t="s">
        <v>176</v>
      </c>
      <c r="D1412" s="22" t="s">
        <v>9</v>
      </c>
      <c r="E1412" s="20">
        <v>2</v>
      </c>
      <c r="F1412" s="17" t="s">
        <v>261</v>
      </c>
      <c r="G1412" s="17" t="s">
        <v>262</v>
      </c>
      <c r="H1412" s="17" t="s">
        <v>263</v>
      </c>
      <c r="I1412" s="17" t="s">
        <v>264</v>
      </c>
      <c r="J1412" s="27" t="s">
        <v>177</v>
      </c>
      <c r="K1412" s="29">
        <v>113</v>
      </c>
      <c r="L1412" s="31">
        <v>1620245.999973</v>
      </c>
      <c r="M1412" s="31">
        <v>329533.53000262001</v>
      </c>
      <c r="N1412" s="31">
        <v>262484.53000095999</v>
      </c>
      <c r="O1412" s="34">
        <f t="shared" si="188"/>
        <v>0.20338487489437493</v>
      </c>
      <c r="P1412" s="34">
        <f t="shared" si="189"/>
        <v>0.7965336031173309</v>
      </c>
      <c r="Q1412" s="34">
        <f t="shared" si="190"/>
        <v>0.79661512510562504</v>
      </c>
      <c r="R1412" s="46">
        <f t="shared" si="191"/>
        <v>2322.8719469111502</v>
      </c>
    </row>
    <row r="1413" spans="2:18" ht="12.75" customHeight="1" x14ac:dyDescent="0.25">
      <c r="B1413" s="17" t="s">
        <v>0</v>
      </c>
      <c r="C1413" s="44" t="s">
        <v>74</v>
      </c>
      <c r="D1413" s="22" t="s">
        <v>2</v>
      </c>
      <c r="E1413" s="20">
        <v>1</v>
      </c>
      <c r="F1413" s="17" t="s">
        <v>261</v>
      </c>
      <c r="G1413" s="17" t="s">
        <v>262</v>
      </c>
      <c r="H1413" s="17" t="s">
        <v>263</v>
      </c>
      <c r="I1413" s="17" t="s">
        <v>264</v>
      </c>
      <c r="J1413" s="27" t="s">
        <v>75</v>
      </c>
      <c r="K1413" s="29">
        <v>159</v>
      </c>
      <c r="L1413" s="31">
        <v>1495724.8600076002</v>
      </c>
      <c r="M1413" s="31">
        <v>157889.39999944001</v>
      </c>
      <c r="N1413" s="31">
        <v>125793.84000006999</v>
      </c>
      <c r="O1413" s="34">
        <f t="shared" si="188"/>
        <v>0.10556045715429088</v>
      </c>
      <c r="P1413" s="34">
        <f t="shared" si="189"/>
        <v>0.79672124918149123</v>
      </c>
      <c r="Q1413" s="34">
        <f t="shared" si="190"/>
        <v>0.89443954284570915</v>
      </c>
      <c r="R1413" s="46">
        <f t="shared" si="191"/>
        <v>791.15622641553455</v>
      </c>
    </row>
    <row r="1414" spans="2:18" ht="12.75" customHeight="1" x14ac:dyDescent="0.25">
      <c r="B1414" s="17" t="s">
        <v>0</v>
      </c>
      <c r="C1414" s="44" t="s">
        <v>36</v>
      </c>
      <c r="D1414" s="22" t="s">
        <v>9</v>
      </c>
      <c r="E1414" s="20">
        <v>2</v>
      </c>
      <c r="F1414" s="17" t="s">
        <v>261</v>
      </c>
      <c r="G1414" s="17" t="s">
        <v>262</v>
      </c>
      <c r="H1414" s="17" t="s">
        <v>263</v>
      </c>
      <c r="I1414" s="17" t="s">
        <v>264</v>
      </c>
      <c r="J1414" s="27" t="s">
        <v>37</v>
      </c>
      <c r="K1414" s="29">
        <v>108</v>
      </c>
      <c r="L1414" s="31">
        <v>369188.9999996</v>
      </c>
      <c r="M1414" s="31">
        <v>71778.169999909995</v>
      </c>
      <c r="N1414" s="31">
        <v>57210.280000369996</v>
      </c>
      <c r="O1414" s="34">
        <f t="shared" si="188"/>
        <v>0.19442120431537172</v>
      </c>
      <c r="P1414" s="34">
        <f t="shared" si="189"/>
        <v>0.79704288922999478</v>
      </c>
      <c r="Q1414" s="34">
        <f t="shared" si="190"/>
        <v>0.80557879568462831</v>
      </c>
      <c r="R1414" s="46">
        <f t="shared" si="191"/>
        <v>529.7248148182407</v>
      </c>
    </row>
    <row r="1415" spans="2:18" ht="12.75" customHeight="1" x14ac:dyDescent="0.25">
      <c r="B1415" s="17" t="s">
        <v>0</v>
      </c>
      <c r="C1415" s="44" t="s">
        <v>70</v>
      </c>
      <c r="D1415" s="22" t="s">
        <v>2</v>
      </c>
      <c r="E1415" s="20">
        <v>1</v>
      </c>
      <c r="F1415" s="17" t="s">
        <v>261</v>
      </c>
      <c r="G1415" s="17" t="s">
        <v>262</v>
      </c>
      <c r="H1415" s="17" t="s">
        <v>263</v>
      </c>
      <c r="I1415" s="17" t="s">
        <v>264</v>
      </c>
      <c r="J1415" s="27" t="s">
        <v>71</v>
      </c>
      <c r="K1415" s="29">
        <v>17</v>
      </c>
      <c r="L1415" s="31">
        <v>65403.999999200001</v>
      </c>
      <c r="M1415" s="31">
        <v>11604.57999998</v>
      </c>
      <c r="N1415" s="31">
        <v>9247.7399999600002</v>
      </c>
      <c r="O1415" s="34">
        <f t="shared" si="188"/>
        <v>0.17742920922454197</v>
      </c>
      <c r="P1415" s="34">
        <f t="shared" si="189"/>
        <v>0.79690432570381164</v>
      </c>
      <c r="Q1415" s="34">
        <f t="shared" si="190"/>
        <v>0.82257079077545803</v>
      </c>
      <c r="R1415" s="46">
        <f t="shared" si="191"/>
        <v>543.98470587999998</v>
      </c>
    </row>
    <row r="1416" spans="2:18" ht="12.75" customHeight="1" x14ac:dyDescent="0.25">
      <c r="B1416" s="17" t="s">
        <v>0</v>
      </c>
      <c r="C1416" s="44" t="s">
        <v>161</v>
      </c>
      <c r="D1416" s="22" t="s">
        <v>2</v>
      </c>
      <c r="E1416" s="20">
        <v>1</v>
      </c>
      <c r="F1416" s="17" t="s">
        <v>261</v>
      </c>
      <c r="G1416" s="17" t="s">
        <v>262</v>
      </c>
      <c r="H1416" s="17" t="s">
        <v>263</v>
      </c>
      <c r="I1416" s="17" t="s">
        <v>264</v>
      </c>
      <c r="J1416" s="27" t="s">
        <v>162</v>
      </c>
      <c r="K1416" s="29">
        <v>54</v>
      </c>
      <c r="L1416" s="31">
        <v>87053</v>
      </c>
      <c r="M1416" s="31">
        <v>7563.4900000099988</v>
      </c>
      <c r="N1416" s="31">
        <v>5599.7299999699999</v>
      </c>
      <c r="O1416" s="34">
        <f t="shared" si="188"/>
        <v>8.6883737493366101E-2</v>
      </c>
      <c r="P1416" s="34">
        <f t="shared" si="189"/>
        <v>0.74036324500496431</v>
      </c>
      <c r="Q1416" s="34">
        <f t="shared" si="190"/>
        <v>0.91311626250663391</v>
      </c>
      <c r="R1416" s="46">
        <f t="shared" si="191"/>
        <v>103.69870370314814</v>
      </c>
    </row>
    <row r="1417" spans="2:18" ht="12.75" customHeight="1" x14ac:dyDescent="0.25">
      <c r="B1417" s="17" t="s">
        <v>0</v>
      </c>
      <c r="C1417" s="44" t="s">
        <v>236</v>
      </c>
      <c r="D1417" s="22" t="s">
        <v>9</v>
      </c>
      <c r="E1417" s="20">
        <v>2</v>
      </c>
      <c r="F1417" s="17" t="s">
        <v>261</v>
      </c>
      <c r="G1417" s="17" t="s">
        <v>262</v>
      </c>
      <c r="H1417" s="17" t="s">
        <v>263</v>
      </c>
      <c r="I1417" s="17" t="s">
        <v>264</v>
      </c>
      <c r="J1417" s="27" t="s">
        <v>237</v>
      </c>
      <c r="K1417" s="29">
        <v>15</v>
      </c>
      <c r="L1417" s="31">
        <v>15761.599999500002</v>
      </c>
      <c r="M1417" s="31">
        <v>6904.47</v>
      </c>
      <c r="N1417" s="31">
        <v>5309.9500000500002</v>
      </c>
      <c r="O1417" s="34">
        <f t="shared" si="188"/>
        <v>0.43805641560622194</v>
      </c>
      <c r="P1417" s="34">
        <f t="shared" si="189"/>
        <v>0.76905975405063676</v>
      </c>
      <c r="Q1417" s="34">
        <f t="shared" si="190"/>
        <v>0.56194358439377812</v>
      </c>
      <c r="R1417" s="46">
        <f t="shared" si="191"/>
        <v>353.99666667000002</v>
      </c>
    </row>
    <row r="1418" spans="2:18" ht="12.75" customHeight="1" x14ac:dyDescent="0.25">
      <c r="B1418" s="17" t="s">
        <v>0</v>
      </c>
      <c r="C1418" s="44" t="s">
        <v>225</v>
      </c>
      <c r="D1418" s="22" t="s">
        <v>2</v>
      </c>
      <c r="E1418" s="20">
        <v>1</v>
      </c>
      <c r="F1418" s="17" t="s">
        <v>261</v>
      </c>
      <c r="G1418" s="17" t="s">
        <v>262</v>
      </c>
      <c r="H1418" s="17" t="s">
        <v>263</v>
      </c>
      <c r="I1418" s="17" t="s">
        <v>264</v>
      </c>
      <c r="J1418" s="27" t="s">
        <v>226</v>
      </c>
      <c r="K1418" s="29">
        <v>35</v>
      </c>
      <c r="L1418" s="31">
        <v>25002</v>
      </c>
      <c r="M1418" s="31">
        <v>5212.3699999399996</v>
      </c>
      <c r="N1418" s="31">
        <v>4126.73999998</v>
      </c>
      <c r="O1418" s="34">
        <f t="shared" si="188"/>
        <v>0.20847812174786015</v>
      </c>
      <c r="P1418" s="34">
        <f t="shared" si="189"/>
        <v>0.7917204649761056</v>
      </c>
      <c r="Q1418" s="34">
        <f t="shared" si="190"/>
        <v>0.79152187825213982</v>
      </c>
      <c r="R1418" s="46">
        <f t="shared" si="191"/>
        <v>117.90685714228572</v>
      </c>
    </row>
    <row r="1419" spans="2:18" ht="12.75" customHeight="1" thickBot="1" x14ac:dyDescent="0.3">
      <c r="B1419" s="15" t="s">
        <v>0</v>
      </c>
      <c r="C1419" s="50" t="s">
        <v>50</v>
      </c>
      <c r="D1419" s="19" t="s">
        <v>2</v>
      </c>
      <c r="E1419" s="16">
        <v>1</v>
      </c>
      <c r="F1419" s="15" t="s">
        <v>261</v>
      </c>
      <c r="G1419" s="15" t="s">
        <v>262</v>
      </c>
      <c r="H1419" s="15" t="s">
        <v>263</v>
      </c>
      <c r="I1419" s="15" t="s">
        <v>264</v>
      </c>
      <c r="J1419" s="24" t="s">
        <v>51</v>
      </c>
      <c r="K1419" s="26">
        <v>25</v>
      </c>
      <c r="L1419" s="28">
        <v>42208.399999599998</v>
      </c>
      <c r="M1419" s="28">
        <v>2853.7999999359999</v>
      </c>
      <c r="N1419" s="28">
        <v>2273.1800000640001</v>
      </c>
      <c r="O1419" s="32">
        <f t="shared" si="188"/>
        <v>6.7612134076701441E-2</v>
      </c>
      <c r="P1419" s="32">
        <f t="shared" si="189"/>
        <v>0.79654495764068223</v>
      </c>
      <c r="Q1419" s="32">
        <f t="shared" si="190"/>
        <v>0.93238786592329859</v>
      </c>
      <c r="R1419" s="49">
        <f t="shared" si="191"/>
        <v>90.927200002559999</v>
      </c>
    </row>
    <row r="1420" spans="2:18" ht="17.25" customHeight="1" x14ac:dyDescent="0.25">
      <c r="B1420" s="48"/>
      <c r="C1420" s="58"/>
      <c r="D1420" s="51" t="s">
        <v>366</v>
      </c>
      <c r="E1420" s="52"/>
      <c r="F1420" s="52"/>
      <c r="G1420" s="53"/>
      <c r="H1420" s="53"/>
      <c r="I1420" s="53"/>
      <c r="J1420" s="54"/>
      <c r="K1420" s="55">
        <f>SUM(K1407:K1419)</f>
        <v>10875</v>
      </c>
      <c r="L1420" s="56">
        <f>SUM(L1407:L1419)</f>
        <v>29025530.609974429</v>
      </c>
      <c r="M1420" s="56">
        <f>SUM(M1407:M1419)</f>
        <v>4805555.4200005438</v>
      </c>
      <c r="N1420" s="56">
        <f>SUM(N1407:N1419)</f>
        <v>3792091.2200011145</v>
      </c>
      <c r="O1420" s="57">
        <f>IFERROR(M1420/L1420,0)</f>
        <v>0.16556305152778661</v>
      </c>
      <c r="P1420" s="57">
        <f>IFERROR(N1420/M1420,0)</f>
        <v>0.78910570965815341</v>
      </c>
      <c r="Q1420" s="57">
        <f>IFERROR(1-(M1420/L1420),0)</f>
        <v>0.83443694847221339</v>
      </c>
      <c r="R1420" s="59">
        <f>IFERROR(N1420/K1420,0)</f>
        <v>348.6980432184933</v>
      </c>
    </row>
    <row r="1421" spans="2:18" ht="15.75" thickBot="1" x14ac:dyDescent="0.3">
      <c r="B1421" s="60"/>
      <c r="C1421" s="64"/>
      <c r="D1421" s="62" t="s">
        <v>264</v>
      </c>
      <c r="E1421" s="61"/>
      <c r="F1421" s="61"/>
      <c r="G1421" s="61"/>
      <c r="H1421" s="61"/>
      <c r="I1421" s="61"/>
      <c r="J1421" s="61"/>
      <c r="K1421" s="63"/>
      <c r="L1421" s="63"/>
      <c r="M1421" s="63"/>
      <c r="N1421" s="63"/>
      <c r="O1421" s="63"/>
      <c r="P1421" s="63"/>
      <c r="Q1421" s="63"/>
      <c r="R1421" s="65"/>
    </row>
    <row r="1422" spans="2:18" ht="15.75" thickBot="1" x14ac:dyDescent="0.3"/>
    <row r="1423" spans="2:18" ht="15.75" x14ac:dyDescent="0.25">
      <c r="B1423" s="1"/>
      <c r="C1423" s="7" t="s">
        <v>348</v>
      </c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9"/>
    </row>
    <row r="1424" spans="2:18" ht="18" x14ac:dyDescent="0.25">
      <c r="B1424" s="2"/>
      <c r="C1424" s="8" t="s">
        <v>267</v>
      </c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10"/>
    </row>
    <row r="1425" spans="2:18" ht="15.75" thickBot="1" x14ac:dyDescent="0.3">
      <c r="B1425" s="3"/>
      <c r="C1425" s="11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12"/>
    </row>
    <row r="1426" spans="2:18" ht="17.25" customHeight="1" thickBot="1" x14ac:dyDescent="0.3">
      <c r="B1426" s="14" t="s">
        <v>349</v>
      </c>
      <c r="C1426" s="18" t="s">
        <v>350</v>
      </c>
      <c r="D1426" s="21" t="s">
        <v>351</v>
      </c>
      <c r="E1426" s="23" t="s">
        <v>352</v>
      </c>
      <c r="F1426" s="21" t="s">
        <v>353</v>
      </c>
      <c r="G1426" s="23" t="s">
        <v>354</v>
      </c>
      <c r="H1426" s="23" t="s">
        <v>355</v>
      </c>
      <c r="I1426" s="23" t="s">
        <v>356</v>
      </c>
      <c r="J1426" s="25" t="s">
        <v>357</v>
      </c>
      <c r="K1426" s="25" t="s">
        <v>358</v>
      </c>
      <c r="L1426" s="30" t="s">
        <v>359</v>
      </c>
      <c r="M1426" s="30" t="s">
        <v>360</v>
      </c>
      <c r="N1426" s="30" t="s">
        <v>361</v>
      </c>
      <c r="O1426" s="33" t="s">
        <v>362</v>
      </c>
      <c r="P1426" s="33" t="s">
        <v>363</v>
      </c>
      <c r="Q1426" s="33" t="s">
        <v>364</v>
      </c>
      <c r="R1426" s="35" t="s">
        <v>365</v>
      </c>
    </row>
    <row r="1427" spans="2:18" ht="12.75" customHeight="1" x14ac:dyDescent="0.25">
      <c r="B1427" s="17" t="s">
        <v>0</v>
      </c>
      <c r="C1427" s="43" t="s">
        <v>98</v>
      </c>
      <c r="D1427" s="37" t="s">
        <v>2</v>
      </c>
      <c r="E1427" s="36">
        <v>1</v>
      </c>
      <c r="F1427" s="38" t="s">
        <v>261</v>
      </c>
      <c r="G1427" s="38" t="s">
        <v>265</v>
      </c>
      <c r="H1427" s="38" t="s">
        <v>266</v>
      </c>
      <c r="I1427" s="38" t="s">
        <v>267</v>
      </c>
      <c r="J1427" s="39" t="s">
        <v>102</v>
      </c>
      <c r="K1427" s="40">
        <v>6338</v>
      </c>
      <c r="L1427" s="41">
        <v>178809732.67988053</v>
      </c>
      <c r="M1427" s="41">
        <v>23703819.879962076</v>
      </c>
      <c r="N1427" s="41">
        <v>18872818.049971201</v>
      </c>
      <c r="O1427" s="42">
        <f t="shared" ref="O1427:O1451" si="192">IFERROR(M1427/L1427,0)</f>
        <v>0.13256448362572382</v>
      </c>
      <c r="P1427" s="42">
        <f t="shared" ref="P1427:P1451" si="193">IFERROR(N1427/M1427,0)</f>
        <v>0.79619310919271957</v>
      </c>
      <c r="Q1427" s="42">
        <f t="shared" ref="Q1427:Q1451" si="194">IFERROR(1-(M1427/L1427),0)</f>
        <v>0.86743551637427618</v>
      </c>
      <c r="R1427" s="45">
        <f t="shared" ref="R1427:R1451" si="195">IFERROR(N1427/K1427,0)</f>
        <v>2977.7245266600189</v>
      </c>
    </row>
    <row r="1428" spans="2:18" ht="12.75" customHeight="1" x14ac:dyDescent="0.25">
      <c r="B1428" s="17" t="s">
        <v>0</v>
      </c>
      <c r="C1428" s="44" t="s">
        <v>32</v>
      </c>
      <c r="D1428" s="22" t="s">
        <v>2</v>
      </c>
      <c r="E1428" s="20">
        <v>1</v>
      </c>
      <c r="F1428" s="17" t="s">
        <v>261</v>
      </c>
      <c r="G1428" s="17" t="s">
        <v>265</v>
      </c>
      <c r="H1428" s="17" t="s">
        <v>266</v>
      </c>
      <c r="I1428" s="17" t="s">
        <v>267</v>
      </c>
      <c r="J1428" s="27" t="s">
        <v>33</v>
      </c>
      <c r="K1428" s="29">
        <v>36531</v>
      </c>
      <c r="L1428" s="31">
        <v>68887007.900028914</v>
      </c>
      <c r="M1428" s="31">
        <v>16325079.199989812</v>
      </c>
      <c r="N1428" s="31">
        <v>12970602.930001371</v>
      </c>
      <c r="O1428" s="34">
        <f t="shared" si="192"/>
        <v>0.23698342688480972</v>
      </c>
      <c r="P1428" s="34">
        <f t="shared" si="193"/>
        <v>0.79452006150202714</v>
      </c>
      <c r="Q1428" s="34">
        <f t="shared" si="194"/>
        <v>0.76301657311519033</v>
      </c>
      <c r="R1428" s="46">
        <f t="shared" si="195"/>
        <v>355.0574287591736</v>
      </c>
    </row>
    <row r="1429" spans="2:18" ht="12.75" customHeight="1" x14ac:dyDescent="0.25">
      <c r="B1429" s="17" t="s">
        <v>0</v>
      </c>
      <c r="C1429" s="44" t="s">
        <v>14</v>
      </c>
      <c r="D1429" s="22" t="s">
        <v>2</v>
      </c>
      <c r="E1429" s="20">
        <v>1</v>
      </c>
      <c r="F1429" s="17" t="s">
        <v>261</v>
      </c>
      <c r="G1429" s="17" t="s">
        <v>265</v>
      </c>
      <c r="H1429" s="17" t="s">
        <v>266</v>
      </c>
      <c r="I1429" s="17" t="s">
        <v>267</v>
      </c>
      <c r="J1429" s="27" t="s">
        <v>15</v>
      </c>
      <c r="K1429" s="29">
        <v>35270</v>
      </c>
      <c r="L1429" s="31">
        <v>58936097.410005264</v>
      </c>
      <c r="M1429" s="31">
        <v>11150544.839999912</v>
      </c>
      <c r="N1429" s="31">
        <v>8828326.7000053208</v>
      </c>
      <c r="O1429" s="34">
        <f t="shared" si="192"/>
        <v>0.18919720392119049</v>
      </c>
      <c r="P1429" s="34">
        <f t="shared" si="193"/>
        <v>0.79173949135972355</v>
      </c>
      <c r="Q1429" s="34">
        <f t="shared" si="194"/>
        <v>0.81080279607880956</v>
      </c>
      <c r="R1429" s="46">
        <f t="shared" si="195"/>
        <v>250.30696626042871</v>
      </c>
    </row>
    <row r="1430" spans="2:18" ht="12.75" customHeight="1" x14ac:dyDescent="0.25">
      <c r="B1430" s="17" t="s">
        <v>0</v>
      </c>
      <c r="C1430" s="44" t="s">
        <v>12</v>
      </c>
      <c r="D1430" s="22" t="s">
        <v>2</v>
      </c>
      <c r="E1430" s="20">
        <v>1</v>
      </c>
      <c r="F1430" s="17" t="s">
        <v>261</v>
      </c>
      <c r="G1430" s="17" t="s">
        <v>265</v>
      </c>
      <c r="H1430" s="17" t="s">
        <v>266</v>
      </c>
      <c r="I1430" s="17" t="s">
        <v>267</v>
      </c>
      <c r="J1430" s="27" t="s">
        <v>13</v>
      </c>
      <c r="K1430" s="29">
        <v>33247</v>
      </c>
      <c r="L1430" s="31">
        <v>53772016.439980768</v>
      </c>
      <c r="M1430" s="31">
        <v>11122205.470000857</v>
      </c>
      <c r="N1430" s="31">
        <v>8809815.2800008375</v>
      </c>
      <c r="O1430" s="34">
        <f t="shared" si="192"/>
        <v>0.20684002956101222</v>
      </c>
      <c r="P1430" s="34">
        <f t="shared" si="193"/>
        <v>0.79209247696088092</v>
      </c>
      <c r="Q1430" s="34">
        <f t="shared" si="194"/>
        <v>0.79315997043898778</v>
      </c>
      <c r="R1430" s="46">
        <f t="shared" si="195"/>
        <v>264.98075856470774</v>
      </c>
    </row>
    <row r="1431" spans="2:18" ht="12.75" customHeight="1" x14ac:dyDescent="0.25">
      <c r="B1431" s="17" t="s">
        <v>0</v>
      </c>
      <c r="C1431" s="44" t="s">
        <v>42</v>
      </c>
      <c r="D1431" s="22" t="s">
        <v>2</v>
      </c>
      <c r="E1431" s="20">
        <v>1</v>
      </c>
      <c r="F1431" s="17" t="s">
        <v>261</v>
      </c>
      <c r="G1431" s="17" t="s">
        <v>265</v>
      </c>
      <c r="H1431" s="17" t="s">
        <v>266</v>
      </c>
      <c r="I1431" s="17" t="s">
        <v>267</v>
      </c>
      <c r="J1431" s="27" t="s">
        <v>43</v>
      </c>
      <c r="K1431" s="29">
        <v>9256</v>
      </c>
      <c r="L1431" s="31">
        <v>32175498.020006668</v>
      </c>
      <c r="M1431" s="31">
        <v>7130129.6899989638</v>
      </c>
      <c r="N1431" s="31">
        <v>5685468.1500069257</v>
      </c>
      <c r="O1431" s="34">
        <f t="shared" si="192"/>
        <v>0.221601222320334</v>
      </c>
      <c r="P1431" s="34">
        <f t="shared" si="193"/>
        <v>0.79738635862144491</v>
      </c>
      <c r="Q1431" s="34">
        <f t="shared" si="194"/>
        <v>0.77839877767966603</v>
      </c>
      <c r="R1431" s="46">
        <f t="shared" si="195"/>
        <v>614.246775065571</v>
      </c>
    </row>
    <row r="1432" spans="2:18" ht="12.75" customHeight="1" x14ac:dyDescent="0.25">
      <c r="B1432" s="17" t="s">
        <v>0</v>
      </c>
      <c r="C1432" s="44" t="s">
        <v>14</v>
      </c>
      <c r="D1432" s="22" t="s">
        <v>9</v>
      </c>
      <c r="E1432" s="20">
        <v>2</v>
      </c>
      <c r="F1432" s="17" t="s">
        <v>261</v>
      </c>
      <c r="G1432" s="17" t="s">
        <v>265</v>
      </c>
      <c r="H1432" s="17" t="s">
        <v>266</v>
      </c>
      <c r="I1432" s="17" t="s">
        <v>267</v>
      </c>
      <c r="J1432" s="27" t="s">
        <v>15</v>
      </c>
      <c r="K1432" s="29">
        <v>8767</v>
      </c>
      <c r="L1432" s="31">
        <v>12360798.440000201</v>
      </c>
      <c r="M1432" s="31">
        <v>2474998.3900029291</v>
      </c>
      <c r="N1432" s="31">
        <v>1966261.0200053954</v>
      </c>
      <c r="O1432" s="34">
        <f t="shared" si="192"/>
        <v>0.20022965361150966</v>
      </c>
      <c r="P1432" s="34">
        <f t="shared" si="193"/>
        <v>0.79444941376429268</v>
      </c>
      <c r="Q1432" s="34">
        <f t="shared" si="194"/>
        <v>0.79977034638849032</v>
      </c>
      <c r="R1432" s="46">
        <f t="shared" si="195"/>
        <v>224.2798015290744</v>
      </c>
    </row>
    <row r="1433" spans="2:18" ht="12.75" customHeight="1" x14ac:dyDescent="0.25">
      <c r="B1433" s="17" t="s">
        <v>0</v>
      </c>
      <c r="C1433" s="44" t="s">
        <v>64</v>
      </c>
      <c r="D1433" s="22" t="s">
        <v>2</v>
      </c>
      <c r="E1433" s="20">
        <v>1</v>
      </c>
      <c r="F1433" s="17" t="s">
        <v>261</v>
      </c>
      <c r="G1433" s="17" t="s">
        <v>265</v>
      </c>
      <c r="H1433" s="17" t="s">
        <v>266</v>
      </c>
      <c r="I1433" s="17" t="s">
        <v>267</v>
      </c>
      <c r="J1433" s="27" t="s">
        <v>65</v>
      </c>
      <c r="K1433" s="29">
        <v>2693</v>
      </c>
      <c r="L1433" s="31">
        <v>8900780.8299943823</v>
      </c>
      <c r="M1433" s="31">
        <v>2023386.0600037337</v>
      </c>
      <c r="N1433" s="31">
        <v>1617210.3499991714</v>
      </c>
      <c r="O1433" s="34">
        <f t="shared" si="192"/>
        <v>0.22732680409174963</v>
      </c>
      <c r="P1433" s="34">
        <f t="shared" si="193"/>
        <v>0.799259410730638</v>
      </c>
      <c r="Q1433" s="34">
        <f t="shared" si="194"/>
        <v>0.77267319590825034</v>
      </c>
      <c r="R1433" s="46">
        <f t="shared" si="195"/>
        <v>600.5237096172192</v>
      </c>
    </row>
    <row r="1434" spans="2:18" ht="12.75" customHeight="1" x14ac:dyDescent="0.25">
      <c r="B1434" s="17" t="s">
        <v>0</v>
      </c>
      <c r="C1434" s="44" t="s">
        <v>12</v>
      </c>
      <c r="D1434" s="22" t="s">
        <v>9</v>
      </c>
      <c r="E1434" s="20">
        <v>2</v>
      </c>
      <c r="F1434" s="17" t="s">
        <v>261</v>
      </c>
      <c r="G1434" s="17" t="s">
        <v>265</v>
      </c>
      <c r="H1434" s="17" t="s">
        <v>266</v>
      </c>
      <c r="I1434" s="17" t="s">
        <v>267</v>
      </c>
      <c r="J1434" s="27" t="s">
        <v>13</v>
      </c>
      <c r="K1434" s="29">
        <v>5196</v>
      </c>
      <c r="L1434" s="31">
        <v>7508259.6500022002</v>
      </c>
      <c r="M1434" s="31">
        <v>1195850.0300039488</v>
      </c>
      <c r="N1434" s="31">
        <v>945476.51000002795</v>
      </c>
      <c r="O1434" s="34">
        <f t="shared" si="192"/>
        <v>0.15927126734403738</v>
      </c>
      <c r="P1434" s="34">
        <f t="shared" si="193"/>
        <v>0.7906313386110011</v>
      </c>
      <c r="Q1434" s="34">
        <f t="shared" si="194"/>
        <v>0.8407287326559626</v>
      </c>
      <c r="R1434" s="46">
        <f t="shared" si="195"/>
        <v>181.96237682833487</v>
      </c>
    </row>
    <row r="1435" spans="2:18" ht="12.75" customHeight="1" x14ac:dyDescent="0.25">
      <c r="B1435" s="17" t="s">
        <v>0</v>
      </c>
      <c r="C1435" s="44" t="s">
        <v>30</v>
      </c>
      <c r="D1435" s="22" t="s">
        <v>2</v>
      </c>
      <c r="E1435" s="20">
        <v>1</v>
      </c>
      <c r="F1435" s="17" t="s">
        <v>261</v>
      </c>
      <c r="G1435" s="17" t="s">
        <v>265</v>
      </c>
      <c r="H1435" s="17" t="s">
        <v>266</v>
      </c>
      <c r="I1435" s="17" t="s">
        <v>267</v>
      </c>
      <c r="J1435" s="27" t="s">
        <v>31</v>
      </c>
      <c r="K1435" s="29">
        <v>3005</v>
      </c>
      <c r="L1435" s="31">
        <v>4738074.7699921215</v>
      </c>
      <c r="M1435" s="31">
        <v>1082003.9300006954</v>
      </c>
      <c r="N1435" s="31">
        <v>857161.44999977387</v>
      </c>
      <c r="O1435" s="34">
        <f t="shared" si="192"/>
        <v>0.22836362500089769</v>
      </c>
      <c r="P1435" s="34">
        <f t="shared" si="193"/>
        <v>0.79219809303208633</v>
      </c>
      <c r="Q1435" s="34">
        <f t="shared" si="194"/>
        <v>0.77163637499910231</v>
      </c>
      <c r="R1435" s="46">
        <f t="shared" si="195"/>
        <v>285.24507487513273</v>
      </c>
    </row>
    <row r="1436" spans="2:18" ht="12.75" customHeight="1" x14ac:dyDescent="0.25">
      <c r="B1436" s="17" t="s">
        <v>0</v>
      </c>
      <c r="C1436" s="44" t="s">
        <v>32</v>
      </c>
      <c r="D1436" s="22" t="s">
        <v>9</v>
      </c>
      <c r="E1436" s="20">
        <v>2</v>
      </c>
      <c r="F1436" s="17" t="s">
        <v>261</v>
      </c>
      <c r="G1436" s="17" t="s">
        <v>265</v>
      </c>
      <c r="H1436" s="17" t="s">
        <v>266</v>
      </c>
      <c r="I1436" s="17" t="s">
        <v>267</v>
      </c>
      <c r="J1436" s="27" t="s">
        <v>33</v>
      </c>
      <c r="K1436" s="29">
        <v>329</v>
      </c>
      <c r="L1436" s="31">
        <v>3189226.4999877</v>
      </c>
      <c r="M1436" s="31">
        <v>867919.35000352887</v>
      </c>
      <c r="N1436" s="31">
        <v>685917.95999725803</v>
      </c>
      <c r="O1436" s="34">
        <f t="shared" si="192"/>
        <v>0.27214101914896172</v>
      </c>
      <c r="P1436" s="34">
        <f t="shared" si="193"/>
        <v>0.79030149517287429</v>
      </c>
      <c r="Q1436" s="34">
        <f t="shared" si="194"/>
        <v>0.72785898085103828</v>
      </c>
      <c r="R1436" s="46">
        <f t="shared" si="195"/>
        <v>2084.8570212682616</v>
      </c>
    </row>
    <row r="1437" spans="2:18" ht="12.75" customHeight="1" x14ac:dyDescent="0.25">
      <c r="B1437" s="17" t="s">
        <v>0</v>
      </c>
      <c r="C1437" s="44" t="s">
        <v>50</v>
      </c>
      <c r="D1437" s="22" t="s">
        <v>2</v>
      </c>
      <c r="E1437" s="20">
        <v>1</v>
      </c>
      <c r="F1437" s="17" t="s">
        <v>261</v>
      </c>
      <c r="G1437" s="17" t="s">
        <v>265</v>
      </c>
      <c r="H1437" s="17" t="s">
        <v>266</v>
      </c>
      <c r="I1437" s="17" t="s">
        <v>267</v>
      </c>
      <c r="J1437" s="27" t="s">
        <v>51</v>
      </c>
      <c r="K1437" s="29">
        <v>3200</v>
      </c>
      <c r="L1437" s="31">
        <v>4459373.2299975846</v>
      </c>
      <c r="M1437" s="31">
        <v>365205.16000012186</v>
      </c>
      <c r="N1437" s="31">
        <v>290849.59000035177</v>
      </c>
      <c r="O1437" s="34">
        <f t="shared" si="192"/>
        <v>8.1896073991617802E-2</v>
      </c>
      <c r="P1437" s="34">
        <f t="shared" si="193"/>
        <v>0.79640054921528136</v>
      </c>
      <c r="Q1437" s="34">
        <f t="shared" si="194"/>
        <v>0.9181039260083822</v>
      </c>
      <c r="R1437" s="46">
        <f t="shared" si="195"/>
        <v>90.890496875109932</v>
      </c>
    </row>
    <row r="1438" spans="2:18" ht="12.75" customHeight="1" x14ac:dyDescent="0.25">
      <c r="B1438" s="17" t="s">
        <v>0</v>
      </c>
      <c r="C1438" s="44" t="s">
        <v>22</v>
      </c>
      <c r="D1438" s="22" t="s">
        <v>2</v>
      </c>
      <c r="E1438" s="20">
        <v>1</v>
      </c>
      <c r="F1438" s="17" t="s">
        <v>261</v>
      </c>
      <c r="G1438" s="17" t="s">
        <v>265</v>
      </c>
      <c r="H1438" s="17" t="s">
        <v>266</v>
      </c>
      <c r="I1438" s="17" t="s">
        <v>267</v>
      </c>
      <c r="J1438" s="27" t="s">
        <v>23</v>
      </c>
      <c r="K1438" s="29">
        <v>443</v>
      </c>
      <c r="L1438" s="31">
        <v>1412506.45</v>
      </c>
      <c r="M1438" s="31">
        <v>263395.14000039606</v>
      </c>
      <c r="N1438" s="31">
        <v>209800.16000049203</v>
      </c>
      <c r="O1438" s="34">
        <f t="shared" si="192"/>
        <v>0.18647358389081767</v>
      </c>
      <c r="P1438" s="34">
        <f t="shared" si="193"/>
        <v>0.79652251746245795</v>
      </c>
      <c r="Q1438" s="34">
        <f t="shared" si="194"/>
        <v>0.8135264161091823</v>
      </c>
      <c r="R1438" s="46">
        <f t="shared" si="195"/>
        <v>473.58952596047862</v>
      </c>
    </row>
    <row r="1439" spans="2:18" ht="12.75" customHeight="1" x14ac:dyDescent="0.25">
      <c r="B1439" s="17" t="s">
        <v>0</v>
      </c>
      <c r="C1439" s="44" t="s">
        <v>30</v>
      </c>
      <c r="D1439" s="22" t="s">
        <v>9</v>
      </c>
      <c r="E1439" s="20">
        <v>2</v>
      </c>
      <c r="F1439" s="17" t="s">
        <v>261</v>
      </c>
      <c r="G1439" s="17" t="s">
        <v>265</v>
      </c>
      <c r="H1439" s="17" t="s">
        <v>266</v>
      </c>
      <c r="I1439" s="17" t="s">
        <v>267</v>
      </c>
      <c r="J1439" s="27" t="s">
        <v>31</v>
      </c>
      <c r="K1439" s="29">
        <v>161</v>
      </c>
      <c r="L1439" s="31">
        <v>816536.84</v>
      </c>
      <c r="M1439" s="31">
        <v>209016.19000024497</v>
      </c>
      <c r="N1439" s="31">
        <v>165191.959999721</v>
      </c>
      <c r="O1439" s="34">
        <f t="shared" si="192"/>
        <v>0.25597888516609363</v>
      </c>
      <c r="P1439" s="34">
        <f t="shared" si="193"/>
        <v>0.79033093082180572</v>
      </c>
      <c r="Q1439" s="34">
        <f t="shared" si="194"/>
        <v>0.74402111483390643</v>
      </c>
      <c r="R1439" s="46">
        <f t="shared" si="195"/>
        <v>1026.0370186318075</v>
      </c>
    </row>
    <row r="1440" spans="2:18" ht="12.75" customHeight="1" x14ac:dyDescent="0.25">
      <c r="B1440" s="17" t="s">
        <v>0</v>
      </c>
      <c r="C1440" s="44" t="s">
        <v>7</v>
      </c>
      <c r="D1440" s="22" t="s">
        <v>2</v>
      </c>
      <c r="E1440" s="20">
        <v>1</v>
      </c>
      <c r="F1440" s="17" t="s">
        <v>261</v>
      </c>
      <c r="G1440" s="17" t="s">
        <v>265</v>
      </c>
      <c r="H1440" s="17" t="s">
        <v>266</v>
      </c>
      <c r="I1440" s="17" t="s">
        <v>267</v>
      </c>
      <c r="J1440" s="27" t="s">
        <v>8</v>
      </c>
      <c r="K1440" s="29">
        <v>2208</v>
      </c>
      <c r="L1440" s="31">
        <v>3825841.74000062</v>
      </c>
      <c r="M1440" s="31">
        <v>187041.59999999695</v>
      </c>
      <c r="N1440" s="31">
        <v>149005.16999995607</v>
      </c>
      <c r="O1440" s="34">
        <f t="shared" si="192"/>
        <v>4.8889006056995615E-2</v>
      </c>
      <c r="P1440" s="34">
        <f t="shared" si="193"/>
        <v>0.79664187004366138</v>
      </c>
      <c r="Q1440" s="34">
        <f t="shared" si="194"/>
        <v>0.95111099394300436</v>
      </c>
      <c r="R1440" s="46">
        <f t="shared" si="195"/>
        <v>67.484225543458365</v>
      </c>
    </row>
    <row r="1441" spans="2:18" ht="12.75" customHeight="1" x14ac:dyDescent="0.25">
      <c r="B1441" s="17" t="s">
        <v>0</v>
      </c>
      <c r="C1441" s="44" t="s">
        <v>36</v>
      </c>
      <c r="D1441" s="22" t="s">
        <v>2</v>
      </c>
      <c r="E1441" s="20">
        <v>1</v>
      </c>
      <c r="F1441" s="17" t="s">
        <v>261</v>
      </c>
      <c r="G1441" s="17" t="s">
        <v>265</v>
      </c>
      <c r="H1441" s="17" t="s">
        <v>266</v>
      </c>
      <c r="I1441" s="17" t="s">
        <v>267</v>
      </c>
      <c r="J1441" s="27" t="s">
        <v>37</v>
      </c>
      <c r="K1441" s="29">
        <v>237</v>
      </c>
      <c r="L1441" s="31">
        <v>721760.45000000508</v>
      </c>
      <c r="M1441" s="31">
        <v>175153.54000064498</v>
      </c>
      <c r="N1441" s="31">
        <v>139961.04999967598</v>
      </c>
      <c r="O1441" s="34">
        <f t="shared" si="192"/>
        <v>0.24267544723549725</v>
      </c>
      <c r="P1441" s="34">
        <f t="shared" si="193"/>
        <v>0.79907634181507603</v>
      </c>
      <c r="Q1441" s="34">
        <f t="shared" si="194"/>
        <v>0.75732455276450272</v>
      </c>
      <c r="R1441" s="46">
        <f t="shared" si="195"/>
        <v>590.55295358513069</v>
      </c>
    </row>
    <row r="1442" spans="2:18" ht="12.75" customHeight="1" x14ac:dyDescent="0.25">
      <c r="B1442" s="17" t="s">
        <v>0</v>
      </c>
      <c r="C1442" s="44" t="s">
        <v>38</v>
      </c>
      <c r="D1442" s="22" t="s">
        <v>2</v>
      </c>
      <c r="E1442" s="20">
        <v>1</v>
      </c>
      <c r="F1442" s="17" t="s">
        <v>261</v>
      </c>
      <c r="G1442" s="17" t="s">
        <v>265</v>
      </c>
      <c r="H1442" s="17" t="s">
        <v>266</v>
      </c>
      <c r="I1442" s="17" t="s">
        <v>267</v>
      </c>
      <c r="J1442" s="27" t="s">
        <v>39</v>
      </c>
      <c r="K1442" s="29">
        <v>409</v>
      </c>
      <c r="L1442" s="31">
        <v>686189.99999549997</v>
      </c>
      <c r="M1442" s="31">
        <v>174217.94999987699</v>
      </c>
      <c r="N1442" s="31">
        <v>137377.60999959998</v>
      </c>
      <c r="O1442" s="34">
        <f t="shared" si="192"/>
        <v>0.25389170638018554</v>
      </c>
      <c r="P1442" s="34">
        <f t="shared" si="193"/>
        <v>0.78853878144988498</v>
      </c>
      <c r="Q1442" s="34">
        <f t="shared" si="194"/>
        <v>0.74610829361981446</v>
      </c>
      <c r="R1442" s="46">
        <f t="shared" si="195"/>
        <v>335.88657701613687</v>
      </c>
    </row>
    <row r="1443" spans="2:18" ht="12.75" customHeight="1" x14ac:dyDescent="0.25">
      <c r="B1443" s="17" t="s">
        <v>0</v>
      </c>
      <c r="C1443" s="44" t="s">
        <v>52</v>
      </c>
      <c r="D1443" s="22" t="s">
        <v>2</v>
      </c>
      <c r="E1443" s="20">
        <v>1</v>
      </c>
      <c r="F1443" s="17" t="s">
        <v>261</v>
      </c>
      <c r="G1443" s="17" t="s">
        <v>265</v>
      </c>
      <c r="H1443" s="17" t="s">
        <v>266</v>
      </c>
      <c r="I1443" s="17" t="s">
        <v>267</v>
      </c>
      <c r="J1443" s="27" t="s">
        <v>53</v>
      </c>
      <c r="K1443" s="29">
        <v>886</v>
      </c>
      <c r="L1443" s="31">
        <v>846743.54999981995</v>
      </c>
      <c r="M1443" s="31">
        <v>167971.45000019102</v>
      </c>
      <c r="N1443" s="31">
        <v>131972.40000027898</v>
      </c>
      <c r="O1443" s="34">
        <f t="shared" si="192"/>
        <v>0.19837346266201467</v>
      </c>
      <c r="P1443" s="34">
        <f t="shared" si="193"/>
        <v>0.78568351943219461</v>
      </c>
      <c r="Q1443" s="34">
        <f t="shared" si="194"/>
        <v>0.80162653733798539</v>
      </c>
      <c r="R1443" s="46">
        <f t="shared" si="195"/>
        <v>148.95304740437808</v>
      </c>
    </row>
    <row r="1444" spans="2:18" ht="12.75" customHeight="1" x14ac:dyDescent="0.25">
      <c r="B1444" s="17" t="s">
        <v>0</v>
      </c>
      <c r="C1444" s="44" t="s">
        <v>54</v>
      </c>
      <c r="D1444" s="22" t="s">
        <v>2</v>
      </c>
      <c r="E1444" s="20">
        <v>1</v>
      </c>
      <c r="F1444" s="17" t="s">
        <v>261</v>
      </c>
      <c r="G1444" s="17" t="s">
        <v>265</v>
      </c>
      <c r="H1444" s="17" t="s">
        <v>266</v>
      </c>
      <c r="I1444" s="17" t="s">
        <v>267</v>
      </c>
      <c r="J1444" s="27" t="s">
        <v>55</v>
      </c>
      <c r="K1444" s="29">
        <v>229</v>
      </c>
      <c r="L1444" s="31">
        <v>302834.99999841995</v>
      </c>
      <c r="M1444" s="31">
        <v>115810.090000062</v>
      </c>
      <c r="N1444" s="31">
        <v>91545.390000093001</v>
      </c>
      <c r="O1444" s="34">
        <f t="shared" si="192"/>
        <v>0.38241976654173476</v>
      </c>
      <c r="P1444" s="34">
        <f t="shared" si="193"/>
        <v>0.79047853257038303</v>
      </c>
      <c r="Q1444" s="34">
        <f t="shared" si="194"/>
        <v>0.61758023345826518</v>
      </c>
      <c r="R1444" s="46">
        <f t="shared" si="195"/>
        <v>399.76152838468562</v>
      </c>
    </row>
    <row r="1445" spans="2:18" ht="12.75" customHeight="1" x14ac:dyDescent="0.25">
      <c r="B1445" s="17" t="s">
        <v>0</v>
      </c>
      <c r="C1445" s="44" t="s">
        <v>62</v>
      </c>
      <c r="D1445" s="22" t="s">
        <v>2</v>
      </c>
      <c r="E1445" s="20">
        <v>1</v>
      </c>
      <c r="F1445" s="17" t="s">
        <v>261</v>
      </c>
      <c r="G1445" s="17" t="s">
        <v>265</v>
      </c>
      <c r="H1445" s="17" t="s">
        <v>266</v>
      </c>
      <c r="I1445" s="17" t="s">
        <v>267</v>
      </c>
      <c r="J1445" s="27" t="s">
        <v>63</v>
      </c>
      <c r="K1445" s="29">
        <v>181</v>
      </c>
      <c r="L1445" s="31">
        <v>317100</v>
      </c>
      <c r="M1445" s="31">
        <v>67356.390000170009</v>
      </c>
      <c r="N1445" s="31">
        <v>53096.749999599997</v>
      </c>
      <c r="O1445" s="34">
        <f t="shared" si="192"/>
        <v>0.2124137180705456</v>
      </c>
      <c r="P1445" s="34">
        <f t="shared" si="193"/>
        <v>0.78829566132427786</v>
      </c>
      <c r="Q1445" s="34">
        <f t="shared" si="194"/>
        <v>0.78758628192945435</v>
      </c>
      <c r="R1445" s="46">
        <f t="shared" si="195"/>
        <v>293.35220994254144</v>
      </c>
    </row>
    <row r="1446" spans="2:18" ht="12.75" customHeight="1" x14ac:dyDescent="0.25">
      <c r="B1446" s="17" t="s">
        <v>0</v>
      </c>
      <c r="C1446" s="44" t="s">
        <v>46</v>
      </c>
      <c r="D1446" s="22" t="s">
        <v>2</v>
      </c>
      <c r="E1446" s="20">
        <v>1</v>
      </c>
      <c r="F1446" s="17" t="s">
        <v>261</v>
      </c>
      <c r="G1446" s="17" t="s">
        <v>265</v>
      </c>
      <c r="H1446" s="17" t="s">
        <v>266</v>
      </c>
      <c r="I1446" s="17" t="s">
        <v>267</v>
      </c>
      <c r="J1446" s="27" t="s">
        <v>47</v>
      </c>
      <c r="K1446" s="29">
        <v>524</v>
      </c>
      <c r="L1446" s="31">
        <v>738563.76999970537</v>
      </c>
      <c r="M1446" s="31">
        <v>45722.399999654408</v>
      </c>
      <c r="N1446" s="31">
        <v>36305.709999725601</v>
      </c>
      <c r="O1446" s="34">
        <f t="shared" si="192"/>
        <v>6.1907179659885903E-2</v>
      </c>
      <c r="P1446" s="34">
        <f t="shared" si="193"/>
        <v>0.79404646300281734</v>
      </c>
      <c r="Q1446" s="34">
        <f t="shared" si="194"/>
        <v>0.9380928203401141</v>
      </c>
      <c r="R1446" s="46">
        <f t="shared" si="195"/>
        <v>69.285706106346566</v>
      </c>
    </row>
    <row r="1447" spans="2:18" ht="12.75" customHeight="1" x14ac:dyDescent="0.25">
      <c r="B1447" s="17" t="s">
        <v>0</v>
      </c>
      <c r="C1447" s="44" t="s">
        <v>44</v>
      </c>
      <c r="D1447" s="22" t="s">
        <v>2</v>
      </c>
      <c r="E1447" s="20">
        <v>1</v>
      </c>
      <c r="F1447" s="17" t="s">
        <v>261</v>
      </c>
      <c r="G1447" s="17" t="s">
        <v>265</v>
      </c>
      <c r="H1447" s="17" t="s">
        <v>266</v>
      </c>
      <c r="I1447" s="17" t="s">
        <v>267</v>
      </c>
      <c r="J1447" s="27" t="s">
        <v>45</v>
      </c>
      <c r="K1447" s="29">
        <v>113</v>
      </c>
      <c r="L1447" s="31">
        <v>47613</v>
      </c>
      <c r="M1447" s="31">
        <v>12514.180000160999</v>
      </c>
      <c r="N1447" s="31">
        <v>9714.9200000090004</v>
      </c>
      <c r="O1447" s="34">
        <f t="shared" si="192"/>
        <v>0.26283115956064518</v>
      </c>
      <c r="P1447" s="34">
        <f t="shared" si="193"/>
        <v>0.77631295057958372</v>
      </c>
      <c r="Q1447" s="34">
        <f t="shared" si="194"/>
        <v>0.73716884043935482</v>
      </c>
      <c r="R1447" s="46">
        <f t="shared" si="195"/>
        <v>85.972743362911501</v>
      </c>
    </row>
    <row r="1448" spans="2:18" ht="12.75" customHeight="1" x14ac:dyDescent="0.25">
      <c r="B1448" s="17" t="s">
        <v>0</v>
      </c>
      <c r="C1448" s="44" t="s">
        <v>28</v>
      </c>
      <c r="D1448" s="22" t="s">
        <v>2</v>
      </c>
      <c r="E1448" s="20">
        <v>1</v>
      </c>
      <c r="F1448" s="17" t="s">
        <v>261</v>
      </c>
      <c r="G1448" s="17" t="s">
        <v>265</v>
      </c>
      <c r="H1448" s="17" t="s">
        <v>266</v>
      </c>
      <c r="I1448" s="17" t="s">
        <v>267</v>
      </c>
      <c r="J1448" s="27" t="s">
        <v>29</v>
      </c>
      <c r="K1448" s="29">
        <v>81</v>
      </c>
      <c r="L1448" s="31">
        <v>89783</v>
      </c>
      <c r="M1448" s="31">
        <v>9684.0700000500001</v>
      </c>
      <c r="N1448" s="31">
        <v>7712.680000018001</v>
      </c>
      <c r="O1448" s="34">
        <f t="shared" si="192"/>
        <v>0.10786084225354466</v>
      </c>
      <c r="P1448" s="34">
        <f t="shared" si="193"/>
        <v>0.79642960036205634</v>
      </c>
      <c r="Q1448" s="34">
        <f t="shared" si="194"/>
        <v>0.89213915774645536</v>
      </c>
      <c r="R1448" s="46">
        <f t="shared" si="195"/>
        <v>95.21827160516051</v>
      </c>
    </row>
    <row r="1449" spans="2:18" ht="12.75" customHeight="1" x14ac:dyDescent="0.25">
      <c r="B1449" s="17" t="s">
        <v>0</v>
      </c>
      <c r="C1449" s="44" t="s">
        <v>186</v>
      </c>
      <c r="D1449" s="22" t="s">
        <v>2</v>
      </c>
      <c r="E1449" s="20">
        <v>1</v>
      </c>
      <c r="F1449" s="17" t="s">
        <v>261</v>
      </c>
      <c r="G1449" s="17" t="s">
        <v>265</v>
      </c>
      <c r="H1449" s="17" t="s">
        <v>266</v>
      </c>
      <c r="I1449" s="17" t="s">
        <v>267</v>
      </c>
      <c r="J1449" s="27" t="s">
        <v>187</v>
      </c>
      <c r="K1449" s="29">
        <v>45</v>
      </c>
      <c r="L1449" s="31">
        <v>17319.000000149998</v>
      </c>
      <c r="M1449" s="31">
        <v>4758.7000000500002</v>
      </c>
      <c r="N1449" s="31">
        <v>3797.4500000100002</v>
      </c>
      <c r="O1449" s="34">
        <f t="shared" si="192"/>
        <v>0.27476759628204778</v>
      </c>
      <c r="P1449" s="34">
        <f t="shared" si="193"/>
        <v>0.79800155504026304</v>
      </c>
      <c r="Q1449" s="34">
        <f t="shared" si="194"/>
        <v>0.72523240371795228</v>
      </c>
      <c r="R1449" s="46">
        <f t="shared" si="195"/>
        <v>84.387777778</v>
      </c>
    </row>
    <row r="1450" spans="2:18" ht="12.75" customHeight="1" x14ac:dyDescent="0.25">
      <c r="B1450" s="17" t="s">
        <v>0</v>
      </c>
      <c r="C1450" s="44" t="s">
        <v>76</v>
      </c>
      <c r="D1450" s="22" t="s">
        <v>2</v>
      </c>
      <c r="E1450" s="20">
        <v>1</v>
      </c>
      <c r="F1450" s="17" t="s">
        <v>261</v>
      </c>
      <c r="G1450" s="17" t="s">
        <v>265</v>
      </c>
      <c r="H1450" s="17" t="s">
        <v>266</v>
      </c>
      <c r="I1450" s="17" t="s">
        <v>267</v>
      </c>
      <c r="J1450" s="27" t="s">
        <v>77</v>
      </c>
      <c r="K1450" s="29">
        <v>19</v>
      </c>
      <c r="L1450" s="31">
        <v>15980.330000000002</v>
      </c>
      <c r="M1450" s="31">
        <v>3735.59</v>
      </c>
      <c r="N1450" s="31">
        <v>2976.3100000599998</v>
      </c>
      <c r="O1450" s="34">
        <f t="shared" si="192"/>
        <v>0.23376175585860867</v>
      </c>
      <c r="P1450" s="34">
        <f t="shared" si="193"/>
        <v>0.79674428940542186</v>
      </c>
      <c r="Q1450" s="34">
        <f t="shared" si="194"/>
        <v>0.7662382441413913</v>
      </c>
      <c r="R1450" s="46">
        <f t="shared" si="195"/>
        <v>156.64789474</v>
      </c>
    </row>
    <row r="1451" spans="2:18" ht="12.75" customHeight="1" thickBot="1" x14ac:dyDescent="0.3">
      <c r="B1451" s="15" t="s">
        <v>0</v>
      </c>
      <c r="C1451" s="50" t="s">
        <v>1</v>
      </c>
      <c r="D1451" s="19" t="s">
        <v>2</v>
      </c>
      <c r="E1451" s="16">
        <v>1</v>
      </c>
      <c r="F1451" s="15" t="s">
        <v>261</v>
      </c>
      <c r="G1451" s="15" t="s">
        <v>265</v>
      </c>
      <c r="H1451" s="15" t="s">
        <v>266</v>
      </c>
      <c r="I1451" s="15" t="s">
        <v>267</v>
      </c>
      <c r="J1451" s="24" t="s">
        <v>6</v>
      </c>
      <c r="K1451" s="26">
        <v>12</v>
      </c>
      <c r="L1451" s="28">
        <v>28860</v>
      </c>
      <c r="M1451" s="28">
        <v>1000.1600000039999</v>
      </c>
      <c r="N1451" s="28">
        <v>794.87999999999988</v>
      </c>
      <c r="O1451" s="32">
        <f t="shared" si="192"/>
        <v>3.4655578655717251E-2</v>
      </c>
      <c r="P1451" s="32">
        <f t="shared" si="193"/>
        <v>0.79475283954249409</v>
      </c>
      <c r="Q1451" s="32">
        <f t="shared" si="194"/>
        <v>0.96534442134428278</v>
      </c>
      <c r="R1451" s="49">
        <f t="shared" si="195"/>
        <v>66.239999999999995</v>
      </c>
    </row>
    <row r="1452" spans="2:18" ht="17.25" customHeight="1" x14ac:dyDescent="0.25">
      <c r="B1452" s="48"/>
      <c r="C1452" s="58"/>
      <c r="D1452" s="51" t="s">
        <v>366</v>
      </c>
      <c r="E1452" s="52"/>
      <c r="F1452" s="52"/>
      <c r="G1452" s="53"/>
      <c r="H1452" s="53"/>
      <c r="I1452" s="53"/>
      <c r="J1452" s="54"/>
      <c r="K1452" s="55">
        <f>SUM(K1427:K1451)</f>
        <v>149380</v>
      </c>
      <c r="L1452" s="56">
        <f>SUM(L1427:L1451)</f>
        <v>443604498.99987042</v>
      </c>
      <c r="M1452" s="56">
        <f>SUM(M1427:M1451)</f>
        <v>78878519.4499681</v>
      </c>
      <c r="N1452" s="56">
        <f>SUM(N1427:N1451)</f>
        <v>62669160.429986879</v>
      </c>
      <c r="O1452" s="57">
        <f>IFERROR(M1452/L1452,0)</f>
        <v>0.17781271296347051</v>
      </c>
      <c r="P1452" s="57">
        <f>IFERROR(N1452/M1452,0)</f>
        <v>0.79450224049574536</v>
      </c>
      <c r="Q1452" s="57">
        <f>IFERROR(1-(M1452/L1452),0)</f>
        <v>0.82218728703652944</v>
      </c>
      <c r="R1452" s="59">
        <f>IFERROR(N1452/K1452,0)</f>
        <v>419.5284538089897</v>
      </c>
    </row>
    <row r="1453" spans="2:18" ht="15.75" thickBot="1" x14ac:dyDescent="0.3">
      <c r="B1453" s="60"/>
      <c r="C1453" s="64"/>
      <c r="D1453" s="62" t="s">
        <v>267</v>
      </c>
      <c r="E1453" s="61"/>
      <c r="F1453" s="61"/>
      <c r="G1453" s="61"/>
      <c r="H1453" s="61"/>
      <c r="I1453" s="61"/>
      <c r="J1453" s="61"/>
      <c r="K1453" s="63"/>
      <c r="L1453" s="63"/>
      <c r="M1453" s="63"/>
      <c r="N1453" s="63"/>
      <c r="O1453" s="63"/>
      <c r="P1453" s="63"/>
      <c r="Q1453" s="63"/>
      <c r="R1453" s="65"/>
    </row>
    <row r="1454" spans="2:18" ht="15.75" thickBot="1" x14ac:dyDescent="0.3"/>
    <row r="1455" spans="2:18" ht="15.75" x14ac:dyDescent="0.25">
      <c r="B1455" s="1"/>
      <c r="C1455" s="7" t="s">
        <v>348</v>
      </c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9"/>
    </row>
    <row r="1456" spans="2:18" ht="18" x14ac:dyDescent="0.25">
      <c r="B1456" s="2"/>
      <c r="C1456" s="8" t="s">
        <v>270</v>
      </c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10"/>
    </row>
    <row r="1457" spans="2:18" ht="15.75" thickBot="1" x14ac:dyDescent="0.3">
      <c r="B1457" s="3"/>
      <c r="C1457" s="11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12"/>
    </row>
    <row r="1458" spans="2:18" ht="17.25" customHeight="1" thickBot="1" x14ac:dyDescent="0.3">
      <c r="B1458" s="14" t="s">
        <v>349</v>
      </c>
      <c r="C1458" s="18" t="s">
        <v>350</v>
      </c>
      <c r="D1458" s="21" t="s">
        <v>351</v>
      </c>
      <c r="E1458" s="23" t="s">
        <v>352</v>
      </c>
      <c r="F1458" s="21" t="s">
        <v>353</v>
      </c>
      <c r="G1458" s="23" t="s">
        <v>354</v>
      </c>
      <c r="H1458" s="23" t="s">
        <v>355</v>
      </c>
      <c r="I1458" s="23" t="s">
        <v>356</v>
      </c>
      <c r="J1458" s="25" t="s">
        <v>357</v>
      </c>
      <c r="K1458" s="25" t="s">
        <v>358</v>
      </c>
      <c r="L1458" s="30" t="s">
        <v>359</v>
      </c>
      <c r="M1458" s="30" t="s">
        <v>360</v>
      </c>
      <c r="N1458" s="30" t="s">
        <v>361</v>
      </c>
      <c r="O1458" s="33" t="s">
        <v>362</v>
      </c>
      <c r="P1458" s="33" t="s">
        <v>363</v>
      </c>
      <c r="Q1458" s="33" t="s">
        <v>364</v>
      </c>
      <c r="R1458" s="35" t="s">
        <v>365</v>
      </c>
    </row>
    <row r="1459" spans="2:18" ht="12.75" customHeight="1" x14ac:dyDescent="0.25">
      <c r="B1459" s="17" t="s">
        <v>0</v>
      </c>
      <c r="C1459" s="43" t="s">
        <v>98</v>
      </c>
      <c r="D1459" s="37" t="s">
        <v>2</v>
      </c>
      <c r="E1459" s="36">
        <v>1</v>
      </c>
      <c r="F1459" s="38" t="s">
        <v>261</v>
      </c>
      <c r="G1459" s="38" t="s">
        <v>268</v>
      </c>
      <c r="H1459" s="38" t="s">
        <v>269</v>
      </c>
      <c r="I1459" s="38" t="s">
        <v>270</v>
      </c>
      <c r="J1459" s="39" t="s">
        <v>102</v>
      </c>
      <c r="K1459" s="40">
        <v>155398</v>
      </c>
      <c r="L1459" s="41">
        <v>706010591.91965044</v>
      </c>
      <c r="M1459" s="41">
        <v>71366464.83000885</v>
      </c>
      <c r="N1459" s="41">
        <v>59901317.38999287</v>
      </c>
      <c r="O1459" s="42">
        <f t="shared" ref="O1459:O1495" si="196">IFERROR(M1459/L1459,0)</f>
        <v>0.10108412769837158</v>
      </c>
      <c r="P1459" s="42">
        <f t="shared" ref="P1459:P1495" si="197">IFERROR(N1459/M1459,0)</f>
        <v>0.83934825036765726</v>
      </c>
      <c r="Q1459" s="42">
        <f t="shared" ref="Q1459:Q1495" si="198">IFERROR(1-(M1459/L1459),0)</f>
        <v>0.89891587230162839</v>
      </c>
      <c r="R1459" s="45">
        <f t="shared" ref="R1459:R1495" si="199">IFERROR(N1459/K1459,0)</f>
        <v>385.47032387799629</v>
      </c>
    </row>
    <row r="1460" spans="2:18" ht="12.75" customHeight="1" x14ac:dyDescent="0.25">
      <c r="B1460" s="17" t="s">
        <v>0</v>
      </c>
      <c r="C1460" s="44" t="s">
        <v>48</v>
      </c>
      <c r="D1460" s="22" t="s">
        <v>2</v>
      </c>
      <c r="E1460" s="20">
        <v>1</v>
      </c>
      <c r="F1460" s="17" t="s">
        <v>261</v>
      </c>
      <c r="G1460" s="17" t="s">
        <v>268</v>
      </c>
      <c r="H1460" s="17" t="s">
        <v>269</v>
      </c>
      <c r="I1460" s="17" t="s">
        <v>270</v>
      </c>
      <c r="J1460" s="27" t="s">
        <v>49</v>
      </c>
      <c r="K1460" s="29">
        <v>261205</v>
      </c>
      <c r="L1460" s="31">
        <v>245975914.89999452</v>
      </c>
      <c r="M1460" s="31">
        <v>37297481.190004334</v>
      </c>
      <c r="N1460" s="31">
        <v>30579926.649971284</v>
      </c>
      <c r="O1460" s="34">
        <f t="shared" si="196"/>
        <v>0.1516306228809769</v>
      </c>
      <c r="P1460" s="34">
        <f t="shared" si="197"/>
        <v>0.81989254164880865</v>
      </c>
      <c r="Q1460" s="34">
        <f t="shared" si="198"/>
        <v>0.84836937711902305</v>
      </c>
      <c r="R1460" s="46">
        <f t="shared" si="199"/>
        <v>117.07251641420066</v>
      </c>
    </row>
    <row r="1461" spans="2:18" ht="12.75" customHeight="1" x14ac:dyDescent="0.25">
      <c r="B1461" s="17" t="s">
        <v>0</v>
      </c>
      <c r="C1461" s="44" t="s">
        <v>36</v>
      </c>
      <c r="D1461" s="22" t="s">
        <v>2</v>
      </c>
      <c r="E1461" s="20">
        <v>1</v>
      </c>
      <c r="F1461" s="17" t="s">
        <v>261</v>
      </c>
      <c r="G1461" s="17" t="s">
        <v>268</v>
      </c>
      <c r="H1461" s="17" t="s">
        <v>269</v>
      </c>
      <c r="I1461" s="17" t="s">
        <v>270</v>
      </c>
      <c r="J1461" s="27" t="s">
        <v>37</v>
      </c>
      <c r="K1461" s="29">
        <v>15990</v>
      </c>
      <c r="L1461" s="31">
        <v>31700630.990010299</v>
      </c>
      <c r="M1461" s="31">
        <v>6548527.7000002041</v>
      </c>
      <c r="N1461" s="31">
        <v>5243111.469997202</v>
      </c>
      <c r="O1461" s="34">
        <f t="shared" si="196"/>
        <v>0.20657404901699961</v>
      </c>
      <c r="P1461" s="34">
        <f t="shared" si="197"/>
        <v>0.80065500371893339</v>
      </c>
      <c r="Q1461" s="34">
        <f t="shared" si="198"/>
        <v>0.79342595098300039</v>
      </c>
      <c r="R1461" s="46">
        <f t="shared" si="199"/>
        <v>327.89940400232661</v>
      </c>
    </row>
    <row r="1462" spans="2:18" ht="12.75" customHeight="1" x14ac:dyDescent="0.25">
      <c r="B1462" s="17" t="s">
        <v>0</v>
      </c>
      <c r="C1462" s="44" t="s">
        <v>182</v>
      </c>
      <c r="D1462" s="22" t="s">
        <v>2</v>
      </c>
      <c r="E1462" s="20">
        <v>1</v>
      </c>
      <c r="F1462" s="17" t="s">
        <v>261</v>
      </c>
      <c r="G1462" s="17" t="s">
        <v>268</v>
      </c>
      <c r="H1462" s="17" t="s">
        <v>269</v>
      </c>
      <c r="I1462" s="17" t="s">
        <v>270</v>
      </c>
      <c r="J1462" s="27" t="s">
        <v>183</v>
      </c>
      <c r="K1462" s="29">
        <v>10674</v>
      </c>
      <c r="L1462" s="31">
        <v>12888170.139993841</v>
      </c>
      <c r="M1462" s="31">
        <v>2123670.6300016181</v>
      </c>
      <c r="N1462" s="31">
        <v>1747332.2099978644</v>
      </c>
      <c r="O1462" s="34">
        <f t="shared" si="196"/>
        <v>0.16477673765428991</v>
      </c>
      <c r="P1462" s="34">
        <f t="shared" si="197"/>
        <v>0.8227887061735808</v>
      </c>
      <c r="Q1462" s="34">
        <f t="shared" si="198"/>
        <v>0.83522326234571009</v>
      </c>
      <c r="R1462" s="46">
        <f t="shared" si="199"/>
        <v>163.69985103970998</v>
      </c>
    </row>
    <row r="1463" spans="2:18" ht="12.75" customHeight="1" x14ac:dyDescent="0.25">
      <c r="B1463" s="17" t="s">
        <v>0</v>
      </c>
      <c r="C1463" s="44" t="s">
        <v>48</v>
      </c>
      <c r="D1463" s="22" t="s">
        <v>9</v>
      </c>
      <c r="E1463" s="20">
        <v>2</v>
      </c>
      <c r="F1463" s="17" t="s">
        <v>261</v>
      </c>
      <c r="G1463" s="17" t="s">
        <v>268</v>
      </c>
      <c r="H1463" s="17" t="s">
        <v>269</v>
      </c>
      <c r="I1463" s="17" t="s">
        <v>270</v>
      </c>
      <c r="J1463" s="27" t="s">
        <v>49</v>
      </c>
      <c r="K1463" s="29">
        <v>8410</v>
      </c>
      <c r="L1463" s="31">
        <v>11401177.179999912</v>
      </c>
      <c r="M1463" s="31">
        <v>2024569.0100028547</v>
      </c>
      <c r="N1463" s="31">
        <v>1615128.8599987179</v>
      </c>
      <c r="O1463" s="34">
        <f t="shared" si="196"/>
        <v>0.17757543611850704</v>
      </c>
      <c r="P1463" s="34">
        <f t="shared" si="197"/>
        <v>0.79776429058174736</v>
      </c>
      <c r="Q1463" s="34">
        <f t="shared" si="198"/>
        <v>0.82242456388149299</v>
      </c>
      <c r="R1463" s="46">
        <f t="shared" si="199"/>
        <v>192.04861593326015</v>
      </c>
    </row>
    <row r="1464" spans="2:18" ht="12.75" customHeight="1" x14ac:dyDescent="0.25">
      <c r="B1464" s="17" t="s">
        <v>0</v>
      </c>
      <c r="C1464" s="44" t="s">
        <v>30</v>
      </c>
      <c r="D1464" s="22" t="s">
        <v>2</v>
      </c>
      <c r="E1464" s="20">
        <v>1</v>
      </c>
      <c r="F1464" s="17" t="s">
        <v>261</v>
      </c>
      <c r="G1464" s="17" t="s">
        <v>268</v>
      </c>
      <c r="H1464" s="17" t="s">
        <v>269</v>
      </c>
      <c r="I1464" s="17" t="s">
        <v>270</v>
      </c>
      <c r="J1464" s="27" t="s">
        <v>31</v>
      </c>
      <c r="K1464" s="29">
        <v>8630</v>
      </c>
      <c r="L1464" s="31">
        <v>7305905.2399915103</v>
      </c>
      <c r="M1464" s="31">
        <v>1164351.549998611</v>
      </c>
      <c r="N1464" s="31">
        <v>947381.44999962358</v>
      </c>
      <c r="O1464" s="34">
        <f t="shared" si="196"/>
        <v>0.15937129099692018</v>
      </c>
      <c r="P1464" s="34">
        <f t="shared" si="197"/>
        <v>0.81365584990268081</v>
      </c>
      <c r="Q1464" s="34">
        <f t="shared" si="198"/>
        <v>0.84062870900307984</v>
      </c>
      <c r="R1464" s="46">
        <f t="shared" si="199"/>
        <v>109.77768829659601</v>
      </c>
    </row>
    <row r="1465" spans="2:18" ht="12.75" customHeight="1" x14ac:dyDescent="0.25">
      <c r="B1465" s="17" t="s">
        <v>0</v>
      </c>
      <c r="C1465" s="44" t="s">
        <v>182</v>
      </c>
      <c r="D1465" s="22" t="s">
        <v>9</v>
      </c>
      <c r="E1465" s="20">
        <v>2</v>
      </c>
      <c r="F1465" s="17" t="s">
        <v>261</v>
      </c>
      <c r="G1465" s="17" t="s">
        <v>268</v>
      </c>
      <c r="H1465" s="17" t="s">
        <v>269</v>
      </c>
      <c r="I1465" s="17" t="s">
        <v>270</v>
      </c>
      <c r="J1465" s="27" t="s">
        <v>183</v>
      </c>
      <c r="K1465" s="29">
        <v>7379</v>
      </c>
      <c r="L1465" s="31">
        <v>2996704.3799998905</v>
      </c>
      <c r="M1465" s="31">
        <v>1073508.2499953608</v>
      </c>
      <c r="N1465" s="31">
        <v>795187.67999963684</v>
      </c>
      <c r="O1465" s="34">
        <f t="shared" si="196"/>
        <v>0.35822961289074501</v>
      </c>
      <c r="P1465" s="34">
        <f t="shared" si="197"/>
        <v>0.74073737207243007</v>
      </c>
      <c r="Q1465" s="34">
        <f t="shared" si="198"/>
        <v>0.64177038710925505</v>
      </c>
      <c r="R1465" s="46">
        <f t="shared" si="199"/>
        <v>107.76361024524148</v>
      </c>
    </row>
    <row r="1466" spans="2:18" ht="12.75" customHeight="1" x14ac:dyDescent="0.25">
      <c r="B1466" s="17" t="s">
        <v>0</v>
      </c>
      <c r="C1466" s="44" t="s">
        <v>18</v>
      </c>
      <c r="D1466" s="22" t="s">
        <v>2</v>
      </c>
      <c r="E1466" s="20">
        <v>1</v>
      </c>
      <c r="F1466" s="17" t="s">
        <v>261</v>
      </c>
      <c r="G1466" s="17" t="s">
        <v>268</v>
      </c>
      <c r="H1466" s="17" t="s">
        <v>269</v>
      </c>
      <c r="I1466" s="17" t="s">
        <v>270</v>
      </c>
      <c r="J1466" s="27" t="s">
        <v>19</v>
      </c>
      <c r="K1466" s="29">
        <v>8066</v>
      </c>
      <c r="L1466" s="31">
        <v>6966556.9900055844</v>
      </c>
      <c r="M1466" s="31">
        <v>792276.31999998598</v>
      </c>
      <c r="N1466" s="31">
        <v>623435.8999993538</v>
      </c>
      <c r="O1466" s="34">
        <f t="shared" si="196"/>
        <v>0.11372566407432072</v>
      </c>
      <c r="P1466" s="34">
        <f t="shared" si="197"/>
        <v>0.78689200252680125</v>
      </c>
      <c r="Q1466" s="34">
        <f t="shared" si="198"/>
        <v>0.88627433592567928</v>
      </c>
      <c r="R1466" s="46">
        <f t="shared" si="199"/>
        <v>77.291829903217675</v>
      </c>
    </row>
    <row r="1467" spans="2:18" ht="12.75" customHeight="1" x14ac:dyDescent="0.25">
      <c r="B1467" s="17" t="s">
        <v>0</v>
      </c>
      <c r="C1467" s="44" t="s">
        <v>50</v>
      </c>
      <c r="D1467" s="22" t="s">
        <v>2</v>
      </c>
      <c r="E1467" s="20">
        <v>1</v>
      </c>
      <c r="F1467" s="17" t="s">
        <v>261</v>
      </c>
      <c r="G1467" s="17" t="s">
        <v>268</v>
      </c>
      <c r="H1467" s="17" t="s">
        <v>269</v>
      </c>
      <c r="I1467" s="17" t="s">
        <v>270</v>
      </c>
      <c r="J1467" s="27" t="s">
        <v>51</v>
      </c>
      <c r="K1467" s="29">
        <v>4761</v>
      </c>
      <c r="L1467" s="31">
        <v>6079758.8799972208</v>
      </c>
      <c r="M1467" s="31">
        <v>431470.73000043281</v>
      </c>
      <c r="N1467" s="31">
        <v>339196.09000000788</v>
      </c>
      <c r="O1467" s="34">
        <f t="shared" si="196"/>
        <v>7.0968395049349403E-2</v>
      </c>
      <c r="P1467" s="34">
        <f t="shared" si="197"/>
        <v>0.78613928226294194</v>
      </c>
      <c r="Q1467" s="34">
        <f t="shared" si="198"/>
        <v>0.92903160495065062</v>
      </c>
      <c r="R1467" s="46">
        <f t="shared" si="199"/>
        <v>71.244715395926875</v>
      </c>
    </row>
    <row r="1468" spans="2:18" ht="12.75" customHeight="1" x14ac:dyDescent="0.25">
      <c r="B1468" s="17" t="s">
        <v>0</v>
      </c>
      <c r="C1468" s="44" t="s">
        <v>26</v>
      </c>
      <c r="D1468" s="22" t="s">
        <v>2</v>
      </c>
      <c r="E1468" s="20">
        <v>1</v>
      </c>
      <c r="F1468" s="17" t="s">
        <v>261</v>
      </c>
      <c r="G1468" s="17" t="s">
        <v>268</v>
      </c>
      <c r="H1468" s="17" t="s">
        <v>269</v>
      </c>
      <c r="I1468" s="17" t="s">
        <v>270</v>
      </c>
      <c r="J1468" s="27" t="s">
        <v>27</v>
      </c>
      <c r="K1468" s="29">
        <v>3428</v>
      </c>
      <c r="L1468" s="31">
        <v>3613494.4399992195</v>
      </c>
      <c r="M1468" s="31">
        <v>373449.62000041088</v>
      </c>
      <c r="N1468" s="31">
        <v>292289.91000029212</v>
      </c>
      <c r="O1468" s="34">
        <f t="shared" si="196"/>
        <v>0.10334860789227934</v>
      </c>
      <c r="P1468" s="34">
        <f t="shared" si="197"/>
        <v>0.78267561230875138</v>
      </c>
      <c r="Q1468" s="34">
        <f t="shared" si="198"/>
        <v>0.8966513921077206</v>
      </c>
      <c r="R1468" s="46">
        <f t="shared" si="199"/>
        <v>85.265434655861185</v>
      </c>
    </row>
    <row r="1469" spans="2:18" ht="12.75" customHeight="1" x14ac:dyDescent="0.25">
      <c r="B1469" s="17" t="s">
        <v>0</v>
      </c>
      <c r="C1469" s="44" t="s">
        <v>176</v>
      </c>
      <c r="D1469" s="22" t="s">
        <v>2</v>
      </c>
      <c r="E1469" s="20">
        <v>1</v>
      </c>
      <c r="F1469" s="17" t="s">
        <v>261</v>
      </c>
      <c r="G1469" s="17" t="s">
        <v>268</v>
      </c>
      <c r="H1469" s="17" t="s">
        <v>269</v>
      </c>
      <c r="I1469" s="17" t="s">
        <v>270</v>
      </c>
      <c r="J1469" s="27" t="s">
        <v>177</v>
      </c>
      <c r="K1469" s="29">
        <v>347</v>
      </c>
      <c r="L1469" s="31">
        <v>1867170.40000878</v>
      </c>
      <c r="M1469" s="31">
        <v>288261.02000199893</v>
      </c>
      <c r="N1469" s="31">
        <v>229277.02000046303</v>
      </c>
      <c r="O1469" s="34">
        <f t="shared" si="196"/>
        <v>0.15438388483485141</v>
      </c>
      <c r="P1469" s="34">
        <f t="shared" si="197"/>
        <v>0.79537989561985567</v>
      </c>
      <c r="Q1469" s="34">
        <f t="shared" si="198"/>
        <v>0.84561611516514856</v>
      </c>
      <c r="R1469" s="46">
        <f t="shared" si="199"/>
        <v>660.74069164398566</v>
      </c>
    </row>
    <row r="1470" spans="2:18" ht="12.75" customHeight="1" x14ac:dyDescent="0.25">
      <c r="B1470" s="17" t="s">
        <v>0</v>
      </c>
      <c r="C1470" s="44" t="s">
        <v>42</v>
      </c>
      <c r="D1470" s="22" t="s">
        <v>2</v>
      </c>
      <c r="E1470" s="20">
        <v>1</v>
      </c>
      <c r="F1470" s="17" t="s">
        <v>261</v>
      </c>
      <c r="G1470" s="17" t="s">
        <v>268</v>
      </c>
      <c r="H1470" s="17" t="s">
        <v>269</v>
      </c>
      <c r="I1470" s="17" t="s">
        <v>270</v>
      </c>
      <c r="J1470" s="27" t="s">
        <v>43</v>
      </c>
      <c r="K1470" s="29">
        <v>290</v>
      </c>
      <c r="L1470" s="31">
        <v>848371.35999985994</v>
      </c>
      <c r="M1470" s="31">
        <v>195040.96000093501</v>
      </c>
      <c r="N1470" s="31">
        <v>154957.33999897202</v>
      </c>
      <c r="O1470" s="34">
        <f t="shared" si="196"/>
        <v>0.22990045302916309</v>
      </c>
      <c r="P1470" s="34">
        <f t="shared" si="197"/>
        <v>0.79448614279907748</v>
      </c>
      <c r="Q1470" s="34">
        <f t="shared" si="198"/>
        <v>0.77009954697083693</v>
      </c>
      <c r="R1470" s="46">
        <f t="shared" si="199"/>
        <v>534.33565516886904</v>
      </c>
    </row>
    <row r="1471" spans="2:18" ht="12.75" customHeight="1" x14ac:dyDescent="0.25">
      <c r="B1471" s="17" t="s">
        <v>0</v>
      </c>
      <c r="C1471" s="44" t="s">
        <v>30</v>
      </c>
      <c r="D1471" s="22" t="s">
        <v>9</v>
      </c>
      <c r="E1471" s="20">
        <v>2</v>
      </c>
      <c r="F1471" s="17" t="s">
        <v>261</v>
      </c>
      <c r="G1471" s="17" t="s">
        <v>268</v>
      </c>
      <c r="H1471" s="17" t="s">
        <v>269</v>
      </c>
      <c r="I1471" s="17" t="s">
        <v>270</v>
      </c>
      <c r="J1471" s="27" t="s">
        <v>31</v>
      </c>
      <c r="K1471" s="29">
        <v>768</v>
      </c>
      <c r="L1471" s="31">
        <v>741585.3000037201</v>
      </c>
      <c r="M1471" s="31">
        <v>189466.02000016795</v>
      </c>
      <c r="N1471" s="31">
        <v>152858.91999941057</v>
      </c>
      <c r="O1471" s="34">
        <f t="shared" si="196"/>
        <v>0.2554878312706812</v>
      </c>
      <c r="P1471" s="34">
        <f t="shared" si="197"/>
        <v>0.80678804568373297</v>
      </c>
      <c r="Q1471" s="34">
        <f t="shared" si="198"/>
        <v>0.7445121687293188</v>
      </c>
      <c r="R1471" s="46">
        <f t="shared" si="199"/>
        <v>199.03505208256584</v>
      </c>
    </row>
    <row r="1472" spans="2:18" ht="12.75" customHeight="1" x14ac:dyDescent="0.25">
      <c r="B1472" s="17" t="s">
        <v>0</v>
      </c>
      <c r="C1472" s="44" t="s">
        <v>46</v>
      </c>
      <c r="D1472" s="22" t="s">
        <v>2</v>
      </c>
      <c r="E1472" s="20">
        <v>1</v>
      </c>
      <c r="F1472" s="17" t="s">
        <v>261</v>
      </c>
      <c r="G1472" s="17" t="s">
        <v>268</v>
      </c>
      <c r="H1472" s="17" t="s">
        <v>269</v>
      </c>
      <c r="I1472" s="17" t="s">
        <v>270</v>
      </c>
      <c r="J1472" s="27" t="s">
        <v>47</v>
      </c>
      <c r="K1472" s="29">
        <v>1982</v>
      </c>
      <c r="L1472" s="31">
        <v>1457446.5100012901</v>
      </c>
      <c r="M1472" s="31">
        <v>165906.66999977099</v>
      </c>
      <c r="N1472" s="31">
        <v>129271.13000007402</v>
      </c>
      <c r="O1472" s="34">
        <f t="shared" si="196"/>
        <v>0.11383379689154022</v>
      </c>
      <c r="P1472" s="34">
        <f t="shared" si="197"/>
        <v>0.77917982441726097</v>
      </c>
      <c r="Q1472" s="34">
        <f t="shared" si="198"/>
        <v>0.88616620310845984</v>
      </c>
      <c r="R1472" s="46">
        <f t="shared" si="199"/>
        <v>65.222568113054493</v>
      </c>
    </row>
    <row r="1473" spans="2:18" ht="12.75" customHeight="1" x14ac:dyDescent="0.25">
      <c r="B1473" s="17" t="s">
        <v>0</v>
      </c>
      <c r="C1473" s="44" t="s">
        <v>62</v>
      </c>
      <c r="D1473" s="22" t="s">
        <v>2</v>
      </c>
      <c r="E1473" s="20">
        <v>1</v>
      </c>
      <c r="F1473" s="17" t="s">
        <v>261</v>
      </c>
      <c r="G1473" s="17" t="s">
        <v>268</v>
      </c>
      <c r="H1473" s="17" t="s">
        <v>269</v>
      </c>
      <c r="I1473" s="17" t="s">
        <v>270</v>
      </c>
      <c r="J1473" s="27" t="s">
        <v>63</v>
      </c>
      <c r="K1473" s="29">
        <v>1075</v>
      </c>
      <c r="L1473" s="31">
        <v>920717.14000313007</v>
      </c>
      <c r="M1473" s="31">
        <v>138970.99999942241</v>
      </c>
      <c r="N1473" s="31">
        <v>111961.54999994299</v>
      </c>
      <c r="O1473" s="34">
        <f t="shared" si="196"/>
        <v>0.15093777878290607</v>
      </c>
      <c r="P1473" s="34">
        <f t="shared" si="197"/>
        <v>0.80564686157837484</v>
      </c>
      <c r="Q1473" s="34">
        <f t="shared" si="198"/>
        <v>0.84906222121709396</v>
      </c>
      <c r="R1473" s="46">
        <f t="shared" si="199"/>
        <v>104.15027906971441</v>
      </c>
    </row>
    <row r="1474" spans="2:18" ht="12.75" customHeight="1" x14ac:dyDescent="0.25">
      <c r="B1474" s="17" t="s">
        <v>0</v>
      </c>
      <c r="C1474" s="44" t="s">
        <v>18</v>
      </c>
      <c r="D1474" s="22" t="s">
        <v>9</v>
      </c>
      <c r="E1474" s="20">
        <v>2</v>
      </c>
      <c r="F1474" s="17" t="s">
        <v>261</v>
      </c>
      <c r="G1474" s="17" t="s">
        <v>268</v>
      </c>
      <c r="H1474" s="17" t="s">
        <v>269</v>
      </c>
      <c r="I1474" s="17" t="s">
        <v>270</v>
      </c>
      <c r="J1474" s="27" t="s">
        <v>19</v>
      </c>
      <c r="K1474" s="29">
        <v>510</v>
      </c>
      <c r="L1474" s="31">
        <v>709183.49999827996</v>
      </c>
      <c r="M1474" s="31">
        <v>138577.14999925799</v>
      </c>
      <c r="N1474" s="31">
        <v>109481.10999987199</v>
      </c>
      <c r="O1474" s="34">
        <f t="shared" si="196"/>
        <v>0.195403798875177</v>
      </c>
      <c r="P1474" s="34">
        <f t="shared" si="197"/>
        <v>0.79003724640359685</v>
      </c>
      <c r="Q1474" s="34">
        <f t="shared" si="198"/>
        <v>0.804596201124823</v>
      </c>
      <c r="R1474" s="46">
        <f t="shared" si="199"/>
        <v>214.6688431370039</v>
      </c>
    </row>
    <row r="1475" spans="2:18" ht="12.75" customHeight="1" x14ac:dyDescent="0.25">
      <c r="B1475" s="17" t="s">
        <v>0</v>
      </c>
      <c r="C1475" s="44" t="s">
        <v>36</v>
      </c>
      <c r="D1475" s="22" t="s">
        <v>9</v>
      </c>
      <c r="E1475" s="20">
        <v>2</v>
      </c>
      <c r="F1475" s="17" t="s">
        <v>261</v>
      </c>
      <c r="G1475" s="17" t="s">
        <v>268</v>
      </c>
      <c r="H1475" s="17" t="s">
        <v>269</v>
      </c>
      <c r="I1475" s="17" t="s">
        <v>270</v>
      </c>
      <c r="J1475" s="27" t="s">
        <v>37</v>
      </c>
      <c r="K1475" s="29">
        <v>728</v>
      </c>
      <c r="L1475" s="31">
        <v>362446.99999947997</v>
      </c>
      <c r="M1475" s="31">
        <v>121838.52999919001</v>
      </c>
      <c r="N1475" s="31">
        <v>92280.739999747981</v>
      </c>
      <c r="O1475" s="34">
        <f t="shared" si="196"/>
        <v>0.33615543789675406</v>
      </c>
      <c r="P1475" s="34">
        <f t="shared" si="197"/>
        <v>0.75740194830290108</v>
      </c>
      <c r="Q1475" s="34">
        <f t="shared" si="198"/>
        <v>0.66384456210324594</v>
      </c>
      <c r="R1475" s="46">
        <f t="shared" si="199"/>
        <v>126.75925824141206</v>
      </c>
    </row>
    <row r="1476" spans="2:18" ht="12.75" customHeight="1" x14ac:dyDescent="0.25">
      <c r="B1476" s="17" t="s">
        <v>0</v>
      </c>
      <c r="C1476" s="44" t="s">
        <v>50</v>
      </c>
      <c r="D1476" s="22" t="s">
        <v>9</v>
      </c>
      <c r="E1476" s="20">
        <v>2</v>
      </c>
      <c r="F1476" s="17" t="s">
        <v>261</v>
      </c>
      <c r="G1476" s="17" t="s">
        <v>268</v>
      </c>
      <c r="H1476" s="17" t="s">
        <v>269</v>
      </c>
      <c r="I1476" s="17" t="s">
        <v>270</v>
      </c>
      <c r="J1476" s="27" t="s">
        <v>51</v>
      </c>
      <c r="K1476" s="29">
        <v>626</v>
      </c>
      <c r="L1476" s="31">
        <v>364688.86999987997</v>
      </c>
      <c r="M1476" s="31">
        <v>109625.770000497</v>
      </c>
      <c r="N1476" s="31">
        <v>82674.570000228996</v>
      </c>
      <c r="O1476" s="34">
        <f t="shared" si="196"/>
        <v>0.30060081076928141</v>
      </c>
      <c r="P1476" s="34">
        <f t="shared" si="197"/>
        <v>0.7541526960299042</v>
      </c>
      <c r="Q1476" s="34">
        <f t="shared" si="198"/>
        <v>0.69939918923071853</v>
      </c>
      <c r="R1476" s="46">
        <f t="shared" si="199"/>
        <v>132.06800319525399</v>
      </c>
    </row>
    <row r="1477" spans="2:18" ht="12.75" customHeight="1" x14ac:dyDescent="0.25">
      <c r="B1477" s="17" t="s">
        <v>0</v>
      </c>
      <c r="C1477" s="44" t="s">
        <v>46</v>
      </c>
      <c r="D1477" s="22" t="s">
        <v>9</v>
      </c>
      <c r="E1477" s="20">
        <v>2</v>
      </c>
      <c r="F1477" s="17" t="s">
        <v>261</v>
      </c>
      <c r="G1477" s="17" t="s">
        <v>268</v>
      </c>
      <c r="H1477" s="17" t="s">
        <v>269</v>
      </c>
      <c r="I1477" s="17" t="s">
        <v>270</v>
      </c>
      <c r="J1477" s="27" t="s">
        <v>47</v>
      </c>
      <c r="K1477" s="29">
        <v>599</v>
      </c>
      <c r="L1477" s="31">
        <v>396239.43000002997</v>
      </c>
      <c r="M1477" s="31">
        <v>105963.930000437</v>
      </c>
      <c r="N1477" s="31">
        <v>79459.040000122986</v>
      </c>
      <c r="O1477" s="34">
        <f t="shared" si="196"/>
        <v>0.26742399160131286</v>
      </c>
      <c r="P1477" s="34">
        <f t="shared" si="197"/>
        <v>0.7498687525065868</v>
      </c>
      <c r="Q1477" s="34">
        <f t="shared" si="198"/>
        <v>0.7325760083986872</v>
      </c>
      <c r="R1477" s="46">
        <f t="shared" si="199"/>
        <v>132.65282136915357</v>
      </c>
    </row>
    <row r="1478" spans="2:18" ht="12.75" customHeight="1" x14ac:dyDescent="0.25">
      <c r="B1478" s="17" t="s">
        <v>0</v>
      </c>
      <c r="C1478" s="44" t="s">
        <v>110</v>
      </c>
      <c r="D1478" s="22" t="s">
        <v>2</v>
      </c>
      <c r="E1478" s="20">
        <v>1</v>
      </c>
      <c r="F1478" s="17" t="s">
        <v>261</v>
      </c>
      <c r="G1478" s="17" t="s">
        <v>268</v>
      </c>
      <c r="H1478" s="17" t="s">
        <v>269</v>
      </c>
      <c r="I1478" s="17" t="s">
        <v>270</v>
      </c>
      <c r="J1478" s="27" t="s">
        <v>111</v>
      </c>
      <c r="K1478" s="29">
        <v>155</v>
      </c>
      <c r="L1478" s="31">
        <v>330800.36000019999</v>
      </c>
      <c r="M1478" s="31">
        <v>72366.680000160006</v>
      </c>
      <c r="N1478" s="31">
        <v>57736.869999850001</v>
      </c>
      <c r="O1478" s="34">
        <f t="shared" si="196"/>
        <v>0.21876239796146613</v>
      </c>
      <c r="P1478" s="34">
        <f t="shared" si="197"/>
        <v>0.79783776179482524</v>
      </c>
      <c r="Q1478" s="34">
        <f t="shared" si="198"/>
        <v>0.78123760203853387</v>
      </c>
      <c r="R1478" s="46">
        <f t="shared" si="199"/>
        <v>372.49593548290323</v>
      </c>
    </row>
    <row r="1479" spans="2:18" ht="12.75" customHeight="1" x14ac:dyDescent="0.25">
      <c r="B1479" s="17" t="s">
        <v>0</v>
      </c>
      <c r="C1479" s="44" t="s">
        <v>38</v>
      </c>
      <c r="D1479" s="22" t="s">
        <v>2</v>
      </c>
      <c r="E1479" s="20">
        <v>1</v>
      </c>
      <c r="F1479" s="17" t="s">
        <v>261</v>
      </c>
      <c r="G1479" s="17" t="s">
        <v>268</v>
      </c>
      <c r="H1479" s="17" t="s">
        <v>269</v>
      </c>
      <c r="I1479" s="17" t="s">
        <v>270</v>
      </c>
      <c r="J1479" s="27" t="s">
        <v>39</v>
      </c>
      <c r="K1479" s="29">
        <v>28</v>
      </c>
      <c r="L1479" s="31">
        <v>627933.6</v>
      </c>
      <c r="M1479" s="31">
        <v>71910.720000000001</v>
      </c>
      <c r="N1479" s="31">
        <v>57294.640000220003</v>
      </c>
      <c r="O1479" s="34">
        <f t="shared" si="196"/>
        <v>0.1145196243679268</v>
      </c>
      <c r="P1479" s="34">
        <f t="shared" si="197"/>
        <v>0.79674685499213471</v>
      </c>
      <c r="Q1479" s="34">
        <f t="shared" si="198"/>
        <v>0.88548037563207316</v>
      </c>
      <c r="R1479" s="46">
        <f t="shared" si="199"/>
        <v>2046.2371428650001</v>
      </c>
    </row>
    <row r="1480" spans="2:18" ht="12.75" customHeight="1" x14ac:dyDescent="0.25">
      <c r="B1480" s="17" t="s">
        <v>0</v>
      </c>
      <c r="C1480" s="44" t="s">
        <v>170</v>
      </c>
      <c r="D1480" s="22" t="s">
        <v>2</v>
      </c>
      <c r="E1480" s="20">
        <v>1</v>
      </c>
      <c r="F1480" s="17" t="s">
        <v>261</v>
      </c>
      <c r="G1480" s="17" t="s">
        <v>268</v>
      </c>
      <c r="H1480" s="17" t="s">
        <v>269</v>
      </c>
      <c r="I1480" s="17" t="s">
        <v>270</v>
      </c>
      <c r="J1480" s="27" t="s">
        <v>171</v>
      </c>
      <c r="K1480" s="29">
        <v>523</v>
      </c>
      <c r="L1480" s="31">
        <v>400245.53000004997</v>
      </c>
      <c r="M1480" s="31">
        <v>44842.279999988001</v>
      </c>
      <c r="N1480" s="31">
        <v>35242.170000136</v>
      </c>
      <c r="O1480" s="34">
        <f t="shared" si="196"/>
        <v>0.11203692893205429</v>
      </c>
      <c r="P1480" s="34">
        <f t="shared" si="197"/>
        <v>0.78591387414166791</v>
      </c>
      <c r="Q1480" s="34">
        <f t="shared" si="198"/>
        <v>0.8879630710679457</v>
      </c>
      <c r="R1480" s="46">
        <f t="shared" si="199"/>
        <v>67.384646271770549</v>
      </c>
    </row>
    <row r="1481" spans="2:18" ht="12.75" customHeight="1" x14ac:dyDescent="0.25">
      <c r="B1481" s="17" t="s">
        <v>0</v>
      </c>
      <c r="C1481" s="44" t="s">
        <v>22</v>
      </c>
      <c r="D1481" s="22" t="s">
        <v>2</v>
      </c>
      <c r="E1481" s="20">
        <v>1</v>
      </c>
      <c r="F1481" s="17" t="s">
        <v>261</v>
      </c>
      <c r="G1481" s="17" t="s">
        <v>268</v>
      </c>
      <c r="H1481" s="17" t="s">
        <v>269</v>
      </c>
      <c r="I1481" s="17" t="s">
        <v>270</v>
      </c>
      <c r="J1481" s="27" t="s">
        <v>23</v>
      </c>
      <c r="K1481" s="29">
        <v>73</v>
      </c>
      <c r="L1481" s="31">
        <v>96061.500000300002</v>
      </c>
      <c r="M1481" s="31">
        <v>30050.299999940205</v>
      </c>
      <c r="N1481" s="31">
        <v>23504.3599999691</v>
      </c>
      <c r="O1481" s="34">
        <f t="shared" si="196"/>
        <v>0.31282355574133608</v>
      </c>
      <c r="P1481" s="34">
        <f t="shared" si="197"/>
        <v>0.78216723293996626</v>
      </c>
      <c r="Q1481" s="34">
        <f t="shared" si="198"/>
        <v>0.68717644425866387</v>
      </c>
      <c r="R1481" s="46">
        <f t="shared" si="199"/>
        <v>321.97753424615206</v>
      </c>
    </row>
    <row r="1482" spans="2:18" ht="12.75" customHeight="1" x14ac:dyDescent="0.25">
      <c r="B1482" s="17" t="s">
        <v>0</v>
      </c>
      <c r="C1482" s="44" t="s">
        <v>74</v>
      </c>
      <c r="D1482" s="22" t="s">
        <v>2</v>
      </c>
      <c r="E1482" s="20">
        <v>1</v>
      </c>
      <c r="F1482" s="17" t="s">
        <v>261</v>
      </c>
      <c r="G1482" s="17" t="s">
        <v>268</v>
      </c>
      <c r="H1482" s="17" t="s">
        <v>269</v>
      </c>
      <c r="I1482" s="17" t="s">
        <v>270</v>
      </c>
      <c r="J1482" s="27" t="s">
        <v>75</v>
      </c>
      <c r="K1482" s="29">
        <v>254</v>
      </c>
      <c r="L1482" s="31">
        <v>80254.000000500004</v>
      </c>
      <c r="M1482" s="31">
        <v>23398.589999576001</v>
      </c>
      <c r="N1482" s="31">
        <v>18400.610000039997</v>
      </c>
      <c r="O1482" s="34">
        <f t="shared" si="196"/>
        <v>0.29155668252585815</v>
      </c>
      <c r="P1482" s="34">
        <f t="shared" si="197"/>
        <v>0.78639824025180272</v>
      </c>
      <c r="Q1482" s="34">
        <f t="shared" si="198"/>
        <v>0.7084433174741418</v>
      </c>
      <c r="R1482" s="46">
        <f t="shared" si="199"/>
        <v>72.443346456850378</v>
      </c>
    </row>
    <row r="1483" spans="2:18" ht="12.75" customHeight="1" x14ac:dyDescent="0.25">
      <c r="B1483" s="17" t="s">
        <v>0</v>
      </c>
      <c r="C1483" s="44" t="s">
        <v>54</v>
      </c>
      <c r="D1483" s="22" t="s">
        <v>2</v>
      </c>
      <c r="E1483" s="20">
        <v>1</v>
      </c>
      <c r="F1483" s="17" t="s">
        <v>261</v>
      </c>
      <c r="G1483" s="17" t="s">
        <v>268</v>
      </c>
      <c r="H1483" s="17" t="s">
        <v>269</v>
      </c>
      <c r="I1483" s="17" t="s">
        <v>270</v>
      </c>
      <c r="J1483" s="27" t="s">
        <v>55</v>
      </c>
      <c r="K1483" s="29">
        <v>147</v>
      </c>
      <c r="L1483" s="31">
        <v>160182.00000053999</v>
      </c>
      <c r="M1483" s="31">
        <v>21057.349999897997</v>
      </c>
      <c r="N1483" s="31">
        <v>16905.540000085002</v>
      </c>
      <c r="O1483" s="34">
        <f t="shared" si="196"/>
        <v>0.13145890299676</v>
      </c>
      <c r="P1483" s="34">
        <f t="shared" si="197"/>
        <v>0.80283321501361249</v>
      </c>
      <c r="Q1483" s="34">
        <f t="shared" si="198"/>
        <v>0.86854109700324</v>
      </c>
      <c r="R1483" s="46">
        <f t="shared" si="199"/>
        <v>115.003673469966</v>
      </c>
    </row>
    <row r="1484" spans="2:18" ht="12.75" customHeight="1" x14ac:dyDescent="0.25">
      <c r="B1484" s="17" t="s">
        <v>0</v>
      </c>
      <c r="C1484" s="44" t="s">
        <v>170</v>
      </c>
      <c r="D1484" s="22" t="s">
        <v>9</v>
      </c>
      <c r="E1484" s="20">
        <v>2</v>
      </c>
      <c r="F1484" s="17" t="s">
        <v>261</v>
      </c>
      <c r="G1484" s="17" t="s">
        <v>268</v>
      </c>
      <c r="H1484" s="17" t="s">
        <v>269</v>
      </c>
      <c r="I1484" s="17" t="s">
        <v>270</v>
      </c>
      <c r="J1484" s="27" t="s">
        <v>171</v>
      </c>
      <c r="K1484" s="29">
        <v>37</v>
      </c>
      <c r="L1484" s="31">
        <v>175098</v>
      </c>
      <c r="M1484" s="31">
        <v>21808.800000109997</v>
      </c>
      <c r="N1484" s="31">
        <v>16758.47999996</v>
      </c>
      <c r="O1484" s="34">
        <f t="shared" si="196"/>
        <v>0.12455196518583878</v>
      </c>
      <c r="P1484" s="34">
        <f t="shared" si="197"/>
        <v>0.76842742378652085</v>
      </c>
      <c r="Q1484" s="34">
        <f t="shared" si="198"/>
        <v>0.87544803481416122</v>
      </c>
      <c r="R1484" s="46">
        <f t="shared" si="199"/>
        <v>452.93189189081079</v>
      </c>
    </row>
    <row r="1485" spans="2:18" ht="12.75" customHeight="1" x14ac:dyDescent="0.25">
      <c r="B1485" s="17" t="s">
        <v>0</v>
      </c>
      <c r="C1485" s="44" t="s">
        <v>26</v>
      </c>
      <c r="D1485" s="22" t="s">
        <v>9</v>
      </c>
      <c r="E1485" s="20">
        <v>2</v>
      </c>
      <c r="F1485" s="17" t="s">
        <v>261</v>
      </c>
      <c r="G1485" s="17" t="s">
        <v>268</v>
      </c>
      <c r="H1485" s="17" t="s">
        <v>269</v>
      </c>
      <c r="I1485" s="17" t="s">
        <v>270</v>
      </c>
      <c r="J1485" s="27" t="s">
        <v>27</v>
      </c>
      <c r="K1485" s="29">
        <v>251</v>
      </c>
      <c r="L1485" s="31">
        <v>275136.00000029994</v>
      </c>
      <c r="M1485" s="31">
        <v>21185.270000172</v>
      </c>
      <c r="N1485" s="31">
        <v>16449.399999983001</v>
      </c>
      <c r="O1485" s="34">
        <f t="shared" si="196"/>
        <v>7.6999265818173207E-2</v>
      </c>
      <c r="P1485" s="34">
        <f t="shared" si="197"/>
        <v>0.77645458376737475</v>
      </c>
      <c r="Q1485" s="34">
        <f t="shared" si="198"/>
        <v>0.92300073418182682</v>
      </c>
      <c r="R1485" s="46">
        <f t="shared" si="199"/>
        <v>65.535458167262959</v>
      </c>
    </row>
    <row r="1486" spans="2:18" ht="12.75" customHeight="1" x14ac:dyDescent="0.25">
      <c r="B1486" s="17" t="s">
        <v>0</v>
      </c>
      <c r="C1486" s="44" t="s">
        <v>24</v>
      </c>
      <c r="D1486" s="22" t="s">
        <v>9</v>
      </c>
      <c r="E1486" s="20">
        <v>2</v>
      </c>
      <c r="F1486" s="17" t="s">
        <v>261</v>
      </c>
      <c r="G1486" s="17" t="s">
        <v>268</v>
      </c>
      <c r="H1486" s="17" t="s">
        <v>269</v>
      </c>
      <c r="I1486" s="17" t="s">
        <v>270</v>
      </c>
      <c r="J1486" s="27" t="s">
        <v>25</v>
      </c>
      <c r="K1486" s="29">
        <v>47</v>
      </c>
      <c r="L1486" s="31">
        <v>61871</v>
      </c>
      <c r="M1486" s="31">
        <v>19409.26999995</v>
      </c>
      <c r="N1486" s="31">
        <v>15081.579999990001</v>
      </c>
      <c r="O1486" s="34">
        <f t="shared" si="196"/>
        <v>0.31370545166475411</v>
      </c>
      <c r="P1486" s="34">
        <f t="shared" si="197"/>
        <v>0.77702973888398963</v>
      </c>
      <c r="Q1486" s="34">
        <f t="shared" si="198"/>
        <v>0.68629454833524584</v>
      </c>
      <c r="R1486" s="46">
        <f t="shared" si="199"/>
        <v>320.88468085085111</v>
      </c>
    </row>
    <row r="1487" spans="2:18" ht="12.75" customHeight="1" x14ac:dyDescent="0.25">
      <c r="B1487" s="17" t="s">
        <v>0</v>
      </c>
      <c r="C1487" s="44" t="s">
        <v>62</v>
      </c>
      <c r="D1487" s="22" t="s">
        <v>9</v>
      </c>
      <c r="E1487" s="20">
        <v>2</v>
      </c>
      <c r="F1487" s="17" t="s">
        <v>261</v>
      </c>
      <c r="G1487" s="17" t="s">
        <v>268</v>
      </c>
      <c r="H1487" s="17" t="s">
        <v>269</v>
      </c>
      <c r="I1487" s="17" t="s">
        <v>270</v>
      </c>
      <c r="J1487" s="27" t="s">
        <v>63</v>
      </c>
      <c r="K1487" s="29">
        <v>61</v>
      </c>
      <c r="L1487" s="31">
        <v>37068.1799999</v>
      </c>
      <c r="M1487" s="31">
        <v>13583.620000103998</v>
      </c>
      <c r="N1487" s="31">
        <v>10212.97000012</v>
      </c>
      <c r="O1487" s="34">
        <f t="shared" si="196"/>
        <v>0.36644960718709801</v>
      </c>
      <c r="P1487" s="34">
        <f t="shared" si="197"/>
        <v>0.75185922456913612</v>
      </c>
      <c r="Q1487" s="34">
        <f t="shared" si="198"/>
        <v>0.63355039281290204</v>
      </c>
      <c r="R1487" s="46">
        <f t="shared" si="199"/>
        <v>167.42573770688526</v>
      </c>
    </row>
    <row r="1488" spans="2:18" ht="12.75" customHeight="1" x14ac:dyDescent="0.25">
      <c r="B1488" s="17" t="s">
        <v>0</v>
      </c>
      <c r="C1488" s="44" t="s">
        <v>28</v>
      </c>
      <c r="D1488" s="22" t="s">
        <v>2</v>
      </c>
      <c r="E1488" s="20">
        <v>1</v>
      </c>
      <c r="F1488" s="17" t="s">
        <v>261</v>
      </c>
      <c r="G1488" s="17" t="s">
        <v>268</v>
      </c>
      <c r="H1488" s="17" t="s">
        <v>269</v>
      </c>
      <c r="I1488" s="17" t="s">
        <v>270</v>
      </c>
      <c r="J1488" s="27" t="s">
        <v>29</v>
      </c>
      <c r="K1488" s="29">
        <v>99</v>
      </c>
      <c r="L1488" s="31">
        <v>43335.999999899999</v>
      </c>
      <c r="M1488" s="31">
        <v>9113.3700000599983</v>
      </c>
      <c r="N1488" s="31">
        <v>7729.7900001030002</v>
      </c>
      <c r="O1488" s="34">
        <f t="shared" si="196"/>
        <v>0.21029559719588858</v>
      </c>
      <c r="P1488" s="34">
        <f t="shared" si="197"/>
        <v>0.8481812984715984</v>
      </c>
      <c r="Q1488" s="34">
        <f t="shared" si="198"/>
        <v>0.78970440280411136</v>
      </c>
      <c r="R1488" s="46">
        <f t="shared" si="199"/>
        <v>78.078686869727278</v>
      </c>
    </row>
    <row r="1489" spans="2:18" ht="12.75" customHeight="1" x14ac:dyDescent="0.25">
      <c r="B1489" s="17" t="s">
        <v>0</v>
      </c>
      <c r="C1489" s="44" t="s">
        <v>54</v>
      </c>
      <c r="D1489" s="22" t="s">
        <v>9</v>
      </c>
      <c r="E1489" s="20">
        <v>2</v>
      </c>
      <c r="F1489" s="17" t="s">
        <v>261</v>
      </c>
      <c r="G1489" s="17" t="s">
        <v>268</v>
      </c>
      <c r="H1489" s="17" t="s">
        <v>269</v>
      </c>
      <c r="I1489" s="17" t="s">
        <v>270</v>
      </c>
      <c r="J1489" s="27" t="s">
        <v>55</v>
      </c>
      <c r="K1489" s="29">
        <v>47</v>
      </c>
      <c r="L1489" s="31">
        <v>28707.599999999999</v>
      </c>
      <c r="M1489" s="31">
        <v>9694.0399998699995</v>
      </c>
      <c r="N1489" s="31">
        <v>7728.4499998600004</v>
      </c>
      <c r="O1489" s="34">
        <f t="shared" si="196"/>
        <v>0.33768200754747874</v>
      </c>
      <c r="P1489" s="34">
        <f t="shared" si="197"/>
        <v>0.7972372715569197</v>
      </c>
      <c r="Q1489" s="34">
        <f t="shared" si="198"/>
        <v>0.66231799245252132</v>
      </c>
      <c r="R1489" s="46">
        <f t="shared" si="199"/>
        <v>164.43510638000001</v>
      </c>
    </row>
    <row r="1490" spans="2:18" ht="12.75" customHeight="1" x14ac:dyDescent="0.25">
      <c r="B1490" s="17" t="s">
        <v>0</v>
      </c>
      <c r="C1490" s="44" t="s">
        <v>176</v>
      </c>
      <c r="D1490" s="22" t="s">
        <v>9</v>
      </c>
      <c r="E1490" s="20">
        <v>2</v>
      </c>
      <c r="F1490" s="17" t="s">
        <v>261</v>
      </c>
      <c r="G1490" s="17" t="s">
        <v>268</v>
      </c>
      <c r="H1490" s="17" t="s">
        <v>269</v>
      </c>
      <c r="I1490" s="17" t="s">
        <v>270</v>
      </c>
      <c r="J1490" s="27" t="s">
        <v>177</v>
      </c>
      <c r="K1490" s="29">
        <v>122</v>
      </c>
      <c r="L1490" s="31">
        <v>116615</v>
      </c>
      <c r="M1490" s="31">
        <v>7992.9800000320001</v>
      </c>
      <c r="N1490" s="31">
        <v>5959.8899999499999</v>
      </c>
      <c r="O1490" s="34">
        <f t="shared" si="196"/>
        <v>6.8541611285272044E-2</v>
      </c>
      <c r="P1490" s="34">
        <f t="shared" si="197"/>
        <v>0.74564054957301773</v>
      </c>
      <c r="Q1490" s="34">
        <f t="shared" si="198"/>
        <v>0.93145838871472797</v>
      </c>
      <c r="R1490" s="46">
        <f t="shared" si="199"/>
        <v>48.851557376639342</v>
      </c>
    </row>
    <row r="1491" spans="2:18" ht="12.75" customHeight="1" x14ac:dyDescent="0.25">
      <c r="B1491" s="17" t="s">
        <v>0</v>
      </c>
      <c r="C1491" s="44" t="s">
        <v>24</v>
      </c>
      <c r="D1491" s="22" t="s">
        <v>2</v>
      </c>
      <c r="E1491" s="20">
        <v>1</v>
      </c>
      <c r="F1491" s="17" t="s">
        <v>261</v>
      </c>
      <c r="G1491" s="17" t="s">
        <v>268</v>
      </c>
      <c r="H1491" s="17" t="s">
        <v>269</v>
      </c>
      <c r="I1491" s="17" t="s">
        <v>270</v>
      </c>
      <c r="J1491" s="27" t="s">
        <v>25</v>
      </c>
      <c r="K1491" s="29">
        <v>36</v>
      </c>
      <c r="L1491" s="31">
        <v>16920</v>
      </c>
      <c r="M1491" s="31">
        <v>6086.2499998800004</v>
      </c>
      <c r="N1491" s="31">
        <v>4789.7200000800003</v>
      </c>
      <c r="O1491" s="34">
        <f t="shared" si="196"/>
        <v>0.35970744680141847</v>
      </c>
      <c r="P1491" s="34">
        <f t="shared" si="197"/>
        <v>0.7869739166439822</v>
      </c>
      <c r="Q1491" s="34">
        <f t="shared" si="198"/>
        <v>0.64029255319858147</v>
      </c>
      <c r="R1491" s="46">
        <f t="shared" si="199"/>
        <v>133.04777778000002</v>
      </c>
    </row>
    <row r="1492" spans="2:18" ht="12.75" customHeight="1" x14ac:dyDescent="0.25">
      <c r="B1492" s="17" t="s">
        <v>0</v>
      </c>
      <c r="C1492" s="44" t="s">
        <v>38</v>
      </c>
      <c r="D1492" s="22" t="s">
        <v>9</v>
      </c>
      <c r="E1492" s="20">
        <v>2</v>
      </c>
      <c r="F1492" s="17" t="s">
        <v>261</v>
      </c>
      <c r="G1492" s="17" t="s">
        <v>268</v>
      </c>
      <c r="H1492" s="17" t="s">
        <v>269</v>
      </c>
      <c r="I1492" s="17" t="s">
        <v>270</v>
      </c>
      <c r="J1492" s="27" t="s">
        <v>39</v>
      </c>
      <c r="K1492" s="29">
        <v>29</v>
      </c>
      <c r="L1492" s="31">
        <v>8739.019999959999</v>
      </c>
      <c r="M1492" s="31">
        <v>4152.8799999800003</v>
      </c>
      <c r="N1492" s="31">
        <v>3319.92</v>
      </c>
      <c r="O1492" s="34">
        <f t="shared" si="196"/>
        <v>0.47521117928543583</v>
      </c>
      <c r="P1492" s="34">
        <f t="shared" si="197"/>
        <v>0.79942594055594873</v>
      </c>
      <c r="Q1492" s="34">
        <f t="shared" si="198"/>
        <v>0.52478882071456412</v>
      </c>
      <c r="R1492" s="46">
        <f t="shared" si="199"/>
        <v>114.48</v>
      </c>
    </row>
    <row r="1493" spans="2:18" ht="12.75" customHeight="1" x14ac:dyDescent="0.25">
      <c r="B1493" s="17" t="s">
        <v>0</v>
      </c>
      <c r="C1493" s="44" t="s">
        <v>44</v>
      </c>
      <c r="D1493" s="22" t="s">
        <v>2</v>
      </c>
      <c r="E1493" s="20">
        <v>1</v>
      </c>
      <c r="F1493" s="17" t="s">
        <v>261</v>
      </c>
      <c r="G1493" s="17" t="s">
        <v>268</v>
      </c>
      <c r="H1493" s="17" t="s">
        <v>269</v>
      </c>
      <c r="I1493" s="17" t="s">
        <v>270</v>
      </c>
      <c r="J1493" s="27" t="s">
        <v>45</v>
      </c>
      <c r="K1493" s="29">
        <v>36</v>
      </c>
      <c r="L1493" s="31">
        <v>81738</v>
      </c>
      <c r="M1493" s="31">
        <v>1767.9499999530001</v>
      </c>
      <c r="N1493" s="31">
        <v>1397.599999994</v>
      </c>
      <c r="O1493" s="34">
        <f t="shared" si="196"/>
        <v>2.1629474662372458E-2</v>
      </c>
      <c r="P1493" s="34">
        <f t="shared" si="197"/>
        <v>0.79052009391167988</v>
      </c>
      <c r="Q1493" s="34">
        <f t="shared" si="198"/>
        <v>0.97837052533762758</v>
      </c>
      <c r="R1493" s="46">
        <f t="shared" si="199"/>
        <v>38.822222222055558</v>
      </c>
    </row>
    <row r="1494" spans="2:18" ht="12.75" customHeight="1" x14ac:dyDescent="0.25">
      <c r="B1494" s="17" t="s">
        <v>0</v>
      </c>
      <c r="C1494" s="44" t="s">
        <v>12</v>
      </c>
      <c r="D1494" s="22" t="s">
        <v>2</v>
      </c>
      <c r="E1494" s="20">
        <v>1</v>
      </c>
      <c r="F1494" s="17" t="s">
        <v>261</v>
      </c>
      <c r="G1494" s="17" t="s">
        <v>268</v>
      </c>
      <c r="H1494" s="17" t="s">
        <v>269</v>
      </c>
      <c r="I1494" s="17" t="s">
        <v>270</v>
      </c>
      <c r="J1494" s="27" t="s">
        <v>13</v>
      </c>
      <c r="K1494" s="29">
        <v>12</v>
      </c>
      <c r="L1494" s="31">
        <v>14640</v>
      </c>
      <c r="M1494" s="31">
        <v>1261.07000004</v>
      </c>
      <c r="N1494" s="31">
        <v>963.33999999600007</v>
      </c>
      <c r="O1494" s="34">
        <f t="shared" si="196"/>
        <v>8.6138661204918032E-2</v>
      </c>
      <c r="P1494" s="34">
        <f t="shared" si="197"/>
        <v>0.76390684098856032</v>
      </c>
      <c r="Q1494" s="34">
        <f t="shared" si="198"/>
        <v>0.91386133879508202</v>
      </c>
      <c r="R1494" s="46">
        <f t="shared" si="199"/>
        <v>80.278333333000006</v>
      </c>
    </row>
    <row r="1495" spans="2:18" ht="12.75" customHeight="1" thickBot="1" x14ac:dyDescent="0.3">
      <c r="B1495" s="15" t="s">
        <v>0</v>
      </c>
      <c r="C1495" s="50" t="s">
        <v>64</v>
      </c>
      <c r="D1495" s="19" t="s">
        <v>2</v>
      </c>
      <c r="E1495" s="16">
        <v>1</v>
      </c>
      <c r="F1495" s="15" t="s">
        <v>261</v>
      </c>
      <c r="G1495" s="15" t="s">
        <v>268</v>
      </c>
      <c r="H1495" s="15" t="s">
        <v>269</v>
      </c>
      <c r="I1495" s="15" t="s">
        <v>270</v>
      </c>
      <c r="J1495" s="24" t="s">
        <v>65</v>
      </c>
      <c r="K1495" s="26">
        <v>23</v>
      </c>
      <c r="L1495" s="28">
        <v>2599</v>
      </c>
      <c r="M1495" s="28">
        <v>887.75000000099999</v>
      </c>
      <c r="N1495" s="28">
        <v>710.78000000300005</v>
      </c>
      <c r="O1495" s="32">
        <f t="shared" si="196"/>
        <v>0.34157368218584072</v>
      </c>
      <c r="P1495" s="32">
        <f t="shared" si="197"/>
        <v>0.8006533370906217</v>
      </c>
      <c r="Q1495" s="32">
        <f t="shared" si="198"/>
        <v>0.65842631781415928</v>
      </c>
      <c r="R1495" s="49">
        <f t="shared" si="199"/>
        <v>30.903478261000004</v>
      </c>
    </row>
    <row r="1496" spans="2:18" ht="17.25" customHeight="1" x14ac:dyDescent="0.25">
      <c r="B1496" s="48"/>
      <c r="C1496" s="58"/>
      <c r="D1496" s="51" t="s">
        <v>366</v>
      </c>
      <c r="E1496" s="52"/>
      <c r="F1496" s="52"/>
      <c r="G1496" s="53"/>
      <c r="H1496" s="53"/>
      <c r="I1496" s="53"/>
      <c r="J1496" s="54"/>
      <c r="K1496" s="55">
        <f>SUM(K1459:K1495)</f>
        <v>492846</v>
      </c>
      <c r="L1496" s="56">
        <f>SUM(L1459:L1495)</f>
        <v>1045164699.3596591</v>
      </c>
      <c r="M1496" s="56">
        <f>SUM(M1459:M1495)</f>
        <v>125029990.05001409</v>
      </c>
      <c r="N1496" s="56">
        <f>SUM(N1459:N1495)</f>
        <v>103526715.13995597</v>
      </c>
      <c r="O1496" s="57">
        <f>IFERROR(M1496/L1496,0)</f>
        <v>0.11962706942419334</v>
      </c>
      <c r="P1496" s="57">
        <f>IFERROR(N1496/M1496,0)</f>
        <v>0.82801506341433395</v>
      </c>
      <c r="Q1496" s="57">
        <f>IFERROR(1-(M1496/L1496),0)</f>
        <v>0.88037293057580668</v>
      </c>
      <c r="R1496" s="59">
        <f>IFERROR(N1496/K1496,0)</f>
        <v>210.05895379075</v>
      </c>
    </row>
    <row r="1497" spans="2:18" ht="15.75" thickBot="1" x14ac:dyDescent="0.3">
      <c r="B1497" s="60"/>
      <c r="C1497" s="64"/>
      <c r="D1497" s="62" t="s">
        <v>270</v>
      </c>
      <c r="E1497" s="61"/>
      <c r="F1497" s="61"/>
      <c r="G1497" s="61"/>
      <c r="H1497" s="61"/>
      <c r="I1497" s="61"/>
      <c r="J1497" s="61"/>
      <c r="K1497" s="63"/>
      <c r="L1497" s="63"/>
      <c r="M1497" s="63"/>
      <c r="N1497" s="63"/>
      <c r="O1497" s="63"/>
      <c r="P1497" s="63"/>
      <c r="Q1497" s="63"/>
      <c r="R1497" s="65"/>
    </row>
    <row r="1498" spans="2:18" ht="15.75" thickBot="1" x14ac:dyDescent="0.3"/>
    <row r="1499" spans="2:18" ht="15.75" x14ac:dyDescent="0.25">
      <c r="B1499" s="1"/>
      <c r="C1499" s="7" t="s">
        <v>348</v>
      </c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9"/>
    </row>
    <row r="1500" spans="2:18" ht="18" x14ac:dyDescent="0.25">
      <c r="B1500" s="2"/>
      <c r="C1500" s="8" t="s">
        <v>273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10"/>
    </row>
    <row r="1501" spans="2:18" ht="15.75" thickBot="1" x14ac:dyDescent="0.3">
      <c r="B1501" s="3"/>
      <c r="C1501" s="11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12"/>
    </row>
    <row r="1502" spans="2:18" ht="17.25" customHeight="1" thickBot="1" x14ac:dyDescent="0.3">
      <c r="B1502" s="14" t="s">
        <v>349</v>
      </c>
      <c r="C1502" s="18" t="s">
        <v>350</v>
      </c>
      <c r="D1502" s="21" t="s">
        <v>351</v>
      </c>
      <c r="E1502" s="23" t="s">
        <v>352</v>
      </c>
      <c r="F1502" s="21" t="s">
        <v>353</v>
      </c>
      <c r="G1502" s="23" t="s">
        <v>354</v>
      </c>
      <c r="H1502" s="23" t="s">
        <v>355</v>
      </c>
      <c r="I1502" s="23" t="s">
        <v>356</v>
      </c>
      <c r="J1502" s="25" t="s">
        <v>357</v>
      </c>
      <c r="K1502" s="25" t="s">
        <v>358</v>
      </c>
      <c r="L1502" s="30" t="s">
        <v>359</v>
      </c>
      <c r="M1502" s="30" t="s">
        <v>360</v>
      </c>
      <c r="N1502" s="30" t="s">
        <v>361</v>
      </c>
      <c r="O1502" s="33" t="s">
        <v>362</v>
      </c>
      <c r="P1502" s="33" t="s">
        <v>363</v>
      </c>
      <c r="Q1502" s="33" t="s">
        <v>364</v>
      </c>
      <c r="R1502" s="35" t="s">
        <v>365</v>
      </c>
    </row>
    <row r="1503" spans="2:18" ht="12.75" customHeight="1" x14ac:dyDescent="0.25">
      <c r="B1503" s="17" t="s">
        <v>0</v>
      </c>
      <c r="C1503" s="43" t="s">
        <v>98</v>
      </c>
      <c r="D1503" s="37" t="s">
        <v>2</v>
      </c>
      <c r="E1503" s="36">
        <v>1</v>
      </c>
      <c r="F1503" s="38" t="s">
        <v>261</v>
      </c>
      <c r="G1503" s="38" t="s">
        <v>271</v>
      </c>
      <c r="H1503" s="38" t="s">
        <v>272</v>
      </c>
      <c r="I1503" s="38" t="s">
        <v>273</v>
      </c>
      <c r="J1503" s="39" t="s">
        <v>102</v>
      </c>
      <c r="K1503" s="40">
        <v>127840</v>
      </c>
      <c r="L1503" s="41">
        <v>861984369.73245192</v>
      </c>
      <c r="M1503" s="41">
        <v>134247450.3797383</v>
      </c>
      <c r="N1503" s="41">
        <v>106426569.73992895</v>
      </c>
      <c r="O1503" s="42">
        <f t="shared" ref="O1503:O1511" si="200">IFERROR(M1503/L1503,0)</f>
        <v>0.15574232560783771</v>
      </c>
      <c r="P1503" s="42">
        <f t="shared" ref="P1503:P1511" si="201">IFERROR(N1503/M1503,0)</f>
        <v>0.79276417867815008</v>
      </c>
      <c r="Q1503" s="42">
        <f t="shared" ref="Q1503:Q1511" si="202">IFERROR(1-(M1503/L1503),0)</f>
        <v>0.84425767439216226</v>
      </c>
      <c r="R1503" s="45">
        <f t="shared" ref="R1503:R1511" si="203">IFERROR(N1503/K1503,0)</f>
        <v>832.49819884174713</v>
      </c>
    </row>
    <row r="1504" spans="2:18" ht="12.75" customHeight="1" x14ac:dyDescent="0.25">
      <c r="B1504" s="17" t="s">
        <v>0</v>
      </c>
      <c r="C1504" s="44" t="s">
        <v>34</v>
      </c>
      <c r="D1504" s="22" t="s">
        <v>2</v>
      </c>
      <c r="E1504" s="20">
        <v>1</v>
      </c>
      <c r="F1504" s="17" t="s">
        <v>261</v>
      </c>
      <c r="G1504" s="17" t="s">
        <v>271</v>
      </c>
      <c r="H1504" s="17" t="s">
        <v>272</v>
      </c>
      <c r="I1504" s="17" t="s">
        <v>273</v>
      </c>
      <c r="J1504" s="27" t="s">
        <v>35</v>
      </c>
      <c r="K1504" s="29">
        <v>144633</v>
      </c>
      <c r="L1504" s="31">
        <v>288559138.36998093</v>
      </c>
      <c r="M1504" s="31">
        <v>68486591.859973103</v>
      </c>
      <c r="N1504" s="31">
        <v>54071857.610011108</v>
      </c>
      <c r="O1504" s="34">
        <f t="shared" si="200"/>
        <v>0.23733988203195239</v>
      </c>
      <c r="P1504" s="34">
        <f t="shared" si="201"/>
        <v>0.78952472508145544</v>
      </c>
      <c r="Q1504" s="34">
        <f t="shared" si="202"/>
        <v>0.76266011796804767</v>
      </c>
      <c r="R1504" s="46">
        <f t="shared" si="203"/>
        <v>373.85560425360126</v>
      </c>
    </row>
    <row r="1505" spans="2:18" ht="12.75" customHeight="1" x14ac:dyDescent="0.25">
      <c r="B1505" s="17" t="s">
        <v>0</v>
      </c>
      <c r="C1505" s="44" t="s">
        <v>34</v>
      </c>
      <c r="D1505" s="22" t="s">
        <v>9</v>
      </c>
      <c r="E1505" s="20">
        <v>2</v>
      </c>
      <c r="F1505" s="17" t="s">
        <v>261</v>
      </c>
      <c r="G1505" s="17" t="s">
        <v>271</v>
      </c>
      <c r="H1505" s="17" t="s">
        <v>272</v>
      </c>
      <c r="I1505" s="17" t="s">
        <v>273</v>
      </c>
      <c r="J1505" s="27" t="s">
        <v>35</v>
      </c>
      <c r="K1505" s="29">
        <v>303946</v>
      </c>
      <c r="L1505" s="31">
        <v>211312540.09005982</v>
      </c>
      <c r="M1505" s="31">
        <v>49529157.049982145</v>
      </c>
      <c r="N1505" s="31">
        <v>37993225.890015803</v>
      </c>
      <c r="O1505" s="34">
        <f t="shared" si="200"/>
        <v>0.23438815807558411</v>
      </c>
      <c r="P1505" s="34">
        <f t="shared" si="201"/>
        <v>0.76708807807237855</v>
      </c>
      <c r="Q1505" s="34">
        <f t="shared" si="202"/>
        <v>0.76561184192441589</v>
      </c>
      <c r="R1505" s="46">
        <f t="shared" si="203"/>
        <v>124.99992067675115</v>
      </c>
    </row>
    <row r="1506" spans="2:18" ht="12.75" customHeight="1" x14ac:dyDescent="0.25">
      <c r="B1506" s="17" t="s">
        <v>0</v>
      </c>
      <c r="C1506" s="44" t="s">
        <v>166</v>
      </c>
      <c r="D1506" s="22" t="s">
        <v>9</v>
      </c>
      <c r="E1506" s="20">
        <v>2</v>
      </c>
      <c r="F1506" s="17" t="s">
        <v>261</v>
      </c>
      <c r="G1506" s="17" t="s">
        <v>271</v>
      </c>
      <c r="H1506" s="17" t="s">
        <v>272</v>
      </c>
      <c r="I1506" s="17" t="s">
        <v>273</v>
      </c>
      <c r="J1506" s="27" t="s">
        <v>167</v>
      </c>
      <c r="K1506" s="29">
        <v>23398</v>
      </c>
      <c r="L1506" s="31">
        <v>16632184.430000579</v>
      </c>
      <c r="M1506" s="31">
        <v>7262112.8200335624</v>
      </c>
      <c r="N1506" s="31">
        <v>5679008.930010966</v>
      </c>
      <c r="O1506" s="34">
        <f t="shared" si="200"/>
        <v>0.43663012820699643</v>
      </c>
      <c r="P1506" s="34">
        <f t="shared" si="201"/>
        <v>0.78200505427905487</v>
      </c>
      <c r="Q1506" s="34">
        <f t="shared" si="202"/>
        <v>0.56336987179300357</v>
      </c>
      <c r="R1506" s="46">
        <f t="shared" si="203"/>
        <v>242.71343405466135</v>
      </c>
    </row>
    <row r="1507" spans="2:18" ht="12.75" customHeight="1" x14ac:dyDescent="0.25">
      <c r="B1507" s="17" t="s">
        <v>0</v>
      </c>
      <c r="C1507" s="44" t="s">
        <v>74</v>
      </c>
      <c r="D1507" s="22" t="s">
        <v>2</v>
      </c>
      <c r="E1507" s="20">
        <v>1</v>
      </c>
      <c r="F1507" s="17" t="s">
        <v>261</v>
      </c>
      <c r="G1507" s="17" t="s">
        <v>271</v>
      </c>
      <c r="H1507" s="17" t="s">
        <v>272</v>
      </c>
      <c r="I1507" s="17" t="s">
        <v>273</v>
      </c>
      <c r="J1507" s="27" t="s">
        <v>75</v>
      </c>
      <c r="K1507" s="29">
        <v>82</v>
      </c>
      <c r="L1507" s="31">
        <v>246146.0000003</v>
      </c>
      <c r="M1507" s="31">
        <v>46525.329999870002</v>
      </c>
      <c r="N1507" s="31">
        <v>36953.230000169999</v>
      </c>
      <c r="O1507" s="34">
        <f t="shared" si="200"/>
        <v>0.18901517798303974</v>
      </c>
      <c r="P1507" s="34">
        <f t="shared" si="201"/>
        <v>0.7942604598457067</v>
      </c>
      <c r="Q1507" s="34">
        <f t="shared" si="202"/>
        <v>0.81098482201696021</v>
      </c>
      <c r="R1507" s="46">
        <f t="shared" si="203"/>
        <v>450.64914634353659</v>
      </c>
    </row>
    <row r="1508" spans="2:18" ht="12.75" customHeight="1" x14ac:dyDescent="0.25">
      <c r="B1508" s="17" t="s">
        <v>0</v>
      </c>
      <c r="C1508" s="44" t="s">
        <v>50</v>
      </c>
      <c r="D1508" s="22" t="s">
        <v>9</v>
      </c>
      <c r="E1508" s="20">
        <v>2</v>
      </c>
      <c r="F1508" s="17" t="s">
        <v>261</v>
      </c>
      <c r="G1508" s="17" t="s">
        <v>271</v>
      </c>
      <c r="H1508" s="17" t="s">
        <v>272</v>
      </c>
      <c r="I1508" s="17" t="s">
        <v>273</v>
      </c>
      <c r="J1508" s="27" t="s">
        <v>51</v>
      </c>
      <c r="K1508" s="29">
        <v>365</v>
      </c>
      <c r="L1508" s="31">
        <v>168713.85000031002</v>
      </c>
      <c r="M1508" s="31">
        <v>39918.799999954004</v>
      </c>
      <c r="N1508" s="31">
        <v>30543.929999968001</v>
      </c>
      <c r="O1508" s="34">
        <f t="shared" si="200"/>
        <v>0.23660653822955643</v>
      </c>
      <c r="P1508" s="34">
        <f t="shared" si="201"/>
        <v>0.76515150756042749</v>
      </c>
      <c r="Q1508" s="34">
        <f t="shared" si="202"/>
        <v>0.76339346177044354</v>
      </c>
      <c r="R1508" s="46">
        <f t="shared" si="203"/>
        <v>83.681999999912335</v>
      </c>
    </row>
    <row r="1509" spans="2:18" ht="12.75" customHeight="1" x14ac:dyDescent="0.25">
      <c r="B1509" s="17" t="s">
        <v>0</v>
      </c>
      <c r="C1509" s="44" t="s">
        <v>1</v>
      </c>
      <c r="D1509" s="22" t="s">
        <v>2</v>
      </c>
      <c r="E1509" s="20">
        <v>1</v>
      </c>
      <c r="F1509" s="17" t="s">
        <v>261</v>
      </c>
      <c r="G1509" s="17" t="s">
        <v>271</v>
      </c>
      <c r="H1509" s="17" t="s">
        <v>272</v>
      </c>
      <c r="I1509" s="17" t="s">
        <v>273</v>
      </c>
      <c r="J1509" s="27" t="s">
        <v>6</v>
      </c>
      <c r="K1509" s="29">
        <v>578</v>
      </c>
      <c r="L1509" s="31">
        <v>93080.000000350003</v>
      </c>
      <c r="M1509" s="31">
        <v>33974.450000097</v>
      </c>
      <c r="N1509" s="31">
        <v>26735.000000093001</v>
      </c>
      <c r="O1509" s="34">
        <f t="shared" si="200"/>
        <v>0.36500268586129403</v>
      </c>
      <c r="P1509" s="34">
        <f t="shared" si="201"/>
        <v>0.78691487279460504</v>
      </c>
      <c r="Q1509" s="34">
        <f t="shared" si="202"/>
        <v>0.63499731413870597</v>
      </c>
      <c r="R1509" s="46">
        <f t="shared" si="203"/>
        <v>46.25432525967647</v>
      </c>
    </row>
    <row r="1510" spans="2:18" ht="12.75" customHeight="1" x14ac:dyDescent="0.25">
      <c r="B1510" s="17" t="s">
        <v>0</v>
      </c>
      <c r="C1510" s="44" t="s">
        <v>82</v>
      </c>
      <c r="D1510" s="22" t="s">
        <v>9</v>
      </c>
      <c r="E1510" s="20">
        <v>2</v>
      </c>
      <c r="F1510" s="17" t="s">
        <v>261</v>
      </c>
      <c r="G1510" s="17" t="s">
        <v>271</v>
      </c>
      <c r="H1510" s="17" t="s">
        <v>272</v>
      </c>
      <c r="I1510" s="17" t="s">
        <v>273</v>
      </c>
      <c r="J1510" s="27" t="s">
        <v>83</v>
      </c>
      <c r="K1510" s="29">
        <v>135</v>
      </c>
      <c r="L1510" s="31">
        <v>34946.300000069998</v>
      </c>
      <c r="M1510" s="31">
        <v>27301.349999879996</v>
      </c>
      <c r="N1510" s="31">
        <v>20902.430000310003</v>
      </c>
      <c r="O1510" s="34">
        <f t="shared" si="200"/>
        <v>0.78123721251821543</v>
      </c>
      <c r="P1510" s="34">
        <f t="shared" si="201"/>
        <v>0.7656189162954169</v>
      </c>
      <c r="Q1510" s="34">
        <f t="shared" si="202"/>
        <v>0.21876278748178457</v>
      </c>
      <c r="R1510" s="46">
        <f t="shared" si="203"/>
        <v>154.83281481711114</v>
      </c>
    </row>
    <row r="1511" spans="2:18" ht="12.75" customHeight="1" thickBot="1" x14ac:dyDescent="0.3">
      <c r="B1511" s="15" t="s">
        <v>0</v>
      </c>
      <c r="C1511" s="50" t="s">
        <v>166</v>
      </c>
      <c r="D1511" s="19" t="s">
        <v>2</v>
      </c>
      <c r="E1511" s="16">
        <v>1</v>
      </c>
      <c r="F1511" s="15" t="s">
        <v>261</v>
      </c>
      <c r="G1511" s="15" t="s">
        <v>271</v>
      </c>
      <c r="H1511" s="15" t="s">
        <v>272</v>
      </c>
      <c r="I1511" s="15" t="s">
        <v>273</v>
      </c>
      <c r="J1511" s="24" t="s">
        <v>167</v>
      </c>
      <c r="K1511" s="26">
        <v>3576</v>
      </c>
      <c r="L1511" s="28">
        <v>38518.319999956002</v>
      </c>
      <c r="M1511" s="28">
        <v>5626.2099998399999</v>
      </c>
      <c r="N1511" s="28">
        <v>4498.2200000519997</v>
      </c>
      <c r="O1511" s="32">
        <f t="shared" si="200"/>
        <v>0.14606582010447045</v>
      </c>
      <c r="P1511" s="32">
        <f t="shared" si="201"/>
        <v>0.7995115717649931</v>
      </c>
      <c r="Q1511" s="32">
        <f t="shared" si="202"/>
        <v>0.85393417989552955</v>
      </c>
      <c r="R1511" s="49">
        <f t="shared" si="203"/>
        <v>1.2578914988959731</v>
      </c>
    </row>
    <row r="1512" spans="2:18" ht="17.25" customHeight="1" x14ac:dyDescent="0.25">
      <c r="B1512" s="48"/>
      <c r="C1512" s="58"/>
      <c r="D1512" s="51" t="s">
        <v>366</v>
      </c>
      <c r="E1512" s="52"/>
      <c r="F1512" s="52"/>
      <c r="G1512" s="53"/>
      <c r="H1512" s="53"/>
      <c r="I1512" s="53"/>
      <c r="J1512" s="54"/>
      <c r="K1512" s="55">
        <f>SUM(K1503:K1511)</f>
        <v>604553</v>
      </c>
      <c r="L1512" s="56">
        <f>SUM(L1503:L1511)</f>
        <v>1379069637.0924938</v>
      </c>
      <c r="M1512" s="56">
        <f>SUM(M1503:M1511)</f>
        <v>259678658.24972671</v>
      </c>
      <c r="N1512" s="56">
        <f>SUM(N1503:N1511)</f>
        <v>204290294.97996745</v>
      </c>
      <c r="O1512" s="57">
        <f>IFERROR(M1512/L1512,0)</f>
        <v>0.18829988802973707</v>
      </c>
      <c r="P1512" s="57">
        <f>IFERROR(N1512/M1512,0)</f>
        <v>0.78670421495903753</v>
      </c>
      <c r="Q1512" s="57">
        <f>IFERROR(1-(M1512/L1512),0)</f>
        <v>0.81170011197026293</v>
      </c>
      <c r="R1512" s="59">
        <f>IFERROR(N1512/K1512,0)</f>
        <v>337.91957856460465</v>
      </c>
    </row>
    <row r="1513" spans="2:18" ht="15.75" thickBot="1" x14ac:dyDescent="0.3">
      <c r="B1513" s="60"/>
      <c r="C1513" s="64"/>
      <c r="D1513" s="62" t="s">
        <v>273</v>
      </c>
      <c r="E1513" s="61"/>
      <c r="F1513" s="61"/>
      <c r="G1513" s="61"/>
      <c r="H1513" s="61"/>
      <c r="I1513" s="61"/>
      <c r="J1513" s="61"/>
      <c r="K1513" s="63"/>
      <c r="L1513" s="63"/>
      <c r="M1513" s="63"/>
      <c r="N1513" s="63"/>
      <c r="O1513" s="63"/>
      <c r="P1513" s="63"/>
      <c r="Q1513" s="63"/>
      <c r="R1513" s="65"/>
    </row>
    <row r="1514" spans="2:18" ht="15.75" thickBot="1" x14ac:dyDescent="0.3"/>
    <row r="1515" spans="2:18" ht="15.75" x14ac:dyDescent="0.25">
      <c r="B1515" s="1"/>
      <c r="C1515" s="7" t="s">
        <v>348</v>
      </c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9"/>
    </row>
    <row r="1516" spans="2:18" ht="18" x14ac:dyDescent="0.25">
      <c r="B1516" s="2"/>
      <c r="C1516" s="8" t="s">
        <v>275</v>
      </c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10"/>
    </row>
    <row r="1517" spans="2:18" ht="15.75" thickBot="1" x14ac:dyDescent="0.3">
      <c r="B1517" s="3"/>
      <c r="C1517" s="11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12"/>
    </row>
    <row r="1518" spans="2:18" ht="17.25" customHeight="1" thickBot="1" x14ac:dyDescent="0.3">
      <c r="B1518" s="14" t="s">
        <v>349</v>
      </c>
      <c r="C1518" s="18" t="s">
        <v>350</v>
      </c>
      <c r="D1518" s="21" t="s">
        <v>351</v>
      </c>
      <c r="E1518" s="23" t="s">
        <v>352</v>
      </c>
      <c r="F1518" s="21" t="s">
        <v>353</v>
      </c>
      <c r="G1518" s="23" t="s">
        <v>354</v>
      </c>
      <c r="H1518" s="23" t="s">
        <v>355</v>
      </c>
      <c r="I1518" s="23" t="s">
        <v>356</v>
      </c>
      <c r="J1518" s="25" t="s">
        <v>357</v>
      </c>
      <c r="K1518" s="25" t="s">
        <v>358</v>
      </c>
      <c r="L1518" s="30" t="s">
        <v>359</v>
      </c>
      <c r="M1518" s="30" t="s">
        <v>360</v>
      </c>
      <c r="N1518" s="30" t="s">
        <v>361</v>
      </c>
      <c r="O1518" s="33" t="s">
        <v>362</v>
      </c>
      <c r="P1518" s="33" t="s">
        <v>363</v>
      </c>
      <c r="Q1518" s="33" t="s">
        <v>364</v>
      </c>
      <c r="R1518" s="35" t="s">
        <v>365</v>
      </c>
    </row>
    <row r="1519" spans="2:18" ht="12.75" customHeight="1" x14ac:dyDescent="0.25">
      <c r="B1519" s="17" t="s">
        <v>0</v>
      </c>
      <c r="C1519" s="43" t="s">
        <v>180</v>
      </c>
      <c r="D1519" s="37" t="s">
        <v>2</v>
      </c>
      <c r="E1519" s="36">
        <v>1</v>
      </c>
      <c r="F1519" s="38" t="s">
        <v>261</v>
      </c>
      <c r="G1519" s="38" t="s">
        <v>159</v>
      </c>
      <c r="H1519" s="38" t="s">
        <v>274</v>
      </c>
      <c r="I1519" s="38" t="s">
        <v>275</v>
      </c>
      <c r="J1519" s="39" t="s">
        <v>181</v>
      </c>
      <c r="K1519" s="40">
        <v>976</v>
      </c>
      <c r="L1519" s="41">
        <v>314553.279998946</v>
      </c>
      <c r="M1519" s="41">
        <v>90225.100000140999</v>
      </c>
      <c r="N1519" s="41">
        <v>71334.610000223998</v>
      </c>
      <c r="O1519" s="42">
        <f t="shared" ref="O1519:O1522" si="204">IFERROR(M1519/L1519,0)</f>
        <v>0.28683566739613497</v>
      </c>
      <c r="P1519" s="42">
        <f t="shared" ref="P1519:P1522" si="205">IFERROR(N1519/M1519,0)</f>
        <v>0.79062932598703151</v>
      </c>
      <c r="Q1519" s="42">
        <f t="shared" ref="Q1519:Q1522" si="206">IFERROR(1-(M1519/L1519),0)</f>
        <v>0.71316433260386503</v>
      </c>
      <c r="R1519" s="45">
        <f t="shared" ref="R1519:R1522" si="207">IFERROR(N1519/K1519,0)</f>
        <v>73.088739754327861</v>
      </c>
    </row>
    <row r="1520" spans="2:18" ht="12.75" customHeight="1" x14ac:dyDescent="0.25">
      <c r="B1520" s="17" t="s">
        <v>0</v>
      </c>
      <c r="C1520" s="44" t="s">
        <v>50</v>
      </c>
      <c r="D1520" s="22" t="s">
        <v>2</v>
      </c>
      <c r="E1520" s="20">
        <v>1</v>
      </c>
      <c r="F1520" s="17" t="s">
        <v>261</v>
      </c>
      <c r="G1520" s="17" t="s">
        <v>159</v>
      </c>
      <c r="H1520" s="17" t="s">
        <v>274</v>
      </c>
      <c r="I1520" s="17" t="s">
        <v>275</v>
      </c>
      <c r="J1520" s="27" t="s">
        <v>51</v>
      </c>
      <c r="K1520" s="29">
        <v>283</v>
      </c>
      <c r="L1520" s="31">
        <v>136689</v>
      </c>
      <c r="M1520" s="31">
        <v>21301.900000075999</v>
      </c>
      <c r="N1520" s="31">
        <v>16223.180000075999</v>
      </c>
      <c r="O1520" s="34">
        <f t="shared" si="204"/>
        <v>0.15584209409737432</v>
      </c>
      <c r="P1520" s="34">
        <f t="shared" si="205"/>
        <v>0.76158370849633694</v>
      </c>
      <c r="Q1520" s="34">
        <f t="shared" si="206"/>
        <v>0.84415790590262563</v>
      </c>
      <c r="R1520" s="46">
        <f t="shared" si="207"/>
        <v>57.325724381893991</v>
      </c>
    </row>
    <row r="1521" spans="2:18" ht="12.75" customHeight="1" x14ac:dyDescent="0.25">
      <c r="B1521" s="17" t="s">
        <v>0</v>
      </c>
      <c r="C1521" s="44" t="s">
        <v>178</v>
      </c>
      <c r="D1521" s="22" t="s">
        <v>2</v>
      </c>
      <c r="E1521" s="20">
        <v>1</v>
      </c>
      <c r="F1521" s="17" t="s">
        <v>261</v>
      </c>
      <c r="G1521" s="17" t="s">
        <v>159</v>
      </c>
      <c r="H1521" s="17" t="s">
        <v>274</v>
      </c>
      <c r="I1521" s="17" t="s">
        <v>275</v>
      </c>
      <c r="J1521" s="27" t="s">
        <v>179</v>
      </c>
      <c r="K1521" s="29">
        <v>35</v>
      </c>
      <c r="L1521" s="31">
        <v>34279</v>
      </c>
      <c r="M1521" s="31">
        <v>3240.98</v>
      </c>
      <c r="N1521" s="31">
        <v>2581.34</v>
      </c>
      <c r="O1521" s="34">
        <f t="shared" si="204"/>
        <v>9.454709880684968E-2</v>
      </c>
      <c r="P1521" s="34">
        <f t="shared" si="205"/>
        <v>0.79646896926238364</v>
      </c>
      <c r="Q1521" s="34">
        <f t="shared" si="206"/>
        <v>0.90545290119315036</v>
      </c>
      <c r="R1521" s="46">
        <f t="shared" si="207"/>
        <v>73.752571428571429</v>
      </c>
    </row>
    <row r="1522" spans="2:18" ht="12.75" customHeight="1" thickBot="1" x14ac:dyDescent="0.3">
      <c r="B1522" s="15" t="s">
        <v>0</v>
      </c>
      <c r="C1522" s="50" t="s">
        <v>159</v>
      </c>
      <c r="D1522" s="19" t="s">
        <v>2</v>
      </c>
      <c r="E1522" s="16">
        <v>1</v>
      </c>
      <c r="F1522" s="15" t="s">
        <v>261</v>
      </c>
      <c r="G1522" s="15" t="s">
        <v>159</v>
      </c>
      <c r="H1522" s="15" t="s">
        <v>274</v>
      </c>
      <c r="I1522" s="15" t="s">
        <v>275</v>
      </c>
      <c r="J1522" s="24" t="s">
        <v>160</v>
      </c>
      <c r="K1522" s="26">
        <v>15</v>
      </c>
      <c r="L1522" s="28">
        <v>14695.00000005</v>
      </c>
      <c r="M1522" s="28">
        <v>1388.8799999999999</v>
      </c>
      <c r="N1522" s="28">
        <v>1106.6200000050001</v>
      </c>
      <c r="O1522" s="32">
        <f t="shared" si="204"/>
        <v>9.4513780197024444E-2</v>
      </c>
      <c r="P1522" s="32">
        <f t="shared" si="205"/>
        <v>0.79677149934119584</v>
      </c>
      <c r="Q1522" s="32">
        <f t="shared" si="206"/>
        <v>0.90548621980297561</v>
      </c>
      <c r="R1522" s="49">
        <f t="shared" si="207"/>
        <v>73.774666667000005</v>
      </c>
    </row>
    <row r="1523" spans="2:18" ht="17.25" customHeight="1" x14ac:dyDescent="0.25">
      <c r="B1523" s="48"/>
      <c r="C1523" s="58"/>
      <c r="D1523" s="51" t="s">
        <v>366</v>
      </c>
      <c r="E1523" s="52"/>
      <c r="F1523" s="52"/>
      <c r="G1523" s="53"/>
      <c r="H1523" s="53"/>
      <c r="I1523" s="53"/>
      <c r="J1523" s="54"/>
      <c r="K1523" s="55">
        <f>SUM(K1519:K1522)</f>
        <v>1309</v>
      </c>
      <c r="L1523" s="56">
        <f>SUM(L1519:L1522)</f>
        <v>500216.279998996</v>
      </c>
      <c r="M1523" s="56">
        <f>SUM(M1519:M1522)</f>
        <v>116156.860000217</v>
      </c>
      <c r="N1523" s="56">
        <f>SUM(N1519:N1522)</f>
        <v>91245.750000304994</v>
      </c>
      <c r="O1523" s="57">
        <f>IFERROR(M1523/L1523,0)</f>
        <v>0.23221327382717361</v>
      </c>
      <c r="P1523" s="57">
        <f>IFERROR(N1523/M1523,0)</f>
        <v>0.78553905468979213</v>
      </c>
      <c r="Q1523" s="57">
        <f>IFERROR(1-(M1523/L1523),0)</f>
        <v>0.76778672617282639</v>
      </c>
      <c r="R1523" s="59">
        <f>IFERROR(N1523/K1523,0)</f>
        <v>69.70645530962949</v>
      </c>
    </row>
    <row r="1524" spans="2:18" ht="15.75" thickBot="1" x14ac:dyDescent="0.3">
      <c r="B1524" s="60"/>
      <c r="C1524" s="64"/>
      <c r="D1524" s="62" t="s">
        <v>275</v>
      </c>
      <c r="E1524" s="61"/>
      <c r="F1524" s="61"/>
      <c r="G1524" s="61"/>
      <c r="H1524" s="61"/>
      <c r="I1524" s="61"/>
      <c r="J1524" s="61"/>
      <c r="K1524" s="63"/>
      <c r="L1524" s="63"/>
      <c r="M1524" s="63"/>
      <c r="N1524" s="63"/>
      <c r="O1524" s="63"/>
      <c r="P1524" s="63"/>
      <c r="Q1524" s="63"/>
      <c r="R1524" s="65"/>
    </row>
    <row r="1525" spans="2:18" ht="15.75" thickBot="1" x14ac:dyDescent="0.3"/>
    <row r="1526" spans="2:18" ht="15.75" x14ac:dyDescent="0.25">
      <c r="B1526" s="1"/>
      <c r="C1526" s="7" t="s">
        <v>348</v>
      </c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9"/>
    </row>
    <row r="1527" spans="2:18" ht="18" x14ac:dyDescent="0.25">
      <c r="B1527" s="2"/>
      <c r="C1527" s="8" t="s">
        <v>278</v>
      </c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10"/>
    </row>
    <row r="1528" spans="2:18" ht="15.75" thickBot="1" x14ac:dyDescent="0.3">
      <c r="B1528" s="3"/>
      <c r="C1528" s="11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12"/>
    </row>
    <row r="1529" spans="2:18" ht="17.25" customHeight="1" thickBot="1" x14ac:dyDescent="0.3">
      <c r="B1529" s="14" t="s">
        <v>349</v>
      </c>
      <c r="C1529" s="18" t="s">
        <v>350</v>
      </c>
      <c r="D1529" s="21" t="s">
        <v>351</v>
      </c>
      <c r="E1529" s="23" t="s">
        <v>352</v>
      </c>
      <c r="F1529" s="21" t="s">
        <v>353</v>
      </c>
      <c r="G1529" s="23" t="s">
        <v>354</v>
      </c>
      <c r="H1529" s="23" t="s">
        <v>355</v>
      </c>
      <c r="I1529" s="23" t="s">
        <v>356</v>
      </c>
      <c r="J1529" s="25" t="s">
        <v>357</v>
      </c>
      <c r="K1529" s="25" t="s">
        <v>358</v>
      </c>
      <c r="L1529" s="30" t="s">
        <v>359</v>
      </c>
      <c r="M1529" s="30" t="s">
        <v>360</v>
      </c>
      <c r="N1529" s="30" t="s">
        <v>361</v>
      </c>
      <c r="O1529" s="33" t="s">
        <v>362</v>
      </c>
      <c r="P1529" s="33" t="s">
        <v>363</v>
      </c>
      <c r="Q1529" s="33" t="s">
        <v>364</v>
      </c>
      <c r="R1529" s="35" t="s">
        <v>365</v>
      </c>
    </row>
    <row r="1530" spans="2:18" ht="12.75" customHeight="1" x14ac:dyDescent="0.25">
      <c r="B1530" s="17" t="s">
        <v>0</v>
      </c>
      <c r="C1530" s="43" t="s">
        <v>98</v>
      </c>
      <c r="D1530" s="37" t="s">
        <v>2</v>
      </c>
      <c r="E1530" s="36">
        <v>1</v>
      </c>
      <c r="F1530" s="38" t="s">
        <v>261</v>
      </c>
      <c r="G1530" s="38" t="s">
        <v>276</v>
      </c>
      <c r="H1530" s="38" t="s">
        <v>277</v>
      </c>
      <c r="I1530" s="38" t="s">
        <v>278</v>
      </c>
      <c r="J1530" s="39" t="s">
        <v>102</v>
      </c>
      <c r="K1530" s="40">
        <v>113578</v>
      </c>
      <c r="L1530" s="41">
        <v>999950009.46042252</v>
      </c>
      <c r="M1530" s="41">
        <v>184451038.33986658</v>
      </c>
      <c r="N1530" s="41">
        <v>146607217.65984458</v>
      </c>
      <c r="O1530" s="42">
        <f t="shared" ref="O1530:O1561" si="208">IFERROR(M1530/L1530,0)</f>
        <v>0.18446025960777498</v>
      </c>
      <c r="P1530" s="42">
        <f t="shared" ref="P1530:P1561" si="209">IFERROR(N1530/M1530,0)</f>
        <v>0.79482999379872521</v>
      </c>
      <c r="Q1530" s="42">
        <f t="shared" ref="Q1530:Q1561" si="210">IFERROR(1-(M1530/L1530),0)</f>
        <v>0.81553974039222499</v>
      </c>
      <c r="R1530" s="45">
        <f t="shared" ref="R1530:R1561" si="211">IFERROR(N1530/K1530,0)</f>
        <v>1290.8064736114791</v>
      </c>
    </row>
    <row r="1531" spans="2:18" ht="12.75" customHeight="1" x14ac:dyDescent="0.25">
      <c r="B1531" s="17" t="s">
        <v>0</v>
      </c>
      <c r="C1531" s="44" t="s">
        <v>90</v>
      </c>
      <c r="D1531" s="22" t="s">
        <v>2</v>
      </c>
      <c r="E1531" s="20">
        <v>1</v>
      </c>
      <c r="F1531" s="17" t="s">
        <v>261</v>
      </c>
      <c r="G1531" s="17" t="s">
        <v>276</v>
      </c>
      <c r="H1531" s="17" t="s">
        <v>277</v>
      </c>
      <c r="I1531" s="17" t="s">
        <v>278</v>
      </c>
      <c r="J1531" s="27" t="s">
        <v>91</v>
      </c>
      <c r="K1531" s="29">
        <v>109016</v>
      </c>
      <c r="L1531" s="31">
        <v>301985859.98001736</v>
      </c>
      <c r="M1531" s="31">
        <v>70895378.370036915</v>
      </c>
      <c r="N1531" s="31">
        <v>56272165.280037433</v>
      </c>
      <c r="O1531" s="34">
        <f t="shared" si="208"/>
        <v>0.23476390045125992</v>
      </c>
      <c r="P1531" s="34">
        <f t="shared" si="209"/>
        <v>0.7937353121430013</v>
      </c>
      <c r="Q1531" s="34">
        <f t="shared" si="210"/>
        <v>0.76523609954874006</v>
      </c>
      <c r="R1531" s="46">
        <f t="shared" si="211"/>
        <v>516.18262713764432</v>
      </c>
    </row>
    <row r="1532" spans="2:18" ht="12.75" customHeight="1" x14ac:dyDescent="0.25">
      <c r="B1532" s="17" t="s">
        <v>0</v>
      </c>
      <c r="C1532" s="44" t="s">
        <v>68</v>
      </c>
      <c r="D1532" s="22" t="s">
        <v>2</v>
      </c>
      <c r="E1532" s="20">
        <v>1</v>
      </c>
      <c r="F1532" s="17" t="s">
        <v>261</v>
      </c>
      <c r="G1532" s="17" t="s">
        <v>276</v>
      </c>
      <c r="H1532" s="17" t="s">
        <v>277</v>
      </c>
      <c r="I1532" s="17" t="s">
        <v>278</v>
      </c>
      <c r="J1532" s="27" t="s">
        <v>69</v>
      </c>
      <c r="K1532" s="29">
        <v>31840</v>
      </c>
      <c r="L1532" s="31">
        <v>84571249.320004001</v>
      </c>
      <c r="M1532" s="31">
        <v>16953681.869990006</v>
      </c>
      <c r="N1532" s="31">
        <v>13523811.939997612</v>
      </c>
      <c r="O1532" s="34">
        <f t="shared" si="208"/>
        <v>0.20046625781582109</v>
      </c>
      <c r="P1532" s="34">
        <f t="shared" si="209"/>
        <v>0.79769173703420349</v>
      </c>
      <c r="Q1532" s="34">
        <f t="shared" si="210"/>
        <v>0.79953374218417894</v>
      </c>
      <c r="R1532" s="46">
        <f t="shared" si="211"/>
        <v>424.74283731148279</v>
      </c>
    </row>
    <row r="1533" spans="2:18" ht="12.75" customHeight="1" x14ac:dyDescent="0.25">
      <c r="B1533" s="17" t="s">
        <v>0</v>
      </c>
      <c r="C1533" s="44" t="s">
        <v>90</v>
      </c>
      <c r="D1533" s="22" t="s">
        <v>9</v>
      </c>
      <c r="E1533" s="20">
        <v>2</v>
      </c>
      <c r="F1533" s="17" t="s">
        <v>261</v>
      </c>
      <c r="G1533" s="17" t="s">
        <v>276</v>
      </c>
      <c r="H1533" s="17" t="s">
        <v>277</v>
      </c>
      <c r="I1533" s="17" t="s">
        <v>278</v>
      </c>
      <c r="J1533" s="27" t="s">
        <v>91</v>
      </c>
      <c r="K1533" s="29">
        <v>185800</v>
      </c>
      <c r="L1533" s="31">
        <v>50795237.909980662</v>
      </c>
      <c r="M1533" s="31">
        <v>13752669.739992265</v>
      </c>
      <c r="N1533" s="31">
        <v>10142762.1500044</v>
      </c>
      <c r="O1533" s="34">
        <f t="shared" si="208"/>
        <v>0.27074722564278075</v>
      </c>
      <c r="P1533" s="34">
        <f t="shared" si="209"/>
        <v>0.73751223157127199</v>
      </c>
      <c r="Q1533" s="34">
        <f t="shared" si="210"/>
        <v>0.72925277435721925</v>
      </c>
      <c r="R1533" s="46">
        <f t="shared" si="211"/>
        <v>54.589677879463942</v>
      </c>
    </row>
    <row r="1534" spans="2:18" ht="12.75" customHeight="1" x14ac:dyDescent="0.25">
      <c r="B1534" s="17" t="s">
        <v>0</v>
      </c>
      <c r="C1534" s="44" t="s">
        <v>16</v>
      </c>
      <c r="D1534" s="22" t="s">
        <v>9</v>
      </c>
      <c r="E1534" s="20">
        <v>2</v>
      </c>
      <c r="F1534" s="17" t="s">
        <v>261</v>
      </c>
      <c r="G1534" s="17" t="s">
        <v>276</v>
      </c>
      <c r="H1534" s="17" t="s">
        <v>277</v>
      </c>
      <c r="I1534" s="17" t="s">
        <v>278</v>
      </c>
      <c r="J1534" s="27" t="s">
        <v>17</v>
      </c>
      <c r="K1534" s="29">
        <v>54840</v>
      </c>
      <c r="L1534" s="31">
        <v>59760740.139989369</v>
      </c>
      <c r="M1534" s="31">
        <v>11512427.519996958</v>
      </c>
      <c r="N1534" s="31">
        <v>8972813.8500134423</v>
      </c>
      <c r="O1534" s="34">
        <f t="shared" si="208"/>
        <v>0.19264198356695597</v>
      </c>
      <c r="P1534" s="34">
        <f t="shared" si="209"/>
        <v>0.77940241833685941</v>
      </c>
      <c r="Q1534" s="34">
        <f t="shared" si="210"/>
        <v>0.80735801643304406</v>
      </c>
      <c r="R1534" s="46">
        <f t="shared" si="211"/>
        <v>163.61804978142675</v>
      </c>
    </row>
    <row r="1535" spans="2:18" ht="12.75" customHeight="1" x14ac:dyDescent="0.25">
      <c r="B1535" s="17" t="s">
        <v>0</v>
      </c>
      <c r="C1535" s="44" t="s">
        <v>20</v>
      </c>
      <c r="D1535" s="22" t="s">
        <v>9</v>
      </c>
      <c r="E1535" s="20">
        <v>2</v>
      </c>
      <c r="F1535" s="17" t="s">
        <v>261</v>
      </c>
      <c r="G1535" s="17" t="s">
        <v>276</v>
      </c>
      <c r="H1535" s="17" t="s">
        <v>277</v>
      </c>
      <c r="I1535" s="17" t="s">
        <v>278</v>
      </c>
      <c r="J1535" s="27" t="s">
        <v>21</v>
      </c>
      <c r="K1535" s="29">
        <v>44967</v>
      </c>
      <c r="L1535" s="31">
        <v>62876270.220002107</v>
      </c>
      <c r="M1535" s="31">
        <v>10218460.370004624</v>
      </c>
      <c r="N1535" s="31">
        <v>8000233.1400061948</v>
      </c>
      <c r="O1535" s="34">
        <f t="shared" si="208"/>
        <v>0.16251696123594084</v>
      </c>
      <c r="P1535" s="34">
        <f t="shared" si="209"/>
        <v>0.78291962294928141</v>
      </c>
      <c r="Q1535" s="34">
        <f t="shared" si="210"/>
        <v>0.83748303876405916</v>
      </c>
      <c r="R1535" s="46">
        <f t="shared" si="211"/>
        <v>177.91342851438154</v>
      </c>
    </row>
    <row r="1536" spans="2:18" ht="12.75" customHeight="1" x14ac:dyDescent="0.25">
      <c r="B1536" s="17" t="s">
        <v>0</v>
      </c>
      <c r="C1536" s="44" t="s">
        <v>7</v>
      </c>
      <c r="D1536" s="22" t="s">
        <v>9</v>
      </c>
      <c r="E1536" s="20">
        <v>2</v>
      </c>
      <c r="F1536" s="17" t="s">
        <v>261</v>
      </c>
      <c r="G1536" s="17" t="s">
        <v>276</v>
      </c>
      <c r="H1536" s="17" t="s">
        <v>277</v>
      </c>
      <c r="I1536" s="17" t="s">
        <v>278</v>
      </c>
      <c r="J1536" s="27" t="s">
        <v>8</v>
      </c>
      <c r="K1536" s="29">
        <v>48568</v>
      </c>
      <c r="L1536" s="31">
        <v>56195603.240000814</v>
      </c>
      <c r="M1536" s="31">
        <v>9975642.2300047018</v>
      </c>
      <c r="N1536" s="31">
        <v>7785609.179998748</v>
      </c>
      <c r="O1536" s="34">
        <f t="shared" si="208"/>
        <v>0.1775164186315541</v>
      </c>
      <c r="P1536" s="34">
        <f t="shared" si="209"/>
        <v>0.78046194926490242</v>
      </c>
      <c r="Q1536" s="34">
        <f t="shared" si="210"/>
        <v>0.8224835813684459</v>
      </c>
      <c r="R1536" s="46">
        <f t="shared" si="211"/>
        <v>160.30326923074344</v>
      </c>
    </row>
    <row r="1537" spans="2:18" ht="12.75" customHeight="1" x14ac:dyDescent="0.25">
      <c r="B1537" s="17" t="s">
        <v>0</v>
      </c>
      <c r="C1537" s="44" t="s">
        <v>46</v>
      </c>
      <c r="D1537" s="22" t="s">
        <v>9</v>
      </c>
      <c r="E1537" s="20">
        <v>2</v>
      </c>
      <c r="F1537" s="17" t="s">
        <v>261</v>
      </c>
      <c r="G1537" s="17" t="s">
        <v>276</v>
      </c>
      <c r="H1537" s="17" t="s">
        <v>277</v>
      </c>
      <c r="I1537" s="17" t="s">
        <v>278</v>
      </c>
      <c r="J1537" s="27" t="s">
        <v>47</v>
      </c>
      <c r="K1537" s="29">
        <v>82890</v>
      </c>
      <c r="L1537" s="31">
        <v>20191467.570100646</v>
      </c>
      <c r="M1537" s="31">
        <v>7517961.0400107736</v>
      </c>
      <c r="N1537" s="31">
        <v>5875885.5800330071</v>
      </c>
      <c r="O1537" s="34">
        <f t="shared" si="208"/>
        <v>0.37233356188251054</v>
      </c>
      <c r="P1537" s="34">
        <f t="shared" si="209"/>
        <v>0.781579679485089</v>
      </c>
      <c r="Q1537" s="34">
        <f t="shared" si="210"/>
        <v>0.62766643811748946</v>
      </c>
      <c r="R1537" s="46">
        <f t="shared" si="211"/>
        <v>70.887749789275034</v>
      </c>
    </row>
    <row r="1538" spans="2:18" ht="12.75" customHeight="1" x14ac:dyDescent="0.25">
      <c r="B1538" s="17" t="s">
        <v>0</v>
      </c>
      <c r="C1538" s="44" t="s">
        <v>7</v>
      </c>
      <c r="D1538" s="22" t="s">
        <v>2</v>
      </c>
      <c r="E1538" s="20">
        <v>1</v>
      </c>
      <c r="F1538" s="17" t="s">
        <v>261</v>
      </c>
      <c r="G1538" s="17" t="s">
        <v>276</v>
      </c>
      <c r="H1538" s="17" t="s">
        <v>277</v>
      </c>
      <c r="I1538" s="17" t="s">
        <v>278</v>
      </c>
      <c r="J1538" s="27" t="s">
        <v>8</v>
      </c>
      <c r="K1538" s="29">
        <v>68635</v>
      </c>
      <c r="L1538" s="31">
        <v>98453455.740109816</v>
      </c>
      <c r="M1538" s="31">
        <v>6573456.3999965591</v>
      </c>
      <c r="N1538" s="31">
        <v>5132924.7199997725</v>
      </c>
      <c r="O1538" s="34">
        <f t="shared" si="208"/>
        <v>6.6767147486916922E-2</v>
      </c>
      <c r="P1538" s="34">
        <f t="shared" si="209"/>
        <v>0.78085628133206442</v>
      </c>
      <c r="Q1538" s="34">
        <f t="shared" si="210"/>
        <v>0.93323285251308308</v>
      </c>
      <c r="R1538" s="46">
        <f t="shared" si="211"/>
        <v>74.785819479853899</v>
      </c>
    </row>
    <row r="1539" spans="2:18" ht="12.75" customHeight="1" x14ac:dyDescent="0.25">
      <c r="B1539" s="17" t="s">
        <v>0</v>
      </c>
      <c r="C1539" s="44" t="s">
        <v>16</v>
      </c>
      <c r="D1539" s="22" t="s">
        <v>2</v>
      </c>
      <c r="E1539" s="20">
        <v>1</v>
      </c>
      <c r="F1539" s="17" t="s">
        <v>261</v>
      </c>
      <c r="G1539" s="17" t="s">
        <v>276</v>
      </c>
      <c r="H1539" s="17" t="s">
        <v>277</v>
      </c>
      <c r="I1539" s="17" t="s">
        <v>278</v>
      </c>
      <c r="J1539" s="27" t="s">
        <v>17</v>
      </c>
      <c r="K1539" s="29">
        <v>51254</v>
      </c>
      <c r="L1539" s="31">
        <v>63589596.629949272</v>
      </c>
      <c r="M1539" s="31">
        <v>6259503.5900088726</v>
      </c>
      <c r="N1539" s="31">
        <v>4894311.1300011482</v>
      </c>
      <c r="O1539" s="34">
        <f t="shared" si="208"/>
        <v>9.8435969431213327E-2</v>
      </c>
      <c r="P1539" s="34">
        <f t="shared" si="209"/>
        <v>0.78190084239478974</v>
      </c>
      <c r="Q1539" s="34">
        <f t="shared" si="210"/>
        <v>0.90156403056878665</v>
      </c>
      <c r="R1539" s="46">
        <f t="shared" si="211"/>
        <v>95.491300776547163</v>
      </c>
    </row>
    <row r="1540" spans="2:18" ht="12.75" customHeight="1" x14ac:dyDescent="0.25">
      <c r="B1540" s="17" t="s">
        <v>0</v>
      </c>
      <c r="C1540" s="44" t="s">
        <v>58</v>
      </c>
      <c r="D1540" s="22" t="s">
        <v>9</v>
      </c>
      <c r="E1540" s="20">
        <v>2</v>
      </c>
      <c r="F1540" s="17" t="s">
        <v>261</v>
      </c>
      <c r="G1540" s="17" t="s">
        <v>276</v>
      </c>
      <c r="H1540" s="17" t="s">
        <v>277</v>
      </c>
      <c r="I1540" s="17" t="s">
        <v>278</v>
      </c>
      <c r="J1540" s="27" t="s">
        <v>59</v>
      </c>
      <c r="K1540" s="29">
        <v>37174</v>
      </c>
      <c r="L1540" s="31">
        <v>21808286.389990132</v>
      </c>
      <c r="M1540" s="31">
        <v>5429349.6300033359</v>
      </c>
      <c r="N1540" s="31">
        <v>4211743.5300005293</v>
      </c>
      <c r="O1540" s="34">
        <f t="shared" si="208"/>
        <v>0.2489581039478358</v>
      </c>
      <c r="P1540" s="34">
        <f t="shared" si="209"/>
        <v>0.77573628832555797</v>
      </c>
      <c r="Q1540" s="34">
        <f t="shared" si="210"/>
        <v>0.7510418960521642</v>
      </c>
      <c r="R1540" s="46">
        <f t="shared" si="211"/>
        <v>113.29809894013367</v>
      </c>
    </row>
    <row r="1541" spans="2:18" ht="12.75" customHeight="1" x14ac:dyDescent="0.25">
      <c r="B1541" s="17" t="s">
        <v>0</v>
      </c>
      <c r="C1541" s="44" t="s">
        <v>50</v>
      </c>
      <c r="D1541" s="22" t="s">
        <v>2</v>
      </c>
      <c r="E1541" s="20">
        <v>1</v>
      </c>
      <c r="F1541" s="17" t="s">
        <v>261</v>
      </c>
      <c r="G1541" s="17" t="s">
        <v>276</v>
      </c>
      <c r="H1541" s="17" t="s">
        <v>277</v>
      </c>
      <c r="I1541" s="17" t="s">
        <v>278</v>
      </c>
      <c r="J1541" s="27" t="s">
        <v>51</v>
      </c>
      <c r="K1541" s="29">
        <v>44744</v>
      </c>
      <c r="L1541" s="31">
        <v>99623819.670118943</v>
      </c>
      <c r="M1541" s="31">
        <v>4784997.8099984014</v>
      </c>
      <c r="N1541" s="31">
        <v>3762039.869998266</v>
      </c>
      <c r="O1541" s="34">
        <f t="shared" si="208"/>
        <v>4.8030659995197997E-2</v>
      </c>
      <c r="P1541" s="34">
        <f t="shared" si="209"/>
        <v>0.78621558867537344</v>
      </c>
      <c r="Q1541" s="34">
        <f t="shared" si="210"/>
        <v>0.95196934000480204</v>
      </c>
      <c r="R1541" s="46">
        <f t="shared" si="211"/>
        <v>84.07920324508909</v>
      </c>
    </row>
    <row r="1542" spans="2:18" ht="12.75" customHeight="1" x14ac:dyDescent="0.25">
      <c r="B1542" s="17" t="s">
        <v>0</v>
      </c>
      <c r="C1542" s="44" t="s">
        <v>54</v>
      </c>
      <c r="D1542" s="22" t="s">
        <v>9</v>
      </c>
      <c r="E1542" s="20">
        <v>2</v>
      </c>
      <c r="F1542" s="17" t="s">
        <v>261</v>
      </c>
      <c r="G1542" s="17" t="s">
        <v>276</v>
      </c>
      <c r="H1542" s="17" t="s">
        <v>277</v>
      </c>
      <c r="I1542" s="17" t="s">
        <v>278</v>
      </c>
      <c r="J1542" s="27" t="s">
        <v>55</v>
      </c>
      <c r="K1542" s="29">
        <v>40054</v>
      </c>
      <c r="L1542" s="31">
        <v>11050892.740002133</v>
      </c>
      <c r="M1542" s="31">
        <v>4653818.9199739164</v>
      </c>
      <c r="N1542" s="31">
        <v>3596676.0200071912</v>
      </c>
      <c r="O1542" s="34">
        <f t="shared" si="208"/>
        <v>0.4211260600809178</v>
      </c>
      <c r="P1542" s="34">
        <f t="shared" si="209"/>
        <v>0.77284399798420811</v>
      </c>
      <c r="Q1542" s="34">
        <f t="shared" si="210"/>
        <v>0.5788739399190822</v>
      </c>
      <c r="R1542" s="46">
        <f t="shared" si="211"/>
        <v>89.795676337124661</v>
      </c>
    </row>
    <row r="1543" spans="2:18" ht="12.75" customHeight="1" x14ac:dyDescent="0.25">
      <c r="B1543" s="17" t="s">
        <v>0</v>
      </c>
      <c r="C1543" s="44" t="s">
        <v>20</v>
      </c>
      <c r="D1543" s="22" t="s">
        <v>2</v>
      </c>
      <c r="E1543" s="20">
        <v>1</v>
      </c>
      <c r="F1543" s="17" t="s">
        <v>261</v>
      </c>
      <c r="G1543" s="17" t="s">
        <v>276</v>
      </c>
      <c r="H1543" s="17" t="s">
        <v>277</v>
      </c>
      <c r="I1543" s="17" t="s">
        <v>278</v>
      </c>
      <c r="J1543" s="27" t="s">
        <v>21</v>
      </c>
      <c r="K1543" s="29">
        <v>29187</v>
      </c>
      <c r="L1543" s="31">
        <v>39251837.440008476</v>
      </c>
      <c r="M1543" s="31">
        <v>3838400.6800030661</v>
      </c>
      <c r="N1543" s="31">
        <v>3019611.3699995363</v>
      </c>
      <c r="O1543" s="34">
        <f t="shared" si="208"/>
        <v>9.7789070024290742E-2</v>
      </c>
      <c r="P1543" s="34">
        <f t="shared" si="209"/>
        <v>0.78668477361699618</v>
      </c>
      <c r="Q1543" s="34">
        <f t="shared" si="210"/>
        <v>0.90221092997570929</v>
      </c>
      <c r="R1543" s="46">
        <f t="shared" si="211"/>
        <v>103.4574080926281</v>
      </c>
    </row>
    <row r="1544" spans="2:18" ht="12.75" customHeight="1" x14ac:dyDescent="0.25">
      <c r="B1544" s="17" t="s">
        <v>0</v>
      </c>
      <c r="C1544" s="44" t="s">
        <v>50</v>
      </c>
      <c r="D1544" s="22" t="s">
        <v>9</v>
      </c>
      <c r="E1544" s="20">
        <v>2</v>
      </c>
      <c r="F1544" s="17" t="s">
        <v>261</v>
      </c>
      <c r="G1544" s="17" t="s">
        <v>276</v>
      </c>
      <c r="H1544" s="17" t="s">
        <v>277</v>
      </c>
      <c r="I1544" s="17" t="s">
        <v>278</v>
      </c>
      <c r="J1544" s="27" t="s">
        <v>51</v>
      </c>
      <c r="K1544" s="29">
        <v>55720</v>
      </c>
      <c r="L1544" s="31">
        <v>16251106.585113751</v>
      </c>
      <c r="M1544" s="31">
        <v>3602423.513986784</v>
      </c>
      <c r="N1544" s="31">
        <v>2662321.2002617596</v>
      </c>
      <c r="O1544" s="34">
        <f t="shared" si="208"/>
        <v>0.2216725055072038</v>
      </c>
      <c r="P1544" s="34">
        <f t="shared" si="209"/>
        <v>0.73903614883841962</v>
      </c>
      <c r="Q1544" s="34">
        <f t="shared" si="210"/>
        <v>0.77832749449279626</v>
      </c>
      <c r="R1544" s="46">
        <f t="shared" si="211"/>
        <v>47.780351763491737</v>
      </c>
    </row>
    <row r="1545" spans="2:18" ht="12.75" customHeight="1" x14ac:dyDescent="0.25">
      <c r="B1545" s="17" t="s">
        <v>0</v>
      </c>
      <c r="C1545" s="44" t="s">
        <v>66</v>
      </c>
      <c r="D1545" s="22" t="s">
        <v>9</v>
      </c>
      <c r="E1545" s="20">
        <v>2</v>
      </c>
      <c r="F1545" s="17" t="s">
        <v>261</v>
      </c>
      <c r="G1545" s="17" t="s">
        <v>276</v>
      </c>
      <c r="H1545" s="17" t="s">
        <v>277</v>
      </c>
      <c r="I1545" s="17" t="s">
        <v>278</v>
      </c>
      <c r="J1545" s="27" t="s">
        <v>67</v>
      </c>
      <c r="K1545" s="29">
        <v>21447</v>
      </c>
      <c r="L1545" s="31">
        <v>9669771.8799992651</v>
      </c>
      <c r="M1545" s="31">
        <v>3034747.8499995065</v>
      </c>
      <c r="N1545" s="31">
        <v>2377801.3299894994</v>
      </c>
      <c r="O1545" s="34">
        <f t="shared" si="208"/>
        <v>0.31383861870376795</v>
      </c>
      <c r="P1545" s="34">
        <f t="shared" si="209"/>
        <v>0.78352517161842161</v>
      </c>
      <c r="Q1545" s="34">
        <f t="shared" si="210"/>
        <v>0.68616138129623205</v>
      </c>
      <c r="R1545" s="46">
        <f t="shared" si="211"/>
        <v>110.86871497130132</v>
      </c>
    </row>
    <row r="1546" spans="2:18" ht="12.75" customHeight="1" x14ac:dyDescent="0.25">
      <c r="B1546" s="17" t="s">
        <v>0</v>
      </c>
      <c r="C1546" s="44" t="s">
        <v>58</v>
      </c>
      <c r="D1546" s="22" t="s">
        <v>2</v>
      </c>
      <c r="E1546" s="20">
        <v>1</v>
      </c>
      <c r="F1546" s="17" t="s">
        <v>261</v>
      </c>
      <c r="G1546" s="17" t="s">
        <v>276</v>
      </c>
      <c r="H1546" s="17" t="s">
        <v>277</v>
      </c>
      <c r="I1546" s="17" t="s">
        <v>278</v>
      </c>
      <c r="J1546" s="27" t="s">
        <v>59</v>
      </c>
      <c r="K1546" s="29">
        <v>23346</v>
      </c>
      <c r="L1546" s="31">
        <v>21085735.579991944</v>
      </c>
      <c r="M1546" s="31">
        <v>2551099.2699952284</v>
      </c>
      <c r="N1546" s="31">
        <v>1989121.5399955325</v>
      </c>
      <c r="O1546" s="34">
        <f t="shared" si="208"/>
        <v>0.12098697056677228</v>
      </c>
      <c r="P1546" s="34">
        <f t="shared" si="209"/>
        <v>0.77971153980191954</v>
      </c>
      <c r="Q1546" s="34">
        <f t="shared" si="210"/>
        <v>0.87901302943322768</v>
      </c>
      <c r="R1546" s="46">
        <f t="shared" si="211"/>
        <v>85.2018135867186</v>
      </c>
    </row>
    <row r="1547" spans="2:18" ht="12.75" customHeight="1" x14ac:dyDescent="0.25">
      <c r="B1547" s="17" t="s">
        <v>0</v>
      </c>
      <c r="C1547" s="44" t="s">
        <v>105</v>
      </c>
      <c r="D1547" s="22" t="s">
        <v>2</v>
      </c>
      <c r="E1547" s="20">
        <v>1</v>
      </c>
      <c r="F1547" s="17" t="s">
        <v>261</v>
      </c>
      <c r="G1547" s="17" t="s">
        <v>276</v>
      </c>
      <c r="H1547" s="17" t="s">
        <v>277</v>
      </c>
      <c r="I1547" s="17" t="s">
        <v>278</v>
      </c>
      <c r="J1547" s="27" t="s">
        <v>106</v>
      </c>
      <c r="K1547" s="29">
        <v>5905</v>
      </c>
      <c r="L1547" s="31">
        <v>10358746.520005992</v>
      </c>
      <c r="M1547" s="31">
        <v>1998676.8500008816</v>
      </c>
      <c r="N1547" s="31">
        <v>1574956.6500013315</v>
      </c>
      <c r="O1547" s="34">
        <f t="shared" si="208"/>
        <v>0.19294582082308984</v>
      </c>
      <c r="P1547" s="34">
        <f t="shared" si="209"/>
        <v>0.78799964586603222</v>
      </c>
      <c r="Q1547" s="34">
        <f t="shared" si="210"/>
        <v>0.80705417917691014</v>
      </c>
      <c r="R1547" s="46">
        <f t="shared" si="211"/>
        <v>266.71577476737195</v>
      </c>
    </row>
    <row r="1548" spans="2:18" ht="12.75" customHeight="1" x14ac:dyDescent="0.25">
      <c r="B1548" s="17" t="s">
        <v>0</v>
      </c>
      <c r="C1548" s="44" t="s">
        <v>103</v>
      </c>
      <c r="D1548" s="22" t="s">
        <v>9</v>
      </c>
      <c r="E1548" s="20">
        <v>2</v>
      </c>
      <c r="F1548" s="17" t="s">
        <v>261</v>
      </c>
      <c r="G1548" s="17" t="s">
        <v>276</v>
      </c>
      <c r="H1548" s="17" t="s">
        <v>277</v>
      </c>
      <c r="I1548" s="17" t="s">
        <v>278</v>
      </c>
      <c r="J1548" s="27" t="s">
        <v>104</v>
      </c>
      <c r="K1548" s="29">
        <v>30619</v>
      </c>
      <c r="L1548" s="31">
        <v>5514515.1800066726</v>
      </c>
      <c r="M1548" s="31">
        <v>1850757.8400001782</v>
      </c>
      <c r="N1548" s="31">
        <v>1384994.1300009342</v>
      </c>
      <c r="O1548" s="34">
        <f t="shared" si="208"/>
        <v>0.33561569414302322</v>
      </c>
      <c r="P1548" s="34">
        <f t="shared" si="209"/>
        <v>0.7483389236923621</v>
      </c>
      <c r="Q1548" s="34">
        <f t="shared" si="210"/>
        <v>0.66438430585697672</v>
      </c>
      <c r="R1548" s="46">
        <f t="shared" si="211"/>
        <v>45.23316012936197</v>
      </c>
    </row>
    <row r="1549" spans="2:18" ht="12.75" customHeight="1" x14ac:dyDescent="0.25">
      <c r="B1549" s="17" t="s">
        <v>0</v>
      </c>
      <c r="C1549" s="44" t="s">
        <v>72</v>
      </c>
      <c r="D1549" s="22" t="s">
        <v>9</v>
      </c>
      <c r="E1549" s="20">
        <v>2</v>
      </c>
      <c r="F1549" s="17" t="s">
        <v>261</v>
      </c>
      <c r="G1549" s="17" t="s">
        <v>276</v>
      </c>
      <c r="H1549" s="17" t="s">
        <v>277</v>
      </c>
      <c r="I1549" s="17" t="s">
        <v>278</v>
      </c>
      <c r="J1549" s="27" t="s">
        <v>73</v>
      </c>
      <c r="K1549" s="29">
        <v>15593</v>
      </c>
      <c r="L1549" s="31">
        <v>5102182.2099963492</v>
      </c>
      <c r="M1549" s="31">
        <v>1375055.919991263</v>
      </c>
      <c r="N1549" s="31">
        <v>1039204.9199984567</v>
      </c>
      <c r="O1549" s="34">
        <f t="shared" si="208"/>
        <v>0.26950349152509917</v>
      </c>
      <c r="P1549" s="34">
        <f t="shared" si="209"/>
        <v>0.75575466051232287</v>
      </c>
      <c r="Q1549" s="34">
        <f t="shared" si="210"/>
        <v>0.73049650847490089</v>
      </c>
      <c r="R1549" s="46">
        <f t="shared" si="211"/>
        <v>66.645605079103234</v>
      </c>
    </row>
    <row r="1550" spans="2:18" ht="12.75" customHeight="1" x14ac:dyDescent="0.25">
      <c r="B1550" s="17" t="s">
        <v>0</v>
      </c>
      <c r="C1550" s="44" t="s">
        <v>72</v>
      </c>
      <c r="D1550" s="22" t="s">
        <v>2</v>
      </c>
      <c r="E1550" s="20">
        <v>1</v>
      </c>
      <c r="F1550" s="17" t="s">
        <v>261</v>
      </c>
      <c r="G1550" s="17" t="s">
        <v>276</v>
      </c>
      <c r="H1550" s="17" t="s">
        <v>277</v>
      </c>
      <c r="I1550" s="17" t="s">
        <v>278</v>
      </c>
      <c r="J1550" s="27" t="s">
        <v>73</v>
      </c>
      <c r="K1550" s="29">
        <v>5093</v>
      </c>
      <c r="L1550" s="31">
        <v>6490670.8299860302</v>
      </c>
      <c r="M1550" s="31">
        <v>1284096.190001758</v>
      </c>
      <c r="N1550" s="31">
        <v>1004496.4299965181</v>
      </c>
      <c r="O1550" s="34">
        <f t="shared" si="208"/>
        <v>0.19783720722200324</v>
      </c>
      <c r="P1550" s="34">
        <f t="shared" si="209"/>
        <v>0.78225948945081969</v>
      </c>
      <c r="Q1550" s="34">
        <f t="shared" si="210"/>
        <v>0.80216279277799674</v>
      </c>
      <c r="R1550" s="46">
        <f t="shared" si="211"/>
        <v>197.23079324494759</v>
      </c>
    </row>
    <row r="1551" spans="2:18" ht="12.75" customHeight="1" x14ac:dyDescent="0.25">
      <c r="B1551" s="17" t="s">
        <v>0</v>
      </c>
      <c r="C1551" s="44" t="s">
        <v>94</v>
      </c>
      <c r="D1551" s="22" t="s">
        <v>9</v>
      </c>
      <c r="E1551" s="20">
        <v>2</v>
      </c>
      <c r="F1551" s="17" t="s">
        <v>261</v>
      </c>
      <c r="G1551" s="17" t="s">
        <v>276</v>
      </c>
      <c r="H1551" s="17" t="s">
        <v>277</v>
      </c>
      <c r="I1551" s="17" t="s">
        <v>278</v>
      </c>
      <c r="J1551" s="27" t="s">
        <v>95</v>
      </c>
      <c r="K1551" s="29">
        <v>13977</v>
      </c>
      <c r="L1551" s="31">
        <v>2838245.6799986977</v>
      </c>
      <c r="M1551" s="31">
        <v>1118854.4799979706</v>
      </c>
      <c r="N1551" s="31">
        <v>847247.8600004873</v>
      </c>
      <c r="O1551" s="34">
        <f t="shared" si="208"/>
        <v>0.39420635355234085</v>
      </c>
      <c r="P1551" s="34">
        <f t="shared" si="209"/>
        <v>0.7572458037635279</v>
      </c>
      <c r="Q1551" s="34">
        <f t="shared" si="210"/>
        <v>0.60579364644765921</v>
      </c>
      <c r="R1551" s="46">
        <f t="shared" si="211"/>
        <v>60.617289833332421</v>
      </c>
    </row>
    <row r="1552" spans="2:18" ht="12.75" customHeight="1" x14ac:dyDescent="0.25">
      <c r="B1552" s="17" t="s">
        <v>0</v>
      </c>
      <c r="C1552" s="44" t="s">
        <v>105</v>
      </c>
      <c r="D1552" s="22" t="s">
        <v>9</v>
      </c>
      <c r="E1552" s="20">
        <v>2</v>
      </c>
      <c r="F1552" s="17" t="s">
        <v>261</v>
      </c>
      <c r="G1552" s="17" t="s">
        <v>276</v>
      </c>
      <c r="H1552" s="17" t="s">
        <v>277</v>
      </c>
      <c r="I1552" s="17" t="s">
        <v>278</v>
      </c>
      <c r="J1552" s="27" t="s">
        <v>106</v>
      </c>
      <c r="K1552" s="29">
        <v>14155</v>
      </c>
      <c r="L1552" s="31">
        <v>3721639.5499915113</v>
      </c>
      <c r="M1552" s="31">
        <v>1061542.0999993703</v>
      </c>
      <c r="N1552" s="31">
        <v>793162.1699992076</v>
      </c>
      <c r="O1552" s="34">
        <f t="shared" si="208"/>
        <v>0.28523506528239456</v>
      </c>
      <c r="P1552" s="34">
        <f t="shared" si="209"/>
        <v>0.74717919336376593</v>
      </c>
      <c r="Q1552" s="34">
        <f t="shared" si="210"/>
        <v>0.71476493471760549</v>
      </c>
      <c r="R1552" s="46">
        <f t="shared" si="211"/>
        <v>56.034063581717248</v>
      </c>
    </row>
    <row r="1553" spans="2:18" ht="12.75" customHeight="1" x14ac:dyDescent="0.25">
      <c r="B1553" s="17" t="s">
        <v>0</v>
      </c>
      <c r="C1553" s="44" t="s">
        <v>46</v>
      </c>
      <c r="D1553" s="22" t="s">
        <v>2</v>
      </c>
      <c r="E1553" s="20">
        <v>1</v>
      </c>
      <c r="F1553" s="17" t="s">
        <v>261</v>
      </c>
      <c r="G1553" s="17" t="s">
        <v>276</v>
      </c>
      <c r="H1553" s="17" t="s">
        <v>277</v>
      </c>
      <c r="I1553" s="17" t="s">
        <v>278</v>
      </c>
      <c r="J1553" s="27" t="s">
        <v>47</v>
      </c>
      <c r="K1553" s="29">
        <v>11140</v>
      </c>
      <c r="L1553" s="31">
        <v>16141878.139998697</v>
      </c>
      <c r="M1553" s="31">
        <v>1010465.229999628</v>
      </c>
      <c r="N1553" s="31">
        <v>785668.45000207145</v>
      </c>
      <c r="O1553" s="34">
        <f t="shared" si="208"/>
        <v>6.2598987629311251E-2</v>
      </c>
      <c r="P1553" s="34">
        <f t="shared" si="209"/>
        <v>0.77753140501663842</v>
      </c>
      <c r="Q1553" s="34">
        <f t="shared" si="210"/>
        <v>0.93740101237068874</v>
      </c>
      <c r="R1553" s="46">
        <f t="shared" si="211"/>
        <v>70.526790843992046</v>
      </c>
    </row>
    <row r="1554" spans="2:18" ht="12.75" customHeight="1" x14ac:dyDescent="0.25">
      <c r="B1554" s="17" t="s">
        <v>0</v>
      </c>
      <c r="C1554" s="44" t="s">
        <v>34</v>
      </c>
      <c r="D1554" s="22" t="s">
        <v>9</v>
      </c>
      <c r="E1554" s="20">
        <v>2</v>
      </c>
      <c r="F1554" s="17" t="s">
        <v>261</v>
      </c>
      <c r="G1554" s="17" t="s">
        <v>276</v>
      </c>
      <c r="H1554" s="17" t="s">
        <v>277</v>
      </c>
      <c r="I1554" s="17" t="s">
        <v>278</v>
      </c>
      <c r="J1554" s="27" t="s">
        <v>35</v>
      </c>
      <c r="K1554" s="29">
        <v>3686</v>
      </c>
      <c r="L1554" s="31">
        <v>2301911.3199991705</v>
      </c>
      <c r="M1554" s="31">
        <v>772239.90000180993</v>
      </c>
      <c r="N1554" s="31">
        <v>597118.44999921205</v>
      </c>
      <c r="O1554" s="34">
        <f t="shared" si="208"/>
        <v>0.33547769338138023</v>
      </c>
      <c r="P1554" s="34">
        <f t="shared" si="209"/>
        <v>0.77322921283633828</v>
      </c>
      <c r="Q1554" s="34">
        <f t="shared" si="210"/>
        <v>0.66452230661861977</v>
      </c>
      <c r="R1554" s="46">
        <f t="shared" si="211"/>
        <v>161.99632392816389</v>
      </c>
    </row>
    <row r="1555" spans="2:18" ht="12.75" customHeight="1" x14ac:dyDescent="0.25">
      <c r="B1555" s="17" t="s">
        <v>0</v>
      </c>
      <c r="C1555" s="44" t="s">
        <v>36</v>
      </c>
      <c r="D1555" s="22" t="s">
        <v>2</v>
      </c>
      <c r="E1555" s="20">
        <v>1</v>
      </c>
      <c r="F1555" s="17" t="s">
        <v>261</v>
      </c>
      <c r="G1555" s="17" t="s">
        <v>276</v>
      </c>
      <c r="H1555" s="17" t="s">
        <v>277</v>
      </c>
      <c r="I1555" s="17" t="s">
        <v>278</v>
      </c>
      <c r="J1555" s="27" t="s">
        <v>37</v>
      </c>
      <c r="K1555" s="29">
        <v>1427</v>
      </c>
      <c r="L1555" s="31">
        <v>13238816.059980419</v>
      </c>
      <c r="M1555" s="31">
        <v>589483.58999915421</v>
      </c>
      <c r="N1555" s="31">
        <v>469548.28000179207</v>
      </c>
      <c r="O1555" s="34">
        <f t="shared" si="208"/>
        <v>4.4526911419299993E-2</v>
      </c>
      <c r="P1555" s="34">
        <f t="shared" si="209"/>
        <v>0.79654173240423165</v>
      </c>
      <c r="Q1555" s="34">
        <f t="shared" si="210"/>
        <v>0.95547308858070001</v>
      </c>
      <c r="R1555" s="46">
        <f t="shared" si="211"/>
        <v>329.04574632220886</v>
      </c>
    </row>
    <row r="1556" spans="2:18" ht="12.75" customHeight="1" x14ac:dyDescent="0.25">
      <c r="B1556" s="17" t="s">
        <v>0</v>
      </c>
      <c r="C1556" s="44" t="s">
        <v>143</v>
      </c>
      <c r="D1556" s="22" t="s">
        <v>9</v>
      </c>
      <c r="E1556" s="20">
        <v>2</v>
      </c>
      <c r="F1556" s="17" t="s">
        <v>261</v>
      </c>
      <c r="G1556" s="17" t="s">
        <v>276</v>
      </c>
      <c r="H1556" s="17" t="s">
        <v>277</v>
      </c>
      <c r="I1556" s="17" t="s">
        <v>278</v>
      </c>
      <c r="J1556" s="27" t="s">
        <v>144</v>
      </c>
      <c r="K1556" s="29">
        <v>4295</v>
      </c>
      <c r="L1556" s="31">
        <v>1489092</v>
      </c>
      <c r="M1556" s="31">
        <v>531427.38998998888</v>
      </c>
      <c r="N1556" s="31">
        <v>420779.44999290799</v>
      </c>
      <c r="O1556" s="34">
        <f t="shared" si="208"/>
        <v>0.35688015917753158</v>
      </c>
      <c r="P1556" s="34">
        <f t="shared" si="209"/>
        <v>0.79179104788113142</v>
      </c>
      <c r="Q1556" s="34">
        <f t="shared" si="210"/>
        <v>0.64311984082246842</v>
      </c>
      <c r="R1556" s="46">
        <f t="shared" si="211"/>
        <v>97.969604189268452</v>
      </c>
    </row>
    <row r="1557" spans="2:18" ht="12.75" customHeight="1" x14ac:dyDescent="0.25">
      <c r="B1557" s="17" t="s">
        <v>0</v>
      </c>
      <c r="C1557" s="44" t="s">
        <v>70</v>
      </c>
      <c r="D1557" s="22" t="s">
        <v>9</v>
      </c>
      <c r="E1557" s="20">
        <v>2</v>
      </c>
      <c r="F1557" s="17" t="s">
        <v>261</v>
      </c>
      <c r="G1557" s="17" t="s">
        <v>276</v>
      </c>
      <c r="H1557" s="17" t="s">
        <v>277</v>
      </c>
      <c r="I1557" s="17" t="s">
        <v>278</v>
      </c>
      <c r="J1557" s="27" t="s">
        <v>71</v>
      </c>
      <c r="K1557" s="29">
        <v>3427</v>
      </c>
      <c r="L1557" s="31">
        <v>893811.00000331993</v>
      </c>
      <c r="M1557" s="31">
        <v>523342.189998471</v>
      </c>
      <c r="N1557" s="31">
        <v>414268.10000897199</v>
      </c>
      <c r="O1557" s="34">
        <f t="shared" si="208"/>
        <v>0.58551773249213435</v>
      </c>
      <c r="P1557" s="34">
        <f t="shared" si="209"/>
        <v>0.79158169917503174</v>
      </c>
      <c r="Q1557" s="34">
        <f t="shared" si="210"/>
        <v>0.41448226750786565</v>
      </c>
      <c r="R1557" s="46">
        <f t="shared" si="211"/>
        <v>120.88360081965918</v>
      </c>
    </row>
    <row r="1558" spans="2:18" ht="12.75" customHeight="1" x14ac:dyDescent="0.25">
      <c r="B1558" s="17" t="s">
        <v>0</v>
      </c>
      <c r="C1558" s="44" t="s">
        <v>30</v>
      </c>
      <c r="D1558" s="22" t="s">
        <v>9</v>
      </c>
      <c r="E1558" s="20">
        <v>2</v>
      </c>
      <c r="F1558" s="17" t="s">
        <v>261</v>
      </c>
      <c r="G1558" s="17" t="s">
        <v>276</v>
      </c>
      <c r="H1558" s="17" t="s">
        <v>277</v>
      </c>
      <c r="I1558" s="17" t="s">
        <v>278</v>
      </c>
      <c r="J1558" s="27" t="s">
        <v>31</v>
      </c>
      <c r="K1558" s="29">
        <v>5157</v>
      </c>
      <c r="L1558" s="31">
        <v>1103654.9299999559</v>
      </c>
      <c r="M1558" s="31">
        <v>487966.1499971521</v>
      </c>
      <c r="N1558" s="31">
        <v>371270.19999926805</v>
      </c>
      <c r="O1558" s="34">
        <f t="shared" si="208"/>
        <v>0.44213651996930925</v>
      </c>
      <c r="P1558" s="34">
        <f t="shared" si="209"/>
        <v>0.76085236650418253</v>
      </c>
      <c r="Q1558" s="34">
        <f t="shared" si="210"/>
        <v>0.55786348003069075</v>
      </c>
      <c r="R1558" s="46">
        <f t="shared" si="211"/>
        <v>71.993445801680835</v>
      </c>
    </row>
    <row r="1559" spans="2:18" ht="12.75" customHeight="1" x14ac:dyDescent="0.25">
      <c r="B1559" s="17" t="s">
        <v>0</v>
      </c>
      <c r="C1559" s="44" t="s">
        <v>103</v>
      </c>
      <c r="D1559" s="22" t="s">
        <v>2</v>
      </c>
      <c r="E1559" s="20">
        <v>1</v>
      </c>
      <c r="F1559" s="17" t="s">
        <v>261</v>
      </c>
      <c r="G1559" s="17" t="s">
        <v>276</v>
      </c>
      <c r="H1559" s="17" t="s">
        <v>277</v>
      </c>
      <c r="I1559" s="17" t="s">
        <v>278</v>
      </c>
      <c r="J1559" s="27" t="s">
        <v>104</v>
      </c>
      <c r="K1559" s="29">
        <v>2660</v>
      </c>
      <c r="L1559" s="31">
        <v>2695842.4300028807</v>
      </c>
      <c r="M1559" s="31">
        <v>458860.97999916604</v>
      </c>
      <c r="N1559" s="31">
        <v>360994.71999995701</v>
      </c>
      <c r="O1559" s="34">
        <f t="shared" si="208"/>
        <v>0.17021060833984861</v>
      </c>
      <c r="P1559" s="34">
        <f t="shared" si="209"/>
        <v>0.78671914966623024</v>
      </c>
      <c r="Q1559" s="34">
        <f t="shared" si="210"/>
        <v>0.82978939166015142</v>
      </c>
      <c r="R1559" s="46">
        <f t="shared" si="211"/>
        <v>135.71230075186355</v>
      </c>
    </row>
    <row r="1560" spans="2:18" ht="12.75" customHeight="1" x14ac:dyDescent="0.25">
      <c r="B1560" s="17" t="s">
        <v>0</v>
      </c>
      <c r="C1560" s="44" t="s">
        <v>68</v>
      </c>
      <c r="D1560" s="22" t="s">
        <v>9</v>
      </c>
      <c r="E1560" s="20">
        <v>2</v>
      </c>
      <c r="F1560" s="17" t="s">
        <v>261</v>
      </c>
      <c r="G1560" s="17" t="s">
        <v>276</v>
      </c>
      <c r="H1560" s="17" t="s">
        <v>277</v>
      </c>
      <c r="I1560" s="17" t="s">
        <v>278</v>
      </c>
      <c r="J1560" s="27" t="s">
        <v>69</v>
      </c>
      <c r="K1560" s="29">
        <v>2409</v>
      </c>
      <c r="L1560" s="31">
        <v>1458118.6499964599</v>
      </c>
      <c r="M1560" s="31">
        <v>457838.82999924012</v>
      </c>
      <c r="N1560" s="31">
        <v>346506.62000015908</v>
      </c>
      <c r="O1560" s="34">
        <f t="shared" si="208"/>
        <v>0.31399284962190949</v>
      </c>
      <c r="P1560" s="34">
        <f t="shared" si="209"/>
        <v>0.75683100098944023</v>
      </c>
      <c r="Q1560" s="34">
        <f t="shared" si="210"/>
        <v>0.68600715037809046</v>
      </c>
      <c r="R1560" s="46">
        <f t="shared" si="211"/>
        <v>143.83836446664967</v>
      </c>
    </row>
    <row r="1561" spans="2:18" ht="12.75" customHeight="1" x14ac:dyDescent="0.25">
      <c r="B1561" s="17" t="s">
        <v>0</v>
      </c>
      <c r="C1561" s="44" t="s">
        <v>74</v>
      </c>
      <c r="D1561" s="22" t="s">
        <v>2</v>
      </c>
      <c r="E1561" s="20">
        <v>1</v>
      </c>
      <c r="F1561" s="17" t="s">
        <v>261</v>
      </c>
      <c r="G1561" s="17" t="s">
        <v>276</v>
      </c>
      <c r="H1561" s="17" t="s">
        <v>277</v>
      </c>
      <c r="I1561" s="17" t="s">
        <v>278</v>
      </c>
      <c r="J1561" s="27" t="s">
        <v>75</v>
      </c>
      <c r="K1561" s="29">
        <v>1330</v>
      </c>
      <c r="L1561" s="31">
        <v>2475518.11000029</v>
      </c>
      <c r="M1561" s="31">
        <v>408221.49999883701</v>
      </c>
      <c r="N1561" s="31">
        <v>321115.84000030905</v>
      </c>
      <c r="O1561" s="34">
        <f t="shared" si="208"/>
        <v>0.16490345934039205</v>
      </c>
      <c r="P1561" s="34">
        <f t="shared" si="209"/>
        <v>0.78662157676953293</v>
      </c>
      <c r="Q1561" s="34">
        <f t="shared" si="210"/>
        <v>0.83509654065960792</v>
      </c>
      <c r="R1561" s="46">
        <f t="shared" si="211"/>
        <v>241.4404812032399</v>
      </c>
    </row>
    <row r="1562" spans="2:18" ht="12.75" customHeight="1" x14ac:dyDescent="0.25">
      <c r="B1562" s="17" t="s">
        <v>0</v>
      </c>
      <c r="C1562" s="44" t="s">
        <v>54</v>
      </c>
      <c r="D1562" s="22" t="s">
        <v>2</v>
      </c>
      <c r="E1562" s="20">
        <v>1</v>
      </c>
      <c r="F1562" s="17" t="s">
        <v>261</v>
      </c>
      <c r="G1562" s="17" t="s">
        <v>276</v>
      </c>
      <c r="H1562" s="17" t="s">
        <v>277</v>
      </c>
      <c r="I1562" s="17" t="s">
        <v>278</v>
      </c>
      <c r="J1562" s="27" t="s">
        <v>55</v>
      </c>
      <c r="K1562" s="29">
        <v>4144</v>
      </c>
      <c r="L1562" s="31">
        <v>3508954.5200098399</v>
      </c>
      <c r="M1562" s="31">
        <v>397686.90000108088</v>
      </c>
      <c r="N1562" s="31">
        <v>305038.95999925304</v>
      </c>
      <c r="O1562" s="34">
        <f t="shared" ref="O1562:O1593" si="212">IFERROR(M1562/L1562,0)</f>
        <v>0.11333486875742285</v>
      </c>
      <c r="P1562" s="34">
        <f t="shared" ref="P1562:P1593" si="213">IFERROR(N1562/M1562,0)</f>
        <v>0.76703295984460129</v>
      </c>
      <c r="Q1562" s="34">
        <f t="shared" ref="Q1562:Q1593" si="214">IFERROR(1-(M1562/L1562),0)</f>
        <v>0.88666513124257718</v>
      </c>
      <c r="R1562" s="46">
        <f t="shared" ref="R1562:R1593" si="215">IFERROR(N1562/K1562,0)</f>
        <v>73.609787644607394</v>
      </c>
    </row>
    <row r="1563" spans="2:18" ht="12.75" customHeight="1" x14ac:dyDescent="0.25">
      <c r="B1563" s="17" t="s">
        <v>0</v>
      </c>
      <c r="C1563" s="44" t="s">
        <v>196</v>
      </c>
      <c r="D1563" s="22" t="s">
        <v>9</v>
      </c>
      <c r="E1563" s="20">
        <v>2</v>
      </c>
      <c r="F1563" s="17" t="s">
        <v>261</v>
      </c>
      <c r="G1563" s="17" t="s">
        <v>276</v>
      </c>
      <c r="H1563" s="17" t="s">
        <v>277</v>
      </c>
      <c r="I1563" s="17" t="s">
        <v>278</v>
      </c>
      <c r="J1563" s="27" t="s">
        <v>197</v>
      </c>
      <c r="K1563" s="29">
        <v>318</v>
      </c>
      <c r="L1563" s="31">
        <v>762484.62000038999</v>
      </c>
      <c r="M1563" s="31">
        <v>359389.34000073001</v>
      </c>
      <c r="N1563" s="31">
        <v>284832.84000178002</v>
      </c>
      <c r="O1563" s="34">
        <f t="shared" si="212"/>
        <v>0.4713397891232825</v>
      </c>
      <c r="P1563" s="34">
        <f t="shared" si="213"/>
        <v>0.79254671271329713</v>
      </c>
      <c r="Q1563" s="34">
        <f t="shared" si="214"/>
        <v>0.52866021087671755</v>
      </c>
      <c r="R1563" s="46">
        <f t="shared" si="215"/>
        <v>895.70075472257872</v>
      </c>
    </row>
    <row r="1564" spans="2:18" ht="12.75" customHeight="1" x14ac:dyDescent="0.25">
      <c r="B1564" s="17" t="s">
        <v>0</v>
      </c>
      <c r="C1564" s="44" t="s">
        <v>1</v>
      </c>
      <c r="D1564" s="22" t="s">
        <v>2</v>
      </c>
      <c r="E1564" s="20">
        <v>1</v>
      </c>
      <c r="F1564" s="17" t="s">
        <v>261</v>
      </c>
      <c r="G1564" s="17" t="s">
        <v>276</v>
      </c>
      <c r="H1564" s="17" t="s">
        <v>277</v>
      </c>
      <c r="I1564" s="17" t="s">
        <v>278</v>
      </c>
      <c r="J1564" s="27" t="s">
        <v>6</v>
      </c>
      <c r="K1564" s="29">
        <v>4849</v>
      </c>
      <c r="L1564" s="31">
        <v>5247260.3700019484</v>
      </c>
      <c r="M1564" s="31">
        <v>331427.55999974516</v>
      </c>
      <c r="N1564" s="31">
        <v>262137.33000022988</v>
      </c>
      <c r="O1564" s="34">
        <f t="shared" si="212"/>
        <v>6.3162019154696936E-2</v>
      </c>
      <c r="P1564" s="34">
        <f t="shared" si="213"/>
        <v>0.79093401285165132</v>
      </c>
      <c r="Q1564" s="34">
        <f t="shared" si="214"/>
        <v>0.93683798084530312</v>
      </c>
      <c r="R1564" s="46">
        <f t="shared" si="215"/>
        <v>54.060080429001829</v>
      </c>
    </row>
    <row r="1565" spans="2:18" ht="12.75" customHeight="1" x14ac:dyDescent="0.25">
      <c r="B1565" s="17" t="s">
        <v>0</v>
      </c>
      <c r="C1565" s="44" t="s">
        <v>74</v>
      </c>
      <c r="D1565" s="22" t="s">
        <v>9</v>
      </c>
      <c r="E1565" s="20">
        <v>2</v>
      </c>
      <c r="F1565" s="17" t="s">
        <v>261</v>
      </c>
      <c r="G1565" s="17" t="s">
        <v>276</v>
      </c>
      <c r="H1565" s="17" t="s">
        <v>277</v>
      </c>
      <c r="I1565" s="17" t="s">
        <v>278</v>
      </c>
      <c r="J1565" s="27" t="s">
        <v>75</v>
      </c>
      <c r="K1565" s="29">
        <v>4118</v>
      </c>
      <c r="L1565" s="31">
        <v>1013156.809993269</v>
      </c>
      <c r="M1565" s="31">
        <v>340743.65999953396</v>
      </c>
      <c r="N1565" s="31">
        <v>258997.84000052395</v>
      </c>
      <c r="O1565" s="34">
        <f t="shared" si="212"/>
        <v>0.33631877774359303</v>
      </c>
      <c r="P1565" s="34">
        <f t="shared" si="213"/>
        <v>0.76009584448578793</v>
      </c>
      <c r="Q1565" s="34">
        <f t="shared" si="214"/>
        <v>0.66368122225640702</v>
      </c>
      <c r="R1565" s="46">
        <f t="shared" si="215"/>
        <v>62.894084507169488</v>
      </c>
    </row>
    <row r="1566" spans="2:18" ht="12.75" customHeight="1" x14ac:dyDescent="0.25">
      <c r="B1566" s="17" t="s">
        <v>0</v>
      </c>
      <c r="C1566" s="44" t="s">
        <v>18</v>
      </c>
      <c r="D1566" s="22" t="s">
        <v>9</v>
      </c>
      <c r="E1566" s="20">
        <v>2</v>
      </c>
      <c r="F1566" s="17" t="s">
        <v>261</v>
      </c>
      <c r="G1566" s="17" t="s">
        <v>276</v>
      </c>
      <c r="H1566" s="17" t="s">
        <v>277</v>
      </c>
      <c r="I1566" s="17" t="s">
        <v>278</v>
      </c>
      <c r="J1566" s="27" t="s">
        <v>19</v>
      </c>
      <c r="K1566" s="29">
        <v>2429</v>
      </c>
      <c r="L1566" s="31">
        <v>1609374.2500008699</v>
      </c>
      <c r="M1566" s="31">
        <v>317456.27000088099</v>
      </c>
      <c r="N1566" s="31">
        <v>247642.24000105704</v>
      </c>
      <c r="O1566" s="34">
        <f t="shared" si="212"/>
        <v>0.19725447328407883</v>
      </c>
      <c r="P1566" s="34">
        <f t="shared" si="213"/>
        <v>0.78008300166939459</v>
      </c>
      <c r="Q1566" s="34">
        <f t="shared" si="214"/>
        <v>0.80274552671592114</v>
      </c>
      <c r="R1566" s="46">
        <f t="shared" si="215"/>
        <v>101.95234252822439</v>
      </c>
    </row>
    <row r="1567" spans="2:18" ht="12.75" customHeight="1" x14ac:dyDescent="0.25">
      <c r="B1567" s="17" t="s">
        <v>0</v>
      </c>
      <c r="C1567" s="44" t="s">
        <v>56</v>
      </c>
      <c r="D1567" s="22" t="s">
        <v>9</v>
      </c>
      <c r="E1567" s="20">
        <v>2</v>
      </c>
      <c r="F1567" s="17" t="s">
        <v>261</v>
      </c>
      <c r="G1567" s="17" t="s">
        <v>276</v>
      </c>
      <c r="H1567" s="17" t="s">
        <v>277</v>
      </c>
      <c r="I1567" s="17" t="s">
        <v>278</v>
      </c>
      <c r="J1567" s="27" t="s">
        <v>57</v>
      </c>
      <c r="K1567" s="29">
        <v>1434</v>
      </c>
      <c r="L1567" s="31">
        <v>947470.0099996099</v>
      </c>
      <c r="M1567" s="31">
        <v>270798.03999773995</v>
      </c>
      <c r="N1567" s="31">
        <v>212299.71999995806</v>
      </c>
      <c r="O1567" s="34">
        <f t="shared" si="212"/>
        <v>0.28581172716786196</v>
      </c>
      <c r="P1567" s="34">
        <f t="shared" si="213"/>
        <v>0.78397805243246921</v>
      </c>
      <c r="Q1567" s="34">
        <f t="shared" si="214"/>
        <v>0.71418827283213804</v>
      </c>
      <c r="R1567" s="46">
        <f t="shared" si="215"/>
        <v>148.0472245466932</v>
      </c>
    </row>
    <row r="1568" spans="2:18" ht="12.75" customHeight="1" x14ac:dyDescent="0.25">
      <c r="B1568" s="17" t="s">
        <v>0</v>
      </c>
      <c r="C1568" s="44" t="s">
        <v>18</v>
      </c>
      <c r="D1568" s="22" t="s">
        <v>2</v>
      </c>
      <c r="E1568" s="20">
        <v>1</v>
      </c>
      <c r="F1568" s="17" t="s">
        <v>261</v>
      </c>
      <c r="G1568" s="17" t="s">
        <v>276</v>
      </c>
      <c r="H1568" s="17" t="s">
        <v>277</v>
      </c>
      <c r="I1568" s="17" t="s">
        <v>278</v>
      </c>
      <c r="J1568" s="27" t="s">
        <v>19</v>
      </c>
      <c r="K1568" s="29">
        <v>3803</v>
      </c>
      <c r="L1568" s="31">
        <v>2131054.99999665</v>
      </c>
      <c r="M1568" s="31">
        <v>270934.22999983805</v>
      </c>
      <c r="N1568" s="31">
        <v>207804.00000000102</v>
      </c>
      <c r="O1568" s="34">
        <f t="shared" si="212"/>
        <v>0.12713619779886673</v>
      </c>
      <c r="P1568" s="34">
        <f t="shared" si="213"/>
        <v>0.7669905718451494</v>
      </c>
      <c r="Q1568" s="34">
        <f t="shared" si="214"/>
        <v>0.87286380220113324</v>
      </c>
      <c r="R1568" s="46">
        <f t="shared" si="215"/>
        <v>54.642124638443605</v>
      </c>
    </row>
    <row r="1569" spans="2:18" ht="12.75" customHeight="1" x14ac:dyDescent="0.25">
      <c r="B1569" s="17" t="s">
        <v>0</v>
      </c>
      <c r="C1569" s="44" t="s">
        <v>114</v>
      </c>
      <c r="D1569" s="22" t="s">
        <v>9</v>
      </c>
      <c r="E1569" s="20">
        <v>2</v>
      </c>
      <c r="F1569" s="17" t="s">
        <v>261</v>
      </c>
      <c r="G1569" s="17" t="s">
        <v>276</v>
      </c>
      <c r="H1569" s="17" t="s">
        <v>277</v>
      </c>
      <c r="I1569" s="17" t="s">
        <v>278</v>
      </c>
      <c r="J1569" s="27" t="s">
        <v>118</v>
      </c>
      <c r="K1569" s="29">
        <v>292</v>
      </c>
      <c r="L1569" s="31">
        <v>301334.28000000003</v>
      </c>
      <c r="M1569" s="31">
        <v>235655.85000015999</v>
      </c>
      <c r="N1569" s="31">
        <v>189198.56000034997</v>
      </c>
      <c r="O1569" s="34">
        <f t="shared" si="212"/>
        <v>0.78204129314514093</v>
      </c>
      <c r="P1569" s="34">
        <f t="shared" si="213"/>
        <v>0.80285959376871618</v>
      </c>
      <c r="Q1569" s="34">
        <f t="shared" si="214"/>
        <v>0.21795870685485907</v>
      </c>
      <c r="R1569" s="46">
        <f t="shared" si="215"/>
        <v>647.94027397380125</v>
      </c>
    </row>
    <row r="1570" spans="2:18" ht="12.75" customHeight="1" x14ac:dyDescent="0.25">
      <c r="B1570" s="17" t="s">
        <v>0</v>
      </c>
      <c r="C1570" s="44" t="s">
        <v>56</v>
      </c>
      <c r="D1570" s="22" t="s">
        <v>2</v>
      </c>
      <c r="E1570" s="20">
        <v>1</v>
      </c>
      <c r="F1570" s="17" t="s">
        <v>261</v>
      </c>
      <c r="G1570" s="17" t="s">
        <v>276</v>
      </c>
      <c r="H1570" s="17" t="s">
        <v>277</v>
      </c>
      <c r="I1570" s="17" t="s">
        <v>278</v>
      </c>
      <c r="J1570" s="27" t="s">
        <v>57</v>
      </c>
      <c r="K1570" s="29">
        <v>855</v>
      </c>
      <c r="L1570" s="31">
        <v>1704740.29000099</v>
      </c>
      <c r="M1570" s="31">
        <v>235193.63000016002</v>
      </c>
      <c r="N1570" s="31">
        <v>183367.62999938999</v>
      </c>
      <c r="O1570" s="34">
        <f t="shared" si="212"/>
        <v>0.13796449311350731</v>
      </c>
      <c r="P1570" s="34">
        <f t="shared" si="213"/>
        <v>0.77964539260381005</v>
      </c>
      <c r="Q1570" s="34">
        <f t="shared" si="214"/>
        <v>0.86203550688649266</v>
      </c>
      <c r="R1570" s="46">
        <f t="shared" si="215"/>
        <v>214.46506432677191</v>
      </c>
    </row>
    <row r="1571" spans="2:18" ht="12.75" customHeight="1" x14ac:dyDescent="0.25">
      <c r="B1571" s="17" t="s">
        <v>0</v>
      </c>
      <c r="C1571" s="44" t="s">
        <v>28</v>
      </c>
      <c r="D1571" s="22" t="s">
        <v>9</v>
      </c>
      <c r="E1571" s="20">
        <v>2</v>
      </c>
      <c r="F1571" s="17" t="s">
        <v>261</v>
      </c>
      <c r="G1571" s="17" t="s">
        <v>276</v>
      </c>
      <c r="H1571" s="17" t="s">
        <v>277</v>
      </c>
      <c r="I1571" s="17" t="s">
        <v>278</v>
      </c>
      <c r="J1571" s="27" t="s">
        <v>29</v>
      </c>
      <c r="K1571" s="29">
        <v>2578</v>
      </c>
      <c r="L1571" s="31">
        <v>828613.23000168009</v>
      </c>
      <c r="M1571" s="31">
        <v>211861.07999999696</v>
      </c>
      <c r="N1571" s="31">
        <v>165030.55999982799</v>
      </c>
      <c r="O1571" s="34">
        <f t="shared" si="212"/>
        <v>0.25568150776396292</v>
      </c>
      <c r="P1571" s="34">
        <f t="shared" si="213"/>
        <v>0.77895647468534746</v>
      </c>
      <c r="Q1571" s="34">
        <f t="shared" si="214"/>
        <v>0.74431849223603708</v>
      </c>
      <c r="R1571" s="46">
        <f t="shared" si="215"/>
        <v>64.01495733119782</v>
      </c>
    </row>
    <row r="1572" spans="2:18" ht="12.75" customHeight="1" x14ac:dyDescent="0.25">
      <c r="B1572" s="17" t="s">
        <v>0</v>
      </c>
      <c r="C1572" s="44" t="s">
        <v>196</v>
      </c>
      <c r="D1572" s="22" t="s">
        <v>2</v>
      </c>
      <c r="E1572" s="20">
        <v>1</v>
      </c>
      <c r="F1572" s="17" t="s">
        <v>261</v>
      </c>
      <c r="G1572" s="17" t="s">
        <v>276</v>
      </c>
      <c r="H1572" s="17" t="s">
        <v>277</v>
      </c>
      <c r="I1572" s="17" t="s">
        <v>278</v>
      </c>
      <c r="J1572" s="27" t="s">
        <v>197</v>
      </c>
      <c r="K1572" s="29">
        <v>219</v>
      </c>
      <c r="L1572" s="31">
        <v>488390.00000140001</v>
      </c>
      <c r="M1572" s="31">
        <v>196464.35000074998</v>
      </c>
      <c r="N1572" s="31">
        <v>156481.63000032998</v>
      </c>
      <c r="O1572" s="34">
        <f t="shared" si="212"/>
        <v>0.40226939536064782</v>
      </c>
      <c r="P1572" s="34">
        <f t="shared" si="213"/>
        <v>0.79648867593399331</v>
      </c>
      <c r="Q1572" s="34">
        <f t="shared" si="214"/>
        <v>0.59773060463935224</v>
      </c>
      <c r="R1572" s="46">
        <f t="shared" si="215"/>
        <v>714.52799086908669</v>
      </c>
    </row>
    <row r="1573" spans="2:18" ht="12.75" customHeight="1" x14ac:dyDescent="0.25">
      <c r="B1573" s="17" t="s">
        <v>0</v>
      </c>
      <c r="C1573" s="44" t="s">
        <v>219</v>
      </c>
      <c r="D1573" s="22" t="s">
        <v>9</v>
      </c>
      <c r="E1573" s="20">
        <v>2</v>
      </c>
      <c r="F1573" s="17" t="s">
        <v>261</v>
      </c>
      <c r="G1573" s="17" t="s">
        <v>276</v>
      </c>
      <c r="H1573" s="17" t="s">
        <v>277</v>
      </c>
      <c r="I1573" s="17" t="s">
        <v>278</v>
      </c>
      <c r="J1573" s="27" t="s">
        <v>220</v>
      </c>
      <c r="K1573" s="29">
        <v>526</v>
      </c>
      <c r="L1573" s="31">
        <v>514484.99999973999</v>
      </c>
      <c r="M1573" s="31">
        <v>195618.000000292</v>
      </c>
      <c r="N1573" s="31">
        <v>154345.06999958801</v>
      </c>
      <c r="O1573" s="34">
        <f t="shared" si="212"/>
        <v>0.38022099769748557</v>
      </c>
      <c r="P1573" s="34">
        <f t="shared" si="213"/>
        <v>0.78901261642260745</v>
      </c>
      <c r="Q1573" s="34">
        <f t="shared" si="214"/>
        <v>0.61977900230251448</v>
      </c>
      <c r="R1573" s="46">
        <f t="shared" si="215"/>
        <v>293.43169201442589</v>
      </c>
    </row>
    <row r="1574" spans="2:18" ht="12.75" customHeight="1" x14ac:dyDescent="0.25">
      <c r="B1574" s="17" t="s">
        <v>0</v>
      </c>
      <c r="C1574" s="44" t="s">
        <v>66</v>
      </c>
      <c r="D1574" s="22" t="s">
        <v>2</v>
      </c>
      <c r="E1574" s="20">
        <v>1</v>
      </c>
      <c r="F1574" s="17" t="s">
        <v>261</v>
      </c>
      <c r="G1574" s="17" t="s">
        <v>276</v>
      </c>
      <c r="H1574" s="17" t="s">
        <v>277</v>
      </c>
      <c r="I1574" s="17" t="s">
        <v>278</v>
      </c>
      <c r="J1574" s="27" t="s">
        <v>67</v>
      </c>
      <c r="K1574" s="29">
        <v>1957</v>
      </c>
      <c r="L1574" s="31">
        <v>893978.18999920716</v>
      </c>
      <c r="M1574" s="31">
        <v>179675.02999939103</v>
      </c>
      <c r="N1574" s="31">
        <v>131931.96999977302</v>
      </c>
      <c r="O1574" s="34">
        <f t="shared" si="212"/>
        <v>0.20098368395268165</v>
      </c>
      <c r="P1574" s="34">
        <f t="shared" si="213"/>
        <v>0.73428105174224922</v>
      </c>
      <c r="Q1574" s="34">
        <f t="shared" si="214"/>
        <v>0.79901631604731838</v>
      </c>
      <c r="R1574" s="46">
        <f t="shared" si="215"/>
        <v>67.415416453639764</v>
      </c>
    </row>
    <row r="1575" spans="2:18" ht="12.75" customHeight="1" x14ac:dyDescent="0.25">
      <c r="B1575" s="17" t="s">
        <v>0</v>
      </c>
      <c r="C1575" s="44" t="s">
        <v>22</v>
      </c>
      <c r="D1575" s="22" t="s">
        <v>2</v>
      </c>
      <c r="E1575" s="20">
        <v>1</v>
      </c>
      <c r="F1575" s="17" t="s">
        <v>261</v>
      </c>
      <c r="G1575" s="17" t="s">
        <v>276</v>
      </c>
      <c r="H1575" s="17" t="s">
        <v>277</v>
      </c>
      <c r="I1575" s="17" t="s">
        <v>278</v>
      </c>
      <c r="J1575" s="27" t="s">
        <v>23</v>
      </c>
      <c r="K1575" s="29">
        <v>217</v>
      </c>
      <c r="L1575" s="31">
        <v>915010.00000210002</v>
      </c>
      <c r="M1575" s="31">
        <v>153094.24000004004</v>
      </c>
      <c r="N1575" s="31">
        <v>122344.58000004</v>
      </c>
      <c r="O1575" s="34">
        <f t="shared" si="212"/>
        <v>0.16731428071790327</v>
      </c>
      <c r="P1575" s="34">
        <f t="shared" si="213"/>
        <v>0.79914554590693943</v>
      </c>
      <c r="Q1575" s="34">
        <f t="shared" si="214"/>
        <v>0.83268571928209667</v>
      </c>
      <c r="R1575" s="46">
        <f t="shared" si="215"/>
        <v>563.7999078342857</v>
      </c>
    </row>
    <row r="1576" spans="2:18" ht="12.75" customHeight="1" x14ac:dyDescent="0.25">
      <c r="B1576" s="17" t="s">
        <v>0</v>
      </c>
      <c r="C1576" s="44" t="s">
        <v>170</v>
      </c>
      <c r="D1576" s="22" t="s">
        <v>9</v>
      </c>
      <c r="E1576" s="20">
        <v>2</v>
      </c>
      <c r="F1576" s="17" t="s">
        <v>261</v>
      </c>
      <c r="G1576" s="17" t="s">
        <v>276</v>
      </c>
      <c r="H1576" s="17" t="s">
        <v>277</v>
      </c>
      <c r="I1576" s="17" t="s">
        <v>278</v>
      </c>
      <c r="J1576" s="27" t="s">
        <v>171</v>
      </c>
      <c r="K1576" s="29">
        <v>536</v>
      </c>
      <c r="L1576" s="31">
        <v>586887.05000025011</v>
      </c>
      <c r="M1576" s="31">
        <v>124990.47999952198</v>
      </c>
      <c r="N1576" s="31">
        <v>93361.719999761001</v>
      </c>
      <c r="O1576" s="34">
        <f t="shared" si="212"/>
        <v>0.21297195090515067</v>
      </c>
      <c r="P1576" s="34">
        <f t="shared" si="213"/>
        <v>0.74695064776227804</v>
      </c>
      <c r="Q1576" s="34">
        <f t="shared" si="214"/>
        <v>0.78702804909484936</v>
      </c>
      <c r="R1576" s="46">
        <f t="shared" si="215"/>
        <v>174.18231343238992</v>
      </c>
    </row>
    <row r="1577" spans="2:18" ht="12.75" customHeight="1" x14ac:dyDescent="0.25">
      <c r="B1577" s="17" t="s">
        <v>0</v>
      </c>
      <c r="C1577" s="44" t="s">
        <v>141</v>
      </c>
      <c r="D1577" s="22" t="s">
        <v>9</v>
      </c>
      <c r="E1577" s="20">
        <v>2</v>
      </c>
      <c r="F1577" s="17" t="s">
        <v>261</v>
      </c>
      <c r="G1577" s="17" t="s">
        <v>276</v>
      </c>
      <c r="H1577" s="17" t="s">
        <v>277</v>
      </c>
      <c r="I1577" s="17" t="s">
        <v>278</v>
      </c>
      <c r="J1577" s="27" t="s">
        <v>142</v>
      </c>
      <c r="K1577" s="29">
        <v>1589</v>
      </c>
      <c r="L1577" s="31">
        <v>220442.359999949</v>
      </c>
      <c r="M1577" s="31">
        <v>110600.170000839</v>
      </c>
      <c r="N1577" s="31">
        <v>85017.249999663996</v>
      </c>
      <c r="O1577" s="34">
        <f t="shared" si="212"/>
        <v>0.50171922492965781</v>
      </c>
      <c r="P1577" s="34">
        <f t="shared" si="213"/>
        <v>0.76869004811673491</v>
      </c>
      <c r="Q1577" s="34">
        <f t="shared" si="214"/>
        <v>0.49828077507034219</v>
      </c>
      <c r="R1577" s="46">
        <f t="shared" si="215"/>
        <v>53.503618627856511</v>
      </c>
    </row>
    <row r="1578" spans="2:18" ht="12.75" customHeight="1" x14ac:dyDescent="0.25">
      <c r="B1578" s="17" t="s">
        <v>0</v>
      </c>
      <c r="C1578" s="44" t="s">
        <v>110</v>
      </c>
      <c r="D1578" s="22" t="s">
        <v>9</v>
      </c>
      <c r="E1578" s="20">
        <v>2</v>
      </c>
      <c r="F1578" s="17" t="s">
        <v>261</v>
      </c>
      <c r="G1578" s="17" t="s">
        <v>276</v>
      </c>
      <c r="H1578" s="17" t="s">
        <v>277</v>
      </c>
      <c r="I1578" s="17" t="s">
        <v>278</v>
      </c>
      <c r="J1578" s="27" t="s">
        <v>111</v>
      </c>
      <c r="K1578" s="29">
        <v>644</v>
      </c>
      <c r="L1578" s="31">
        <v>355563.8</v>
      </c>
      <c r="M1578" s="31">
        <v>103195.55999945001</v>
      </c>
      <c r="N1578" s="31">
        <v>79539.159999894997</v>
      </c>
      <c r="O1578" s="34">
        <f t="shared" si="212"/>
        <v>0.29023078277217762</v>
      </c>
      <c r="P1578" s="34">
        <f t="shared" si="213"/>
        <v>0.77076145524399409</v>
      </c>
      <c r="Q1578" s="34">
        <f t="shared" si="214"/>
        <v>0.70976921722782238</v>
      </c>
      <c r="R1578" s="46">
        <f t="shared" si="215"/>
        <v>123.5080124221972</v>
      </c>
    </row>
    <row r="1579" spans="2:18" ht="12.75" customHeight="1" x14ac:dyDescent="0.25">
      <c r="B1579" s="17" t="s">
        <v>0</v>
      </c>
      <c r="C1579" s="44" t="s">
        <v>42</v>
      </c>
      <c r="D1579" s="22" t="s">
        <v>2</v>
      </c>
      <c r="E1579" s="20">
        <v>1</v>
      </c>
      <c r="F1579" s="17" t="s">
        <v>261</v>
      </c>
      <c r="G1579" s="17" t="s">
        <v>276</v>
      </c>
      <c r="H1579" s="17" t="s">
        <v>277</v>
      </c>
      <c r="I1579" s="17" t="s">
        <v>278</v>
      </c>
      <c r="J1579" s="27" t="s">
        <v>43</v>
      </c>
      <c r="K1579" s="29">
        <v>168</v>
      </c>
      <c r="L1579" s="31">
        <v>1744018.9999994</v>
      </c>
      <c r="M1579" s="31">
        <v>88819.319999970001</v>
      </c>
      <c r="N1579" s="31">
        <v>70579.440000100003</v>
      </c>
      <c r="O1579" s="34">
        <f t="shared" si="212"/>
        <v>5.0927954339947304E-2</v>
      </c>
      <c r="P1579" s="34">
        <f t="shared" si="213"/>
        <v>0.7946406254869306</v>
      </c>
      <c r="Q1579" s="34">
        <f t="shared" si="214"/>
        <v>0.94907204566005265</v>
      </c>
      <c r="R1579" s="46">
        <f t="shared" si="215"/>
        <v>420.11571428630953</v>
      </c>
    </row>
    <row r="1580" spans="2:18" ht="12.75" customHeight="1" x14ac:dyDescent="0.25">
      <c r="B1580" s="17" t="s">
        <v>0</v>
      </c>
      <c r="C1580" s="44" t="s">
        <v>170</v>
      </c>
      <c r="D1580" s="22" t="s">
        <v>2</v>
      </c>
      <c r="E1580" s="20">
        <v>1</v>
      </c>
      <c r="F1580" s="17" t="s">
        <v>261</v>
      </c>
      <c r="G1580" s="17" t="s">
        <v>276</v>
      </c>
      <c r="H1580" s="17" t="s">
        <v>277</v>
      </c>
      <c r="I1580" s="17" t="s">
        <v>278</v>
      </c>
      <c r="J1580" s="27" t="s">
        <v>171</v>
      </c>
      <c r="K1580" s="29">
        <v>171</v>
      </c>
      <c r="L1580" s="31">
        <v>432931.73999991996</v>
      </c>
      <c r="M1580" s="31">
        <v>83408.80999863999</v>
      </c>
      <c r="N1580" s="31">
        <v>66656.919999858001</v>
      </c>
      <c r="O1580" s="34">
        <f t="shared" si="212"/>
        <v>0.19266041801105968</v>
      </c>
      <c r="P1580" s="34">
        <f t="shared" si="213"/>
        <v>0.79915922551760254</v>
      </c>
      <c r="Q1580" s="34">
        <f t="shared" si="214"/>
        <v>0.80733958198894029</v>
      </c>
      <c r="R1580" s="46">
        <f t="shared" si="215"/>
        <v>389.80654970677193</v>
      </c>
    </row>
    <row r="1581" spans="2:18" ht="12.75" customHeight="1" x14ac:dyDescent="0.25">
      <c r="B1581" s="17" t="s">
        <v>0</v>
      </c>
      <c r="C1581" s="44" t="s">
        <v>135</v>
      </c>
      <c r="D1581" s="22" t="s">
        <v>2</v>
      </c>
      <c r="E1581" s="20">
        <v>1</v>
      </c>
      <c r="F1581" s="17" t="s">
        <v>261</v>
      </c>
      <c r="G1581" s="17" t="s">
        <v>276</v>
      </c>
      <c r="H1581" s="17" t="s">
        <v>277</v>
      </c>
      <c r="I1581" s="17" t="s">
        <v>278</v>
      </c>
      <c r="J1581" s="27" t="s">
        <v>136</v>
      </c>
      <c r="K1581" s="29">
        <v>648</v>
      </c>
      <c r="L1581" s="31">
        <v>4760801.1699977005</v>
      </c>
      <c r="M1581" s="31">
        <v>60276.74999967101</v>
      </c>
      <c r="N1581" s="31">
        <v>48025.309999500008</v>
      </c>
      <c r="O1581" s="34">
        <f t="shared" si="212"/>
        <v>1.2661051753123336E-2</v>
      </c>
      <c r="P1581" s="34">
        <f t="shared" si="213"/>
        <v>0.79674683853661865</v>
      </c>
      <c r="Q1581" s="34">
        <f t="shared" si="214"/>
        <v>0.98733894824687662</v>
      </c>
      <c r="R1581" s="46">
        <f t="shared" si="215"/>
        <v>74.113132715277786</v>
      </c>
    </row>
    <row r="1582" spans="2:18" ht="12.75" customHeight="1" x14ac:dyDescent="0.25">
      <c r="B1582" s="17" t="s">
        <v>0</v>
      </c>
      <c r="C1582" s="44" t="s">
        <v>110</v>
      </c>
      <c r="D1582" s="22" t="s">
        <v>2</v>
      </c>
      <c r="E1582" s="20">
        <v>1</v>
      </c>
      <c r="F1582" s="17" t="s">
        <v>261</v>
      </c>
      <c r="G1582" s="17" t="s">
        <v>276</v>
      </c>
      <c r="H1582" s="17" t="s">
        <v>277</v>
      </c>
      <c r="I1582" s="17" t="s">
        <v>278</v>
      </c>
      <c r="J1582" s="27" t="s">
        <v>111</v>
      </c>
      <c r="K1582" s="29">
        <v>160</v>
      </c>
      <c r="L1582" s="31">
        <v>390032.5500011</v>
      </c>
      <c r="M1582" s="31">
        <v>53289.360000039997</v>
      </c>
      <c r="N1582" s="31">
        <v>42448.509999789996</v>
      </c>
      <c r="O1582" s="34">
        <f t="shared" si="212"/>
        <v>0.13662798143357446</v>
      </c>
      <c r="P1582" s="34">
        <f t="shared" si="213"/>
        <v>0.79656633143573385</v>
      </c>
      <c r="Q1582" s="34">
        <f t="shared" si="214"/>
        <v>0.86337201856642554</v>
      </c>
      <c r="R1582" s="46">
        <f t="shared" si="215"/>
        <v>265.30318749868746</v>
      </c>
    </row>
    <row r="1583" spans="2:18" ht="12.75" customHeight="1" x14ac:dyDescent="0.25">
      <c r="B1583" s="17" t="s">
        <v>0</v>
      </c>
      <c r="C1583" s="44" t="s">
        <v>26</v>
      </c>
      <c r="D1583" s="22" t="s">
        <v>2</v>
      </c>
      <c r="E1583" s="20">
        <v>1</v>
      </c>
      <c r="F1583" s="17" t="s">
        <v>261</v>
      </c>
      <c r="G1583" s="17" t="s">
        <v>276</v>
      </c>
      <c r="H1583" s="17" t="s">
        <v>277</v>
      </c>
      <c r="I1583" s="17" t="s">
        <v>278</v>
      </c>
      <c r="J1583" s="27" t="s">
        <v>27</v>
      </c>
      <c r="K1583" s="29">
        <v>442</v>
      </c>
      <c r="L1583" s="31">
        <v>306349.99999927997</v>
      </c>
      <c r="M1583" s="31">
        <v>53099.149999697998</v>
      </c>
      <c r="N1583" s="31">
        <v>42206.400000072994</v>
      </c>
      <c r="O1583" s="34">
        <f t="shared" si="212"/>
        <v>0.17332838256837865</v>
      </c>
      <c r="P1583" s="34">
        <f t="shared" si="213"/>
        <v>0.7948601813835634</v>
      </c>
      <c r="Q1583" s="34">
        <f t="shared" si="214"/>
        <v>0.82667161743162132</v>
      </c>
      <c r="R1583" s="46">
        <f t="shared" si="215"/>
        <v>95.489592760346142</v>
      </c>
    </row>
    <row r="1584" spans="2:18" ht="12.75" customHeight="1" x14ac:dyDescent="0.25">
      <c r="B1584" s="17" t="s">
        <v>0</v>
      </c>
      <c r="C1584" s="44" t="s">
        <v>36</v>
      </c>
      <c r="D1584" s="22" t="s">
        <v>9</v>
      </c>
      <c r="E1584" s="20">
        <v>2</v>
      </c>
      <c r="F1584" s="17" t="s">
        <v>261</v>
      </c>
      <c r="G1584" s="17" t="s">
        <v>276</v>
      </c>
      <c r="H1584" s="17" t="s">
        <v>277</v>
      </c>
      <c r="I1584" s="17" t="s">
        <v>278</v>
      </c>
      <c r="J1584" s="27" t="s">
        <v>37</v>
      </c>
      <c r="K1584" s="29">
        <v>575</v>
      </c>
      <c r="L1584" s="31">
        <v>115752.61999994</v>
      </c>
      <c r="M1584" s="31">
        <v>52159.089999901997</v>
      </c>
      <c r="N1584" s="31">
        <v>40101.649999770998</v>
      </c>
      <c r="O1584" s="34">
        <f t="shared" si="212"/>
        <v>0.4506082886065908</v>
      </c>
      <c r="P1584" s="34">
        <f t="shared" si="213"/>
        <v>0.76883339030351849</v>
      </c>
      <c r="Q1584" s="34">
        <f t="shared" si="214"/>
        <v>0.54939171139340925</v>
      </c>
      <c r="R1584" s="46">
        <f t="shared" si="215"/>
        <v>69.741999999601731</v>
      </c>
    </row>
    <row r="1585" spans="2:18" ht="12.75" customHeight="1" x14ac:dyDescent="0.25">
      <c r="B1585" s="17" t="s">
        <v>0</v>
      </c>
      <c r="C1585" s="44" t="s">
        <v>1</v>
      </c>
      <c r="D1585" s="22" t="s">
        <v>9</v>
      </c>
      <c r="E1585" s="20">
        <v>2</v>
      </c>
      <c r="F1585" s="17" t="s">
        <v>261</v>
      </c>
      <c r="G1585" s="17" t="s">
        <v>276</v>
      </c>
      <c r="H1585" s="17" t="s">
        <v>277</v>
      </c>
      <c r="I1585" s="17" t="s">
        <v>278</v>
      </c>
      <c r="J1585" s="27" t="s">
        <v>6</v>
      </c>
      <c r="K1585" s="29">
        <v>290</v>
      </c>
      <c r="L1585" s="31">
        <v>134823.99999988</v>
      </c>
      <c r="M1585" s="31">
        <v>49074.59000009</v>
      </c>
      <c r="N1585" s="31">
        <v>38775.729999992</v>
      </c>
      <c r="O1585" s="34">
        <f t="shared" si="212"/>
        <v>0.36399001661524416</v>
      </c>
      <c r="P1585" s="34">
        <f t="shared" si="213"/>
        <v>0.79013864405022816</v>
      </c>
      <c r="Q1585" s="34">
        <f t="shared" si="214"/>
        <v>0.63600998338475589</v>
      </c>
      <c r="R1585" s="46">
        <f t="shared" si="215"/>
        <v>133.70941379307587</v>
      </c>
    </row>
    <row r="1586" spans="2:18" ht="12.75" customHeight="1" x14ac:dyDescent="0.25">
      <c r="B1586" s="17" t="s">
        <v>0</v>
      </c>
      <c r="C1586" s="44" t="s">
        <v>96</v>
      </c>
      <c r="D1586" s="22" t="s">
        <v>9</v>
      </c>
      <c r="E1586" s="20">
        <v>2</v>
      </c>
      <c r="F1586" s="17" t="s">
        <v>261</v>
      </c>
      <c r="G1586" s="17" t="s">
        <v>276</v>
      </c>
      <c r="H1586" s="17" t="s">
        <v>277</v>
      </c>
      <c r="I1586" s="17" t="s">
        <v>278</v>
      </c>
      <c r="J1586" s="27" t="s">
        <v>97</v>
      </c>
      <c r="K1586" s="29">
        <v>441</v>
      </c>
      <c r="L1586" s="31">
        <v>123581.60999893</v>
      </c>
      <c r="M1586" s="31">
        <v>40122.389999375002</v>
      </c>
      <c r="N1586" s="31">
        <v>30505.680000079999</v>
      </c>
      <c r="O1586" s="34">
        <f t="shared" si="212"/>
        <v>0.32466311128105868</v>
      </c>
      <c r="P1586" s="34">
        <f t="shared" si="213"/>
        <v>0.76031562428248156</v>
      </c>
      <c r="Q1586" s="34">
        <f t="shared" si="214"/>
        <v>0.67533688871894126</v>
      </c>
      <c r="R1586" s="46">
        <f t="shared" si="215"/>
        <v>69.173877551201812</v>
      </c>
    </row>
    <row r="1587" spans="2:18" ht="12.75" customHeight="1" x14ac:dyDescent="0.25">
      <c r="B1587" s="17" t="s">
        <v>0</v>
      </c>
      <c r="C1587" s="44" t="s">
        <v>184</v>
      </c>
      <c r="D1587" s="22" t="s">
        <v>9</v>
      </c>
      <c r="E1587" s="20">
        <v>2</v>
      </c>
      <c r="F1587" s="17" t="s">
        <v>261</v>
      </c>
      <c r="G1587" s="17" t="s">
        <v>276</v>
      </c>
      <c r="H1587" s="17" t="s">
        <v>277</v>
      </c>
      <c r="I1587" s="17" t="s">
        <v>278</v>
      </c>
      <c r="J1587" s="27" t="s">
        <v>185</v>
      </c>
      <c r="K1587" s="29">
        <v>367</v>
      </c>
      <c r="L1587" s="31">
        <v>70462.14000005</v>
      </c>
      <c r="M1587" s="31">
        <v>28539.129999862002</v>
      </c>
      <c r="N1587" s="31">
        <v>22528.960000108003</v>
      </c>
      <c r="O1587" s="34">
        <f t="shared" si="212"/>
        <v>0.40502786318783035</v>
      </c>
      <c r="P1587" s="34">
        <f t="shared" si="213"/>
        <v>0.78940598400220818</v>
      </c>
      <c r="Q1587" s="34">
        <f t="shared" si="214"/>
        <v>0.59497213681216965</v>
      </c>
      <c r="R1587" s="46">
        <f t="shared" si="215"/>
        <v>61.386811989395106</v>
      </c>
    </row>
    <row r="1588" spans="2:18" ht="12.75" customHeight="1" x14ac:dyDescent="0.25">
      <c r="B1588" s="17" t="s">
        <v>0</v>
      </c>
      <c r="C1588" s="44" t="s">
        <v>60</v>
      </c>
      <c r="D1588" s="22" t="s">
        <v>2</v>
      </c>
      <c r="E1588" s="20">
        <v>1</v>
      </c>
      <c r="F1588" s="17" t="s">
        <v>261</v>
      </c>
      <c r="G1588" s="17" t="s">
        <v>276</v>
      </c>
      <c r="H1588" s="17" t="s">
        <v>277</v>
      </c>
      <c r="I1588" s="17" t="s">
        <v>278</v>
      </c>
      <c r="J1588" s="27" t="s">
        <v>61</v>
      </c>
      <c r="K1588" s="29">
        <v>46</v>
      </c>
      <c r="L1588" s="31">
        <v>114645.99999999</v>
      </c>
      <c r="M1588" s="31">
        <v>25944.359999853998</v>
      </c>
      <c r="N1588" s="31">
        <v>20634.849999939001</v>
      </c>
      <c r="O1588" s="34">
        <f t="shared" si="212"/>
        <v>0.22629974006817735</v>
      </c>
      <c r="P1588" s="34">
        <f t="shared" si="213"/>
        <v>0.79535012619525491</v>
      </c>
      <c r="Q1588" s="34">
        <f t="shared" si="214"/>
        <v>0.77370025993182268</v>
      </c>
      <c r="R1588" s="46">
        <f t="shared" si="215"/>
        <v>448.58369565084786</v>
      </c>
    </row>
    <row r="1589" spans="2:18" ht="12.75" customHeight="1" x14ac:dyDescent="0.25">
      <c r="B1589" s="17" t="s">
        <v>0</v>
      </c>
      <c r="C1589" s="44" t="s">
        <v>82</v>
      </c>
      <c r="D1589" s="22" t="s">
        <v>9</v>
      </c>
      <c r="E1589" s="20">
        <v>2</v>
      </c>
      <c r="F1589" s="17" t="s">
        <v>261</v>
      </c>
      <c r="G1589" s="17" t="s">
        <v>276</v>
      </c>
      <c r="H1589" s="17" t="s">
        <v>277</v>
      </c>
      <c r="I1589" s="17" t="s">
        <v>278</v>
      </c>
      <c r="J1589" s="27" t="s">
        <v>83</v>
      </c>
      <c r="K1589" s="29">
        <v>444</v>
      </c>
      <c r="L1589" s="31">
        <v>61681.499999990003</v>
      </c>
      <c r="M1589" s="31">
        <v>24088.449999959001</v>
      </c>
      <c r="N1589" s="31">
        <v>19091.110000009998</v>
      </c>
      <c r="O1589" s="34">
        <f t="shared" si="212"/>
        <v>0.39052957531776794</v>
      </c>
      <c r="P1589" s="34">
        <f t="shared" si="213"/>
        <v>0.79254206891861001</v>
      </c>
      <c r="Q1589" s="34">
        <f t="shared" si="214"/>
        <v>0.609470424682232</v>
      </c>
      <c r="R1589" s="46">
        <f t="shared" si="215"/>
        <v>42.997995495518012</v>
      </c>
    </row>
    <row r="1590" spans="2:18" ht="12.75" customHeight="1" x14ac:dyDescent="0.25">
      <c r="B1590" s="17" t="s">
        <v>0</v>
      </c>
      <c r="C1590" s="44" t="s">
        <v>34</v>
      </c>
      <c r="D1590" s="22" t="s">
        <v>2</v>
      </c>
      <c r="E1590" s="20">
        <v>1</v>
      </c>
      <c r="F1590" s="17" t="s">
        <v>261</v>
      </c>
      <c r="G1590" s="17" t="s">
        <v>276</v>
      </c>
      <c r="H1590" s="17" t="s">
        <v>277</v>
      </c>
      <c r="I1590" s="17" t="s">
        <v>278</v>
      </c>
      <c r="J1590" s="27" t="s">
        <v>35</v>
      </c>
      <c r="K1590" s="29">
        <v>89</v>
      </c>
      <c r="L1590" s="31">
        <v>52687.999999909996</v>
      </c>
      <c r="M1590" s="31">
        <v>22200.640000079999</v>
      </c>
      <c r="N1590" s="31">
        <v>16963.73999989</v>
      </c>
      <c r="O1590" s="34">
        <f t="shared" si="212"/>
        <v>0.4213604615874188</v>
      </c>
      <c r="P1590" s="34">
        <f t="shared" si="213"/>
        <v>0.76411040401668029</v>
      </c>
      <c r="Q1590" s="34">
        <f t="shared" si="214"/>
        <v>0.5786395384125812</v>
      </c>
      <c r="R1590" s="46">
        <f t="shared" si="215"/>
        <v>190.60382022348315</v>
      </c>
    </row>
    <row r="1591" spans="2:18" ht="12.75" customHeight="1" x14ac:dyDescent="0.25">
      <c r="B1591" s="17" t="s">
        <v>0</v>
      </c>
      <c r="C1591" s="44" t="s">
        <v>191</v>
      </c>
      <c r="D1591" s="22" t="s">
        <v>9</v>
      </c>
      <c r="E1591" s="20">
        <v>2</v>
      </c>
      <c r="F1591" s="17" t="s">
        <v>261</v>
      </c>
      <c r="G1591" s="17" t="s">
        <v>276</v>
      </c>
      <c r="H1591" s="17" t="s">
        <v>277</v>
      </c>
      <c r="I1591" s="17" t="s">
        <v>278</v>
      </c>
      <c r="J1591" s="27" t="s">
        <v>192</v>
      </c>
      <c r="K1591" s="29">
        <v>250</v>
      </c>
      <c r="L1591" s="31">
        <v>65825.000000180007</v>
      </c>
      <c r="M1591" s="31">
        <v>20254.069999881001</v>
      </c>
      <c r="N1591" s="31">
        <v>15954.550000070001</v>
      </c>
      <c r="O1591" s="34">
        <f t="shared" si="212"/>
        <v>0.30769570831485932</v>
      </c>
      <c r="P1591" s="34">
        <f t="shared" si="213"/>
        <v>0.78772069021997748</v>
      </c>
      <c r="Q1591" s="34">
        <f t="shared" si="214"/>
        <v>0.69230429168514074</v>
      </c>
      <c r="R1591" s="46">
        <f t="shared" si="215"/>
        <v>63.818200000280008</v>
      </c>
    </row>
    <row r="1592" spans="2:18" ht="12.75" customHeight="1" x14ac:dyDescent="0.25">
      <c r="B1592" s="17" t="s">
        <v>0</v>
      </c>
      <c r="C1592" s="44" t="s">
        <v>30</v>
      </c>
      <c r="D1592" s="22" t="s">
        <v>2</v>
      </c>
      <c r="E1592" s="20">
        <v>1</v>
      </c>
      <c r="F1592" s="17" t="s">
        <v>261</v>
      </c>
      <c r="G1592" s="17" t="s">
        <v>276</v>
      </c>
      <c r="H1592" s="17" t="s">
        <v>277</v>
      </c>
      <c r="I1592" s="17" t="s">
        <v>278</v>
      </c>
      <c r="J1592" s="27" t="s">
        <v>31</v>
      </c>
      <c r="K1592" s="29">
        <v>225</v>
      </c>
      <c r="L1592" s="31">
        <v>167543.99999866</v>
      </c>
      <c r="M1592" s="31">
        <v>17494.770000132001</v>
      </c>
      <c r="N1592" s="31">
        <v>13340.690000000999</v>
      </c>
      <c r="O1592" s="34">
        <f t="shared" si="212"/>
        <v>0.10441895860354249</v>
      </c>
      <c r="P1592" s="34">
        <f t="shared" si="213"/>
        <v>0.7625530372734447</v>
      </c>
      <c r="Q1592" s="34">
        <f t="shared" si="214"/>
        <v>0.89558104139645756</v>
      </c>
      <c r="R1592" s="46">
        <f t="shared" si="215"/>
        <v>59.291955555559994</v>
      </c>
    </row>
    <row r="1593" spans="2:18" ht="12.75" customHeight="1" x14ac:dyDescent="0.25">
      <c r="B1593" s="17" t="s">
        <v>0</v>
      </c>
      <c r="C1593" s="44" t="s">
        <v>182</v>
      </c>
      <c r="D1593" s="22" t="s">
        <v>2</v>
      </c>
      <c r="E1593" s="20">
        <v>1</v>
      </c>
      <c r="F1593" s="17" t="s">
        <v>261</v>
      </c>
      <c r="G1593" s="17" t="s">
        <v>276</v>
      </c>
      <c r="H1593" s="17" t="s">
        <v>277</v>
      </c>
      <c r="I1593" s="17" t="s">
        <v>278</v>
      </c>
      <c r="J1593" s="27" t="s">
        <v>183</v>
      </c>
      <c r="K1593" s="29">
        <v>55</v>
      </c>
      <c r="L1593" s="31">
        <v>47080</v>
      </c>
      <c r="M1593" s="31">
        <v>15047.70999996</v>
      </c>
      <c r="N1593" s="31">
        <v>12044.46999987</v>
      </c>
      <c r="O1593" s="34">
        <f t="shared" si="212"/>
        <v>0.31962000849532707</v>
      </c>
      <c r="P1593" s="34">
        <f t="shared" si="213"/>
        <v>0.80041880125959475</v>
      </c>
      <c r="Q1593" s="34">
        <f t="shared" si="214"/>
        <v>0.68037999150467288</v>
      </c>
      <c r="R1593" s="46">
        <f t="shared" si="215"/>
        <v>218.990363634</v>
      </c>
    </row>
    <row r="1594" spans="2:18" ht="12.75" customHeight="1" x14ac:dyDescent="0.25">
      <c r="B1594" s="17" t="s">
        <v>0</v>
      </c>
      <c r="C1594" s="44" t="s">
        <v>28</v>
      </c>
      <c r="D1594" s="22" t="s">
        <v>2</v>
      </c>
      <c r="E1594" s="20">
        <v>1</v>
      </c>
      <c r="F1594" s="17" t="s">
        <v>261</v>
      </c>
      <c r="G1594" s="17" t="s">
        <v>276</v>
      </c>
      <c r="H1594" s="17" t="s">
        <v>277</v>
      </c>
      <c r="I1594" s="17" t="s">
        <v>278</v>
      </c>
      <c r="J1594" s="27" t="s">
        <v>29</v>
      </c>
      <c r="K1594" s="29">
        <v>119</v>
      </c>
      <c r="L1594" s="31">
        <v>151338.99999981999</v>
      </c>
      <c r="M1594" s="31">
        <v>14714.780000091001</v>
      </c>
      <c r="N1594" s="31">
        <v>11728.729999851999</v>
      </c>
      <c r="O1594" s="34">
        <f t="shared" ref="O1594:O1609" si="216">IFERROR(M1594/L1594,0)</f>
        <v>9.7230588282653532E-2</v>
      </c>
      <c r="P1594" s="34">
        <f t="shared" ref="P1594:P1609" si="217">IFERROR(N1594/M1594,0)</f>
        <v>0.79707137991729848</v>
      </c>
      <c r="Q1594" s="34">
        <f t="shared" ref="Q1594:Q1609" si="218">IFERROR(1-(M1594/L1594),0)</f>
        <v>0.90276941171734648</v>
      </c>
      <c r="R1594" s="46">
        <f t="shared" ref="R1594:R1609" si="219">IFERROR(N1594/K1594,0)</f>
        <v>98.560756301277308</v>
      </c>
    </row>
    <row r="1595" spans="2:18" ht="12.75" customHeight="1" x14ac:dyDescent="0.25">
      <c r="B1595" s="17" t="s">
        <v>0</v>
      </c>
      <c r="C1595" s="44" t="s">
        <v>64</v>
      </c>
      <c r="D1595" s="22" t="s">
        <v>2</v>
      </c>
      <c r="E1595" s="20">
        <v>1</v>
      </c>
      <c r="F1595" s="17" t="s">
        <v>261</v>
      </c>
      <c r="G1595" s="17" t="s">
        <v>276</v>
      </c>
      <c r="H1595" s="17" t="s">
        <v>277</v>
      </c>
      <c r="I1595" s="17" t="s">
        <v>278</v>
      </c>
      <c r="J1595" s="27" t="s">
        <v>65</v>
      </c>
      <c r="K1595" s="29">
        <v>45</v>
      </c>
      <c r="L1595" s="31">
        <v>125100</v>
      </c>
      <c r="M1595" s="31">
        <v>11162.019999960001</v>
      </c>
      <c r="N1595" s="31">
        <v>8909.3399998799996</v>
      </c>
      <c r="O1595" s="34">
        <f t="shared" si="216"/>
        <v>8.9224780175539573E-2</v>
      </c>
      <c r="P1595" s="34">
        <f t="shared" si="217"/>
        <v>0.79818348291007601</v>
      </c>
      <c r="Q1595" s="34">
        <f t="shared" si="218"/>
        <v>0.91077521982446041</v>
      </c>
      <c r="R1595" s="46">
        <f t="shared" si="219"/>
        <v>197.98533333066666</v>
      </c>
    </row>
    <row r="1596" spans="2:18" ht="12.75" customHeight="1" x14ac:dyDescent="0.25">
      <c r="B1596" s="17" t="s">
        <v>0</v>
      </c>
      <c r="C1596" s="44" t="s">
        <v>236</v>
      </c>
      <c r="D1596" s="22" t="s">
        <v>9</v>
      </c>
      <c r="E1596" s="20">
        <v>2</v>
      </c>
      <c r="F1596" s="17" t="s">
        <v>261</v>
      </c>
      <c r="G1596" s="17" t="s">
        <v>276</v>
      </c>
      <c r="H1596" s="17" t="s">
        <v>277</v>
      </c>
      <c r="I1596" s="17" t="s">
        <v>278</v>
      </c>
      <c r="J1596" s="27" t="s">
        <v>237</v>
      </c>
      <c r="K1596" s="29">
        <v>84</v>
      </c>
      <c r="L1596" s="31">
        <v>36132</v>
      </c>
      <c r="M1596" s="31">
        <v>8409.4199999199991</v>
      </c>
      <c r="N1596" s="31">
        <v>6719.4300000120002</v>
      </c>
      <c r="O1596" s="34">
        <f t="shared" si="216"/>
        <v>0.23274161407948629</v>
      </c>
      <c r="P1596" s="34">
        <f t="shared" si="217"/>
        <v>0.79903608097537326</v>
      </c>
      <c r="Q1596" s="34">
        <f t="shared" si="218"/>
        <v>0.76725838592051376</v>
      </c>
      <c r="R1596" s="46">
        <f t="shared" si="219"/>
        <v>79.99321428585715</v>
      </c>
    </row>
    <row r="1597" spans="2:18" ht="12.75" customHeight="1" x14ac:dyDescent="0.25">
      <c r="B1597" s="17" t="s">
        <v>0</v>
      </c>
      <c r="C1597" s="44" t="s">
        <v>96</v>
      </c>
      <c r="D1597" s="22" t="s">
        <v>2</v>
      </c>
      <c r="E1597" s="20">
        <v>1</v>
      </c>
      <c r="F1597" s="17" t="s">
        <v>261</v>
      </c>
      <c r="G1597" s="17" t="s">
        <v>276</v>
      </c>
      <c r="H1597" s="17" t="s">
        <v>277</v>
      </c>
      <c r="I1597" s="17" t="s">
        <v>278</v>
      </c>
      <c r="J1597" s="27" t="s">
        <v>97</v>
      </c>
      <c r="K1597" s="29">
        <v>41</v>
      </c>
      <c r="L1597" s="31">
        <v>12300</v>
      </c>
      <c r="M1597" s="31">
        <v>8046.6699998900003</v>
      </c>
      <c r="N1597" s="31">
        <v>6418.6599999099999</v>
      </c>
      <c r="O1597" s="34">
        <f t="shared" si="216"/>
        <v>0.65420081299918698</v>
      </c>
      <c r="P1597" s="34">
        <f t="shared" si="217"/>
        <v>0.79767903990069733</v>
      </c>
      <c r="Q1597" s="34">
        <f t="shared" si="218"/>
        <v>0.34579918700081302</v>
      </c>
      <c r="R1597" s="46">
        <f t="shared" si="219"/>
        <v>156.55268292463415</v>
      </c>
    </row>
    <row r="1598" spans="2:18" ht="12.75" customHeight="1" x14ac:dyDescent="0.25">
      <c r="B1598" s="17" t="s">
        <v>0</v>
      </c>
      <c r="C1598" s="44" t="s">
        <v>22</v>
      </c>
      <c r="D1598" s="22" t="s">
        <v>9</v>
      </c>
      <c r="E1598" s="20">
        <v>2</v>
      </c>
      <c r="F1598" s="17" t="s">
        <v>261</v>
      </c>
      <c r="G1598" s="17" t="s">
        <v>276</v>
      </c>
      <c r="H1598" s="17" t="s">
        <v>277</v>
      </c>
      <c r="I1598" s="17" t="s">
        <v>278</v>
      </c>
      <c r="J1598" s="27" t="s">
        <v>23</v>
      </c>
      <c r="K1598" s="29">
        <v>83</v>
      </c>
      <c r="L1598" s="31">
        <v>15181.99999996</v>
      </c>
      <c r="M1598" s="31">
        <v>5887.0600000100003</v>
      </c>
      <c r="N1598" s="31">
        <v>4542.309999991</v>
      </c>
      <c r="O1598" s="34">
        <f t="shared" si="216"/>
        <v>0.38776577526185685</v>
      </c>
      <c r="P1598" s="34">
        <f t="shared" si="217"/>
        <v>0.77157528545373821</v>
      </c>
      <c r="Q1598" s="34">
        <f t="shared" si="218"/>
        <v>0.61223422473814315</v>
      </c>
      <c r="R1598" s="46">
        <f t="shared" si="219"/>
        <v>54.726626505915661</v>
      </c>
    </row>
    <row r="1599" spans="2:18" ht="12.75" customHeight="1" x14ac:dyDescent="0.25">
      <c r="B1599" s="17" t="s">
        <v>0</v>
      </c>
      <c r="C1599" s="44" t="s">
        <v>94</v>
      </c>
      <c r="D1599" s="22" t="s">
        <v>2</v>
      </c>
      <c r="E1599" s="20">
        <v>1</v>
      </c>
      <c r="F1599" s="17" t="s">
        <v>261</v>
      </c>
      <c r="G1599" s="17" t="s">
        <v>276</v>
      </c>
      <c r="H1599" s="17" t="s">
        <v>277</v>
      </c>
      <c r="I1599" s="17" t="s">
        <v>278</v>
      </c>
      <c r="J1599" s="27" t="s">
        <v>95</v>
      </c>
      <c r="K1599" s="29">
        <v>103</v>
      </c>
      <c r="L1599" s="31">
        <v>69176.999999499996</v>
      </c>
      <c r="M1599" s="31">
        <v>5869.6300000179999</v>
      </c>
      <c r="N1599" s="31">
        <v>4266.570000013</v>
      </c>
      <c r="O1599" s="34">
        <f t="shared" si="216"/>
        <v>8.4849444180297287E-2</v>
      </c>
      <c r="P1599" s="34">
        <f t="shared" si="217"/>
        <v>0.72688908840930622</v>
      </c>
      <c r="Q1599" s="34">
        <f t="shared" si="218"/>
        <v>0.91515055581970273</v>
      </c>
      <c r="R1599" s="46">
        <f t="shared" si="219"/>
        <v>41.423009708864079</v>
      </c>
    </row>
    <row r="1600" spans="2:18" ht="12.75" customHeight="1" x14ac:dyDescent="0.25">
      <c r="B1600" s="17" t="s">
        <v>0</v>
      </c>
      <c r="C1600" s="44" t="s">
        <v>135</v>
      </c>
      <c r="D1600" s="22" t="s">
        <v>9</v>
      </c>
      <c r="E1600" s="20">
        <v>2</v>
      </c>
      <c r="F1600" s="17" t="s">
        <v>261</v>
      </c>
      <c r="G1600" s="17" t="s">
        <v>276</v>
      </c>
      <c r="H1600" s="17" t="s">
        <v>277</v>
      </c>
      <c r="I1600" s="17" t="s">
        <v>278</v>
      </c>
      <c r="J1600" s="27" t="s">
        <v>136</v>
      </c>
      <c r="K1600" s="29">
        <v>81</v>
      </c>
      <c r="L1600" s="31">
        <v>20751.99999987</v>
      </c>
      <c r="M1600" s="31">
        <v>5159.2799999879999</v>
      </c>
      <c r="N1600" s="31">
        <v>3934.9199999880002</v>
      </c>
      <c r="O1600" s="34">
        <f t="shared" si="216"/>
        <v>0.24861603700946028</v>
      </c>
      <c r="P1600" s="34">
        <f t="shared" si="217"/>
        <v>0.76268781690413245</v>
      </c>
      <c r="Q1600" s="34">
        <f t="shared" si="218"/>
        <v>0.75138396299053967</v>
      </c>
      <c r="R1600" s="46">
        <f t="shared" si="219"/>
        <v>48.579259259111112</v>
      </c>
    </row>
    <row r="1601" spans="2:18" ht="12.75" customHeight="1" x14ac:dyDescent="0.25">
      <c r="B1601" s="17" t="s">
        <v>0</v>
      </c>
      <c r="C1601" s="44" t="s">
        <v>26</v>
      </c>
      <c r="D1601" s="22" t="s">
        <v>9</v>
      </c>
      <c r="E1601" s="20">
        <v>2</v>
      </c>
      <c r="F1601" s="17" t="s">
        <v>261</v>
      </c>
      <c r="G1601" s="17" t="s">
        <v>276</v>
      </c>
      <c r="H1601" s="17" t="s">
        <v>277</v>
      </c>
      <c r="I1601" s="17" t="s">
        <v>278</v>
      </c>
      <c r="J1601" s="27" t="s">
        <v>27</v>
      </c>
      <c r="K1601" s="29">
        <v>64</v>
      </c>
      <c r="L1601" s="31">
        <v>44223.620000200004</v>
      </c>
      <c r="M1601" s="31">
        <v>4556.4500000480002</v>
      </c>
      <c r="N1601" s="31">
        <v>3531.8500000579998</v>
      </c>
      <c r="O1601" s="34">
        <f t="shared" si="216"/>
        <v>0.10303204486714099</v>
      </c>
      <c r="P1601" s="34">
        <f t="shared" si="217"/>
        <v>0.77513195580348593</v>
      </c>
      <c r="Q1601" s="34">
        <f t="shared" si="218"/>
        <v>0.89696795513285899</v>
      </c>
      <c r="R1601" s="46">
        <f t="shared" si="219"/>
        <v>55.185156250906246</v>
      </c>
    </row>
    <row r="1602" spans="2:18" ht="12.75" customHeight="1" x14ac:dyDescent="0.25">
      <c r="B1602" s="17" t="s">
        <v>0</v>
      </c>
      <c r="C1602" s="44" t="s">
        <v>38</v>
      </c>
      <c r="D1602" s="22" t="s">
        <v>2</v>
      </c>
      <c r="E1602" s="20">
        <v>1</v>
      </c>
      <c r="F1602" s="17" t="s">
        <v>261</v>
      </c>
      <c r="G1602" s="17" t="s">
        <v>276</v>
      </c>
      <c r="H1602" s="17" t="s">
        <v>277</v>
      </c>
      <c r="I1602" s="17" t="s">
        <v>278</v>
      </c>
      <c r="J1602" s="27" t="s">
        <v>39</v>
      </c>
      <c r="K1602" s="29">
        <v>49</v>
      </c>
      <c r="L1602" s="31">
        <v>29400</v>
      </c>
      <c r="M1602" s="31">
        <v>4146.6300000090005</v>
      </c>
      <c r="N1602" s="31">
        <v>3303.8199999910003</v>
      </c>
      <c r="O1602" s="34">
        <f t="shared" si="216"/>
        <v>0.14104183673500001</v>
      </c>
      <c r="P1602" s="34">
        <f t="shared" si="217"/>
        <v>0.7967482027535201</v>
      </c>
      <c r="Q1602" s="34">
        <f t="shared" si="218"/>
        <v>0.85895816326499996</v>
      </c>
      <c r="R1602" s="46">
        <f t="shared" si="219"/>
        <v>67.424897959000006</v>
      </c>
    </row>
    <row r="1603" spans="2:18" ht="12.75" customHeight="1" x14ac:dyDescent="0.25">
      <c r="B1603" s="17" t="s">
        <v>0</v>
      </c>
      <c r="C1603" s="44" t="s">
        <v>40</v>
      </c>
      <c r="D1603" s="22" t="s">
        <v>9</v>
      </c>
      <c r="E1603" s="20">
        <v>2</v>
      </c>
      <c r="F1603" s="17" t="s">
        <v>261</v>
      </c>
      <c r="G1603" s="17" t="s">
        <v>276</v>
      </c>
      <c r="H1603" s="17" t="s">
        <v>277</v>
      </c>
      <c r="I1603" s="17" t="s">
        <v>278</v>
      </c>
      <c r="J1603" s="27" t="s">
        <v>41</v>
      </c>
      <c r="K1603" s="29">
        <v>29</v>
      </c>
      <c r="L1603" s="31">
        <v>7705.9999999699994</v>
      </c>
      <c r="M1603" s="31">
        <v>2720.0499999939998</v>
      </c>
      <c r="N1603" s="31">
        <v>2167.2200000020002</v>
      </c>
      <c r="O1603" s="34">
        <f t="shared" si="216"/>
        <v>0.35297819880672066</v>
      </c>
      <c r="P1603" s="34">
        <f t="shared" si="217"/>
        <v>0.79675741255005639</v>
      </c>
      <c r="Q1603" s="34">
        <f t="shared" si="218"/>
        <v>0.64702180119327934</v>
      </c>
      <c r="R1603" s="46">
        <f t="shared" si="219"/>
        <v>74.731724138000004</v>
      </c>
    </row>
    <row r="1604" spans="2:18" ht="12.75" customHeight="1" x14ac:dyDescent="0.25">
      <c r="B1604" s="17" t="s">
        <v>0</v>
      </c>
      <c r="C1604" s="44" t="s">
        <v>92</v>
      </c>
      <c r="D1604" s="22" t="s">
        <v>9</v>
      </c>
      <c r="E1604" s="20">
        <v>2</v>
      </c>
      <c r="F1604" s="17" t="s">
        <v>261</v>
      </c>
      <c r="G1604" s="17" t="s">
        <v>276</v>
      </c>
      <c r="H1604" s="17" t="s">
        <v>277</v>
      </c>
      <c r="I1604" s="17" t="s">
        <v>278</v>
      </c>
      <c r="J1604" s="27" t="s">
        <v>93</v>
      </c>
      <c r="K1604" s="29">
        <v>37</v>
      </c>
      <c r="L1604" s="31">
        <v>6882</v>
      </c>
      <c r="M1604" s="31">
        <v>2420.6999999879999</v>
      </c>
      <c r="N1604" s="31">
        <v>1928.610000015</v>
      </c>
      <c r="O1604" s="34">
        <f t="shared" si="216"/>
        <v>0.35174367916129029</v>
      </c>
      <c r="P1604" s="34">
        <f t="shared" si="217"/>
        <v>0.79671582601088964</v>
      </c>
      <c r="Q1604" s="34">
        <f t="shared" si="218"/>
        <v>0.64825632083870977</v>
      </c>
      <c r="R1604" s="46">
        <f t="shared" si="219"/>
        <v>52.124594594999998</v>
      </c>
    </row>
    <row r="1605" spans="2:18" ht="12.75" customHeight="1" x14ac:dyDescent="0.25">
      <c r="B1605" s="17" t="s">
        <v>0</v>
      </c>
      <c r="C1605" s="44" t="s">
        <v>161</v>
      </c>
      <c r="D1605" s="22" t="s">
        <v>9</v>
      </c>
      <c r="E1605" s="20">
        <v>2</v>
      </c>
      <c r="F1605" s="17" t="s">
        <v>261</v>
      </c>
      <c r="G1605" s="17" t="s">
        <v>276</v>
      </c>
      <c r="H1605" s="17" t="s">
        <v>277</v>
      </c>
      <c r="I1605" s="17" t="s">
        <v>278</v>
      </c>
      <c r="J1605" s="27" t="s">
        <v>162</v>
      </c>
      <c r="K1605" s="29">
        <v>18</v>
      </c>
      <c r="L1605" s="31">
        <v>4122</v>
      </c>
      <c r="M1605" s="31">
        <v>2203.6800000600001</v>
      </c>
      <c r="N1605" s="31">
        <v>1783.4799999960001</v>
      </c>
      <c r="O1605" s="34">
        <f t="shared" si="216"/>
        <v>0.53461426493449782</v>
      </c>
      <c r="P1605" s="34">
        <f t="shared" si="217"/>
        <v>0.80931895735653125</v>
      </c>
      <c r="Q1605" s="34">
        <f t="shared" si="218"/>
        <v>0.46538573506550218</v>
      </c>
      <c r="R1605" s="46">
        <f t="shared" si="219"/>
        <v>99.082222221999999</v>
      </c>
    </row>
    <row r="1606" spans="2:18" ht="12.75" customHeight="1" x14ac:dyDescent="0.25">
      <c r="B1606" s="17" t="s">
        <v>0</v>
      </c>
      <c r="C1606" s="44" t="s">
        <v>14</v>
      </c>
      <c r="D1606" s="22" t="s">
        <v>9</v>
      </c>
      <c r="E1606" s="20">
        <v>2</v>
      </c>
      <c r="F1606" s="17" t="s">
        <v>261</v>
      </c>
      <c r="G1606" s="17" t="s">
        <v>276</v>
      </c>
      <c r="H1606" s="17" t="s">
        <v>277</v>
      </c>
      <c r="I1606" s="17" t="s">
        <v>278</v>
      </c>
      <c r="J1606" s="27" t="s">
        <v>15</v>
      </c>
      <c r="K1606" s="29">
        <v>29</v>
      </c>
      <c r="L1606" s="31">
        <v>3567.0000000599998</v>
      </c>
      <c r="M1606" s="31">
        <v>2083.460000007</v>
      </c>
      <c r="N1606" s="31">
        <v>1467.48</v>
      </c>
      <c r="O1606" s="34">
        <f t="shared" si="216"/>
        <v>0.58409307540565025</v>
      </c>
      <c r="P1606" s="34">
        <f t="shared" si="217"/>
        <v>0.70434757566503303</v>
      </c>
      <c r="Q1606" s="34">
        <f t="shared" si="218"/>
        <v>0.41590692459434975</v>
      </c>
      <c r="R1606" s="46">
        <f t="shared" si="219"/>
        <v>50.602758620689656</v>
      </c>
    </row>
    <row r="1607" spans="2:18" ht="12.75" customHeight="1" x14ac:dyDescent="0.25">
      <c r="B1607" s="17" t="s">
        <v>0</v>
      </c>
      <c r="C1607" s="44" t="s">
        <v>76</v>
      </c>
      <c r="D1607" s="22" t="s">
        <v>2</v>
      </c>
      <c r="E1607" s="20">
        <v>1</v>
      </c>
      <c r="F1607" s="17" t="s">
        <v>261</v>
      </c>
      <c r="G1607" s="17" t="s">
        <v>276</v>
      </c>
      <c r="H1607" s="17" t="s">
        <v>277</v>
      </c>
      <c r="I1607" s="17" t="s">
        <v>278</v>
      </c>
      <c r="J1607" s="27" t="s">
        <v>77</v>
      </c>
      <c r="K1607" s="29">
        <v>16</v>
      </c>
      <c r="L1607" s="31">
        <v>11583</v>
      </c>
      <c r="M1607" s="31">
        <v>1935.7</v>
      </c>
      <c r="N1607" s="31">
        <v>1424.27</v>
      </c>
      <c r="O1607" s="34">
        <f t="shared" si="216"/>
        <v>0.16711560044893378</v>
      </c>
      <c r="P1607" s="34">
        <f t="shared" si="217"/>
        <v>0.73579067004184528</v>
      </c>
      <c r="Q1607" s="34">
        <f t="shared" si="218"/>
        <v>0.83288439955106619</v>
      </c>
      <c r="R1607" s="46">
        <f t="shared" si="219"/>
        <v>89.016874999999999</v>
      </c>
    </row>
    <row r="1608" spans="2:18" ht="12.75" customHeight="1" x14ac:dyDescent="0.25">
      <c r="B1608" s="17" t="s">
        <v>0</v>
      </c>
      <c r="C1608" s="44" t="s">
        <v>24</v>
      </c>
      <c r="D1608" s="22" t="s">
        <v>9</v>
      </c>
      <c r="E1608" s="20">
        <v>2</v>
      </c>
      <c r="F1608" s="17" t="s">
        <v>261</v>
      </c>
      <c r="G1608" s="17" t="s">
        <v>276</v>
      </c>
      <c r="H1608" s="17" t="s">
        <v>277</v>
      </c>
      <c r="I1608" s="17" t="s">
        <v>278</v>
      </c>
      <c r="J1608" s="27" t="s">
        <v>25</v>
      </c>
      <c r="K1608" s="29">
        <v>25</v>
      </c>
      <c r="L1608" s="31">
        <v>2600</v>
      </c>
      <c r="M1608" s="31">
        <v>1303.6199999999999</v>
      </c>
      <c r="N1608" s="31">
        <v>960.4799999999999</v>
      </c>
      <c r="O1608" s="34">
        <f t="shared" si="216"/>
        <v>0.50139230769230769</v>
      </c>
      <c r="P1608" s="34">
        <f t="shared" si="217"/>
        <v>0.73677912275049473</v>
      </c>
      <c r="Q1608" s="34">
        <f t="shared" si="218"/>
        <v>0.49860769230769231</v>
      </c>
      <c r="R1608" s="46">
        <f t="shared" si="219"/>
        <v>38.419199999999996</v>
      </c>
    </row>
    <row r="1609" spans="2:18" ht="12.75" customHeight="1" thickBot="1" x14ac:dyDescent="0.3">
      <c r="B1609" s="15" t="s">
        <v>0</v>
      </c>
      <c r="C1609" s="50" t="s">
        <v>62</v>
      </c>
      <c r="D1609" s="19" t="s">
        <v>9</v>
      </c>
      <c r="E1609" s="16">
        <v>2</v>
      </c>
      <c r="F1609" s="15" t="s">
        <v>261</v>
      </c>
      <c r="G1609" s="15" t="s">
        <v>276</v>
      </c>
      <c r="H1609" s="15" t="s">
        <v>277</v>
      </c>
      <c r="I1609" s="15" t="s">
        <v>278</v>
      </c>
      <c r="J1609" s="24" t="s">
        <v>63</v>
      </c>
      <c r="K1609" s="26">
        <v>13</v>
      </c>
      <c r="L1609" s="28">
        <v>1690</v>
      </c>
      <c r="M1609" s="28">
        <v>836.61999999500006</v>
      </c>
      <c r="N1609" s="28">
        <v>524.87999999500005</v>
      </c>
      <c r="O1609" s="32">
        <f t="shared" si="216"/>
        <v>0.49504142011538466</v>
      </c>
      <c r="P1609" s="32">
        <f t="shared" si="217"/>
        <v>0.62738160693999301</v>
      </c>
      <c r="Q1609" s="32">
        <f t="shared" si="218"/>
        <v>0.50495857988461534</v>
      </c>
      <c r="R1609" s="49">
        <f t="shared" si="219"/>
        <v>40.375384615000002</v>
      </c>
    </row>
    <row r="1610" spans="2:18" ht="17.25" customHeight="1" x14ac:dyDescent="0.25">
      <c r="B1610" s="48"/>
      <c r="C1610" s="58"/>
      <c r="D1610" s="51" t="s">
        <v>366</v>
      </c>
      <c r="E1610" s="52"/>
      <c r="F1610" s="52"/>
      <c r="G1610" s="53"/>
      <c r="H1610" s="53"/>
      <c r="I1610" s="53"/>
      <c r="J1610" s="54"/>
      <c r="K1610" s="55">
        <f>SUM(K1530:K1609)</f>
        <v>1199648</v>
      </c>
      <c r="L1610" s="56">
        <f>SUM(L1530:L1609)</f>
        <v>2124094757.8357701</v>
      </c>
      <c r="M1610" s="56">
        <f>SUM(M1530:M1609)</f>
        <v>384683945.03384054</v>
      </c>
      <c r="N1610" s="56">
        <f>SUM(N1530:N1609)</f>
        <v>303261222.88019073</v>
      </c>
      <c r="O1610" s="57">
        <f>IFERROR(M1610/L1610,0)</f>
        <v>0.18110488885429629</v>
      </c>
      <c r="P1610" s="57">
        <f>IFERROR(N1610/M1610,0)</f>
        <v>0.78833865253594848</v>
      </c>
      <c r="Q1610" s="57">
        <f>IFERROR(1-(M1610/L1610),0)</f>
        <v>0.81889511114570368</v>
      </c>
      <c r="R1610" s="59">
        <f>IFERROR(N1610/K1610,0)</f>
        <v>252.79183800597403</v>
      </c>
    </row>
    <row r="1611" spans="2:18" ht="15.75" thickBot="1" x14ac:dyDescent="0.3">
      <c r="B1611" s="60"/>
      <c r="C1611" s="64"/>
      <c r="D1611" s="62" t="s">
        <v>278</v>
      </c>
      <c r="E1611" s="61"/>
      <c r="F1611" s="61"/>
      <c r="G1611" s="61"/>
      <c r="H1611" s="61"/>
      <c r="I1611" s="61"/>
      <c r="J1611" s="61"/>
      <c r="K1611" s="63"/>
      <c r="L1611" s="63"/>
      <c r="M1611" s="63"/>
      <c r="N1611" s="63"/>
      <c r="O1611" s="63"/>
      <c r="P1611" s="63"/>
      <c r="Q1611" s="63"/>
      <c r="R1611" s="65"/>
    </row>
    <row r="1612" spans="2:18" ht="15.75" thickBot="1" x14ac:dyDescent="0.3"/>
    <row r="1613" spans="2:18" ht="15.75" x14ac:dyDescent="0.25">
      <c r="B1613" s="1"/>
      <c r="C1613" s="7" t="s">
        <v>348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9"/>
    </row>
    <row r="1614" spans="2:18" ht="18" x14ac:dyDescent="0.25">
      <c r="B1614" s="2"/>
      <c r="C1614" s="8" t="s">
        <v>281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10"/>
    </row>
    <row r="1615" spans="2:18" ht="15.75" thickBot="1" x14ac:dyDescent="0.3">
      <c r="B1615" s="3"/>
      <c r="C1615" s="11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12"/>
    </row>
    <row r="1616" spans="2:18" ht="17.25" customHeight="1" thickBot="1" x14ac:dyDescent="0.3">
      <c r="B1616" s="14" t="s">
        <v>349</v>
      </c>
      <c r="C1616" s="18" t="s">
        <v>350</v>
      </c>
      <c r="D1616" s="21" t="s">
        <v>351</v>
      </c>
      <c r="E1616" s="23" t="s">
        <v>352</v>
      </c>
      <c r="F1616" s="21" t="s">
        <v>353</v>
      </c>
      <c r="G1616" s="23" t="s">
        <v>354</v>
      </c>
      <c r="H1616" s="23" t="s">
        <v>355</v>
      </c>
      <c r="I1616" s="23" t="s">
        <v>356</v>
      </c>
      <c r="J1616" s="25" t="s">
        <v>357</v>
      </c>
      <c r="K1616" s="25" t="s">
        <v>358</v>
      </c>
      <c r="L1616" s="30" t="s">
        <v>359</v>
      </c>
      <c r="M1616" s="30" t="s">
        <v>360</v>
      </c>
      <c r="N1616" s="30" t="s">
        <v>361</v>
      </c>
      <c r="O1616" s="33" t="s">
        <v>362</v>
      </c>
      <c r="P1616" s="33" t="s">
        <v>363</v>
      </c>
      <c r="Q1616" s="33" t="s">
        <v>364</v>
      </c>
      <c r="R1616" s="35" t="s">
        <v>365</v>
      </c>
    </row>
    <row r="1617" spans="2:18" ht="12.75" customHeight="1" x14ac:dyDescent="0.25">
      <c r="B1617" s="17" t="s">
        <v>0</v>
      </c>
      <c r="C1617" s="43" t="s">
        <v>170</v>
      </c>
      <c r="D1617" s="37" t="s">
        <v>9</v>
      </c>
      <c r="E1617" s="36">
        <v>2</v>
      </c>
      <c r="F1617" s="38" t="s">
        <v>261</v>
      </c>
      <c r="G1617" s="38" t="s">
        <v>279</v>
      </c>
      <c r="H1617" s="38" t="s">
        <v>280</v>
      </c>
      <c r="I1617" s="38" t="s">
        <v>281</v>
      </c>
      <c r="J1617" s="39" t="s">
        <v>171</v>
      </c>
      <c r="K1617" s="40">
        <v>127672</v>
      </c>
      <c r="L1617" s="41">
        <v>90556311.220107898</v>
      </c>
      <c r="M1617" s="41">
        <v>26375235.909979548</v>
      </c>
      <c r="N1617" s="41">
        <v>20367273.159992073</v>
      </c>
      <c r="O1617" s="42">
        <f t="shared" ref="O1617:O1648" si="220">IFERROR(M1617/L1617,0)</f>
        <v>0.29125784337517235</v>
      </c>
      <c r="P1617" s="42">
        <f t="shared" ref="P1617:P1648" si="221">IFERROR(N1617/M1617,0)</f>
        <v>0.77221198056794427</v>
      </c>
      <c r="Q1617" s="42">
        <f t="shared" ref="Q1617:Q1648" si="222">IFERROR(1-(M1617/L1617),0)</f>
        <v>0.70874215662482765</v>
      </c>
      <c r="R1617" s="45">
        <f t="shared" ref="R1617:R1648" si="223">IFERROR(N1617/K1617,0)</f>
        <v>159.52811235033582</v>
      </c>
    </row>
    <row r="1618" spans="2:18" ht="12.75" customHeight="1" x14ac:dyDescent="0.25">
      <c r="B1618" s="17" t="s">
        <v>0</v>
      </c>
      <c r="C1618" s="44" t="s">
        <v>98</v>
      </c>
      <c r="D1618" s="22" t="s">
        <v>2</v>
      </c>
      <c r="E1618" s="20">
        <v>1</v>
      </c>
      <c r="F1618" s="17" t="s">
        <v>261</v>
      </c>
      <c r="G1618" s="17" t="s">
        <v>279</v>
      </c>
      <c r="H1618" s="17" t="s">
        <v>280</v>
      </c>
      <c r="I1618" s="17" t="s">
        <v>281</v>
      </c>
      <c r="J1618" s="27" t="s">
        <v>102</v>
      </c>
      <c r="K1618" s="29">
        <v>11944</v>
      </c>
      <c r="L1618" s="31">
        <v>113767358.12015614</v>
      </c>
      <c r="M1618" s="31">
        <v>15732850.970033778</v>
      </c>
      <c r="N1618" s="31">
        <v>12502869.860039113</v>
      </c>
      <c r="O1618" s="34">
        <f t="shared" si="220"/>
        <v>0.13828967491200264</v>
      </c>
      <c r="P1618" s="34">
        <f t="shared" si="221"/>
        <v>0.7946982961863186</v>
      </c>
      <c r="Q1618" s="34">
        <f t="shared" si="222"/>
        <v>0.86171032508799739</v>
      </c>
      <c r="R1618" s="46">
        <f t="shared" si="223"/>
        <v>1046.7908456161347</v>
      </c>
    </row>
    <row r="1619" spans="2:18" ht="12.75" customHeight="1" x14ac:dyDescent="0.25">
      <c r="B1619" s="17" t="s">
        <v>0</v>
      </c>
      <c r="C1619" s="44" t="s">
        <v>56</v>
      </c>
      <c r="D1619" s="22" t="s">
        <v>9</v>
      </c>
      <c r="E1619" s="20">
        <v>2</v>
      </c>
      <c r="F1619" s="17" t="s">
        <v>261</v>
      </c>
      <c r="G1619" s="17" t="s">
        <v>279</v>
      </c>
      <c r="H1619" s="17" t="s">
        <v>280</v>
      </c>
      <c r="I1619" s="17" t="s">
        <v>281</v>
      </c>
      <c r="J1619" s="27" t="s">
        <v>57</v>
      </c>
      <c r="K1619" s="29">
        <v>67210</v>
      </c>
      <c r="L1619" s="31">
        <v>45019523.729994021</v>
      </c>
      <c r="M1619" s="31">
        <v>16127603.40000396</v>
      </c>
      <c r="N1619" s="31">
        <v>12383279.970008269</v>
      </c>
      <c r="O1619" s="34">
        <f t="shared" si="220"/>
        <v>0.35823576226016424</v>
      </c>
      <c r="P1619" s="34">
        <f t="shared" si="221"/>
        <v>0.76783137970798732</v>
      </c>
      <c r="Q1619" s="34">
        <f t="shared" si="222"/>
        <v>0.64176423773983582</v>
      </c>
      <c r="R1619" s="46">
        <f t="shared" si="223"/>
        <v>184.24758175878989</v>
      </c>
    </row>
    <row r="1620" spans="2:18" ht="12.75" customHeight="1" x14ac:dyDescent="0.25">
      <c r="B1620" s="17" t="s">
        <v>0</v>
      </c>
      <c r="C1620" s="44" t="s">
        <v>56</v>
      </c>
      <c r="D1620" s="22" t="s">
        <v>2</v>
      </c>
      <c r="E1620" s="20">
        <v>1</v>
      </c>
      <c r="F1620" s="17" t="s">
        <v>261</v>
      </c>
      <c r="G1620" s="17" t="s">
        <v>279</v>
      </c>
      <c r="H1620" s="17" t="s">
        <v>280</v>
      </c>
      <c r="I1620" s="17" t="s">
        <v>281</v>
      </c>
      <c r="J1620" s="27" t="s">
        <v>57</v>
      </c>
      <c r="K1620" s="29">
        <v>28070</v>
      </c>
      <c r="L1620" s="31">
        <v>40781885.270000756</v>
      </c>
      <c r="M1620" s="31">
        <v>7942579.2800082108</v>
      </c>
      <c r="N1620" s="31">
        <v>6227025.1999952234</v>
      </c>
      <c r="O1620" s="34">
        <f t="shared" si="220"/>
        <v>0.19475753088469377</v>
      </c>
      <c r="P1620" s="34">
        <f t="shared" si="221"/>
        <v>0.78400541945724034</v>
      </c>
      <c r="Q1620" s="34">
        <f t="shared" si="222"/>
        <v>0.80524246911530617</v>
      </c>
      <c r="R1620" s="46">
        <f t="shared" si="223"/>
        <v>221.83915924457511</v>
      </c>
    </row>
    <row r="1621" spans="2:18" ht="12.75" customHeight="1" x14ac:dyDescent="0.25">
      <c r="B1621" s="17" t="s">
        <v>0</v>
      </c>
      <c r="C1621" s="44" t="s">
        <v>68</v>
      </c>
      <c r="D1621" s="22" t="s">
        <v>2</v>
      </c>
      <c r="E1621" s="20">
        <v>1</v>
      </c>
      <c r="F1621" s="17" t="s">
        <v>261</v>
      </c>
      <c r="G1621" s="17" t="s">
        <v>279</v>
      </c>
      <c r="H1621" s="17" t="s">
        <v>280</v>
      </c>
      <c r="I1621" s="17" t="s">
        <v>281</v>
      </c>
      <c r="J1621" s="27" t="s">
        <v>69</v>
      </c>
      <c r="K1621" s="29">
        <v>5404</v>
      </c>
      <c r="L1621" s="31">
        <v>17640220.509973995</v>
      </c>
      <c r="M1621" s="31">
        <v>3370978.0599986995</v>
      </c>
      <c r="N1621" s="31">
        <v>2686050.6400020202</v>
      </c>
      <c r="O1621" s="34">
        <f t="shared" si="220"/>
        <v>0.19109614066857653</v>
      </c>
      <c r="P1621" s="34">
        <f t="shared" si="221"/>
        <v>0.7968164111999757</v>
      </c>
      <c r="Q1621" s="34">
        <f t="shared" si="222"/>
        <v>0.8089038593314235</v>
      </c>
      <c r="R1621" s="46">
        <f t="shared" si="223"/>
        <v>497.04860103664328</v>
      </c>
    </row>
    <row r="1622" spans="2:18" ht="12.75" customHeight="1" x14ac:dyDescent="0.25">
      <c r="B1622" s="17" t="s">
        <v>0</v>
      </c>
      <c r="C1622" s="44" t="s">
        <v>36</v>
      </c>
      <c r="D1622" s="22" t="s">
        <v>2</v>
      </c>
      <c r="E1622" s="20">
        <v>1</v>
      </c>
      <c r="F1622" s="17" t="s">
        <v>261</v>
      </c>
      <c r="G1622" s="17" t="s">
        <v>279</v>
      </c>
      <c r="H1622" s="17" t="s">
        <v>280</v>
      </c>
      <c r="I1622" s="17" t="s">
        <v>281</v>
      </c>
      <c r="J1622" s="27" t="s">
        <v>37</v>
      </c>
      <c r="K1622" s="29">
        <v>4653</v>
      </c>
      <c r="L1622" s="31">
        <v>17252771.949974142</v>
      </c>
      <c r="M1622" s="31">
        <v>2598910.1600013888</v>
      </c>
      <c r="N1622" s="31">
        <v>2084077.1299998737</v>
      </c>
      <c r="O1622" s="34">
        <f t="shared" si="220"/>
        <v>0.15063725223617089</v>
      </c>
      <c r="P1622" s="34">
        <f t="shared" si="221"/>
        <v>0.80190426051463048</v>
      </c>
      <c r="Q1622" s="34">
        <f t="shared" si="222"/>
        <v>0.84936274776382914</v>
      </c>
      <c r="R1622" s="46">
        <f t="shared" si="223"/>
        <v>447.89966258325245</v>
      </c>
    </row>
    <row r="1623" spans="2:18" ht="12.75" customHeight="1" x14ac:dyDescent="0.25">
      <c r="B1623" s="17" t="s">
        <v>0</v>
      </c>
      <c r="C1623" s="44" t="s">
        <v>170</v>
      </c>
      <c r="D1623" s="22" t="s">
        <v>2</v>
      </c>
      <c r="E1623" s="20">
        <v>1</v>
      </c>
      <c r="F1623" s="17" t="s">
        <v>261</v>
      </c>
      <c r="G1623" s="17" t="s">
        <v>279</v>
      </c>
      <c r="H1623" s="17" t="s">
        <v>280</v>
      </c>
      <c r="I1623" s="17" t="s">
        <v>281</v>
      </c>
      <c r="J1623" s="27" t="s">
        <v>171</v>
      </c>
      <c r="K1623" s="29">
        <v>9909</v>
      </c>
      <c r="L1623" s="31">
        <v>11895349.839986103</v>
      </c>
      <c r="M1623" s="31">
        <v>2087181.6099982189</v>
      </c>
      <c r="N1623" s="31">
        <v>1634369.319999391</v>
      </c>
      <c r="O1623" s="34">
        <f t="shared" si="220"/>
        <v>0.17546197783794287</v>
      </c>
      <c r="P1623" s="34">
        <f t="shared" si="221"/>
        <v>0.7830508433814658</v>
      </c>
      <c r="Q1623" s="34">
        <f t="shared" si="222"/>
        <v>0.82453802216205707</v>
      </c>
      <c r="R1623" s="46">
        <f t="shared" si="223"/>
        <v>164.93786658587052</v>
      </c>
    </row>
    <row r="1624" spans="2:18" ht="12.75" customHeight="1" x14ac:dyDescent="0.25">
      <c r="B1624" s="17" t="s">
        <v>0</v>
      </c>
      <c r="C1624" s="44" t="s">
        <v>110</v>
      </c>
      <c r="D1624" s="22" t="s">
        <v>9</v>
      </c>
      <c r="E1624" s="20">
        <v>2</v>
      </c>
      <c r="F1624" s="17" t="s">
        <v>261</v>
      </c>
      <c r="G1624" s="17" t="s">
        <v>279</v>
      </c>
      <c r="H1624" s="17" t="s">
        <v>280</v>
      </c>
      <c r="I1624" s="17" t="s">
        <v>281</v>
      </c>
      <c r="J1624" s="27" t="s">
        <v>111</v>
      </c>
      <c r="K1624" s="29">
        <v>11897</v>
      </c>
      <c r="L1624" s="31">
        <v>5551881.0999933314</v>
      </c>
      <c r="M1624" s="31">
        <v>1948755.0900011011</v>
      </c>
      <c r="N1624" s="31">
        <v>1505366.0699988706</v>
      </c>
      <c r="O1624" s="34">
        <f t="shared" si="220"/>
        <v>0.35100807364254288</v>
      </c>
      <c r="P1624" s="34">
        <f t="shared" si="221"/>
        <v>0.77247576040867194</v>
      </c>
      <c r="Q1624" s="34">
        <f t="shared" si="222"/>
        <v>0.64899192635745706</v>
      </c>
      <c r="R1624" s="46">
        <f t="shared" si="223"/>
        <v>126.53324955861734</v>
      </c>
    </row>
    <row r="1625" spans="2:18" ht="12.75" customHeight="1" x14ac:dyDescent="0.25">
      <c r="B1625" s="17" t="s">
        <v>0</v>
      </c>
      <c r="C1625" s="44" t="s">
        <v>110</v>
      </c>
      <c r="D1625" s="22" t="s">
        <v>2</v>
      </c>
      <c r="E1625" s="20">
        <v>1</v>
      </c>
      <c r="F1625" s="17" t="s">
        <v>261</v>
      </c>
      <c r="G1625" s="17" t="s">
        <v>279</v>
      </c>
      <c r="H1625" s="17" t="s">
        <v>280</v>
      </c>
      <c r="I1625" s="17" t="s">
        <v>281</v>
      </c>
      <c r="J1625" s="27" t="s">
        <v>111</v>
      </c>
      <c r="K1625" s="29">
        <v>4139</v>
      </c>
      <c r="L1625" s="31">
        <v>8184867.7800074872</v>
      </c>
      <c r="M1625" s="31">
        <v>1857814.7400001949</v>
      </c>
      <c r="N1625" s="31">
        <v>1472179.3600009072</v>
      </c>
      <c r="O1625" s="34">
        <f t="shared" si="220"/>
        <v>0.22698164343450095</v>
      </c>
      <c r="P1625" s="34">
        <f t="shared" si="221"/>
        <v>0.79242527702237564</v>
      </c>
      <c r="Q1625" s="34">
        <f t="shared" si="222"/>
        <v>0.77301835656549911</v>
      </c>
      <c r="R1625" s="46">
        <f t="shared" si="223"/>
        <v>355.68479342858353</v>
      </c>
    </row>
    <row r="1626" spans="2:18" ht="12.75" customHeight="1" x14ac:dyDescent="0.25">
      <c r="B1626" s="17" t="s">
        <v>0</v>
      </c>
      <c r="C1626" s="44" t="s">
        <v>44</v>
      </c>
      <c r="D1626" s="22" t="s">
        <v>2</v>
      </c>
      <c r="E1626" s="20">
        <v>1</v>
      </c>
      <c r="F1626" s="17" t="s">
        <v>261</v>
      </c>
      <c r="G1626" s="17" t="s">
        <v>279</v>
      </c>
      <c r="H1626" s="17" t="s">
        <v>280</v>
      </c>
      <c r="I1626" s="17" t="s">
        <v>281</v>
      </c>
      <c r="J1626" s="27" t="s">
        <v>45</v>
      </c>
      <c r="K1626" s="29">
        <v>13644</v>
      </c>
      <c r="L1626" s="31">
        <v>14812155.270000992</v>
      </c>
      <c r="M1626" s="31">
        <v>1413824.1000008867</v>
      </c>
      <c r="N1626" s="31">
        <v>1118002.749999492</v>
      </c>
      <c r="O1626" s="34">
        <f t="shared" si="220"/>
        <v>9.5450261911870435E-2</v>
      </c>
      <c r="P1626" s="34">
        <f t="shared" si="221"/>
        <v>0.79076509588342059</v>
      </c>
      <c r="Q1626" s="34">
        <f t="shared" si="222"/>
        <v>0.90454973808812955</v>
      </c>
      <c r="R1626" s="46">
        <f t="shared" si="223"/>
        <v>81.940981383721194</v>
      </c>
    </row>
    <row r="1627" spans="2:18" ht="12.75" customHeight="1" x14ac:dyDescent="0.25">
      <c r="B1627" s="17" t="s">
        <v>0</v>
      </c>
      <c r="C1627" s="44" t="s">
        <v>50</v>
      </c>
      <c r="D1627" s="22" t="s">
        <v>9</v>
      </c>
      <c r="E1627" s="20">
        <v>2</v>
      </c>
      <c r="F1627" s="17" t="s">
        <v>261</v>
      </c>
      <c r="G1627" s="17" t="s">
        <v>279</v>
      </c>
      <c r="H1627" s="17" t="s">
        <v>280</v>
      </c>
      <c r="I1627" s="17" t="s">
        <v>281</v>
      </c>
      <c r="J1627" s="27" t="s">
        <v>51</v>
      </c>
      <c r="K1627" s="29">
        <v>18052</v>
      </c>
      <c r="L1627" s="31">
        <v>5689689.6599990837</v>
      </c>
      <c r="M1627" s="31">
        <v>1373603.2700011823</v>
      </c>
      <c r="N1627" s="31">
        <v>1017176.0400016052</v>
      </c>
      <c r="O1627" s="34">
        <f t="shared" si="220"/>
        <v>0.24141971743348187</v>
      </c>
      <c r="P1627" s="34">
        <f t="shared" si="221"/>
        <v>0.74051661219525899</v>
      </c>
      <c r="Q1627" s="34">
        <f t="shared" si="222"/>
        <v>0.7585802825665181</v>
      </c>
      <c r="R1627" s="46">
        <f t="shared" si="223"/>
        <v>56.34699977850682</v>
      </c>
    </row>
    <row r="1628" spans="2:18" ht="12.75" customHeight="1" x14ac:dyDescent="0.25">
      <c r="B1628" s="17" t="s">
        <v>0</v>
      </c>
      <c r="C1628" s="44" t="s">
        <v>18</v>
      </c>
      <c r="D1628" s="22" t="s">
        <v>2</v>
      </c>
      <c r="E1628" s="20">
        <v>1</v>
      </c>
      <c r="F1628" s="17" t="s">
        <v>261</v>
      </c>
      <c r="G1628" s="17" t="s">
        <v>279</v>
      </c>
      <c r="H1628" s="17" t="s">
        <v>280</v>
      </c>
      <c r="I1628" s="17" t="s">
        <v>281</v>
      </c>
      <c r="J1628" s="27" t="s">
        <v>19</v>
      </c>
      <c r="K1628" s="29">
        <v>11320</v>
      </c>
      <c r="L1628" s="31">
        <v>11288404.329993388</v>
      </c>
      <c r="M1628" s="31">
        <v>1274845.6900002046</v>
      </c>
      <c r="N1628" s="31">
        <v>1002244.0500006885</v>
      </c>
      <c r="O1628" s="34">
        <f t="shared" si="220"/>
        <v>0.11293409172215144</v>
      </c>
      <c r="P1628" s="34">
        <f t="shared" si="221"/>
        <v>0.78616891272584344</v>
      </c>
      <c r="Q1628" s="34">
        <f t="shared" si="222"/>
        <v>0.88706590827784859</v>
      </c>
      <c r="R1628" s="46">
        <f t="shared" si="223"/>
        <v>88.53746024741065</v>
      </c>
    </row>
    <row r="1629" spans="2:18" ht="12.75" customHeight="1" x14ac:dyDescent="0.25">
      <c r="B1629" s="17" t="s">
        <v>0</v>
      </c>
      <c r="C1629" s="44" t="s">
        <v>66</v>
      </c>
      <c r="D1629" s="22" t="s">
        <v>2</v>
      </c>
      <c r="E1629" s="20">
        <v>1</v>
      </c>
      <c r="F1629" s="17" t="s">
        <v>261</v>
      </c>
      <c r="G1629" s="17" t="s">
        <v>279</v>
      </c>
      <c r="H1629" s="17" t="s">
        <v>280</v>
      </c>
      <c r="I1629" s="17" t="s">
        <v>281</v>
      </c>
      <c r="J1629" s="27" t="s">
        <v>67</v>
      </c>
      <c r="K1629" s="29">
        <v>34174</v>
      </c>
      <c r="L1629" s="31">
        <v>17073065.04007484</v>
      </c>
      <c r="M1629" s="31">
        <v>1221281.0199996585</v>
      </c>
      <c r="N1629" s="31">
        <v>971169.42999572994</v>
      </c>
      <c r="O1629" s="34">
        <f t="shared" si="220"/>
        <v>7.1532616851924372E-2</v>
      </c>
      <c r="P1629" s="34">
        <f t="shared" si="221"/>
        <v>0.79520553753959222</v>
      </c>
      <c r="Q1629" s="34">
        <f t="shared" si="222"/>
        <v>0.92846738314807564</v>
      </c>
      <c r="R1629" s="46">
        <f t="shared" si="223"/>
        <v>28.418371568904135</v>
      </c>
    </row>
    <row r="1630" spans="2:18" ht="12.75" customHeight="1" x14ac:dyDescent="0.25">
      <c r="B1630" s="17" t="s">
        <v>0</v>
      </c>
      <c r="C1630" s="44" t="s">
        <v>46</v>
      </c>
      <c r="D1630" s="22" t="s">
        <v>9</v>
      </c>
      <c r="E1630" s="20">
        <v>2</v>
      </c>
      <c r="F1630" s="17" t="s">
        <v>261</v>
      </c>
      <c r="G1630" s="17" t="s">
        <v>279</v>
      </c>
      <c r="H1630" s="17" t="s">
        <v>280</v>
      </c>
      <c r="I1630" s="17" t="s">
        <v>281</v>
      </c>
      <c r="J1630" s="27" t="s">
        <v>47</v>
      </c>
      <c r="K1630" s="29">
        <v>16569</v>
      </c>
      <c r="L1630" s="31">
        <v>4047338.5400010152</v>
      </c>
      <c r="M1630" s="31">
        <v>1260592.0499998492</v>
      </c>
      <c r="N1630" s="31">
        <v>949857.58999932953</v>
      </c>
      <c r="O1630" s="34">
        <f t="shared" si="220"/>
        <v>0.31146197372447448</v>
      </c>
      <c r="P1630" s="34">
        <f t="shared" si="221"/>
        <v>0.75350117430888386</v>
      </c>
      <c r="Q1630" s="34">
        <f t="shared" si="222"/>
        <v>0.68853802627552552</v>
      </c>
      <c r="R1630" s="46">
        <f t="shared" si="223"/>
        <v>57.327393928380076</v>
      </c>
    </row>
    <row r="1631" spans="2:18" ht="12.75" customHeight="1" x14ac:dyDescent="0.25">
      <c r="B1631" s="17" t="s">
        <v>0</v>
      </c>
      <c r="C1631" s="44" t="s">
        <v>50</v>
      </c>
      <c r="D1631" s="22" t="s">
        <v>2</v>
      </c>
      <c r="E1631" s="20">
        <v>1</v>
      </c>
      <c r="F1631" s="17" t="s">
        <v>261</v>
      </c>
      <c r="G1631" s="17" t="s">
        <v>279</v>
      </c>
      <c r="H1631" s="17" t="s">
        <v>280</v>
      </c>
      <c r="I1631" s="17" t="s">
        <v>281</v>
      </c>
      <c r="J1631" s="27" t="s">
        <v>51</v>
      </c>
      <c r="K1631" s="29">
        <v>14403</v>
      </c>
      <c r="L1631" s="31">
        <v>11928367.529998751</v>
      </c>
      <c r="M1631" s="31">
        <v>972976.23000688094</v>
      </c>
      <c r="N1631" s="31">
        <v>756891.54000885459</v>
      </c>
      <c r="O1631" s="34">
        <f t="shared" si="220"/>
        <v>8.1568263851690928E-2</v>
      </c>
      <c r="P1631" s="34">
        <f t="shared" si="221"/>
        <v>0.77791370093748524</v>
      </c>
      <c r="Q1631" s="34">
        <f t="shared" si="222"/>
        <v>0.91843173614830909</v>
      </c>
      <c r="R1631" s="46">
        <f t="shared" si="223"/>
        <v>52.550964383035101</v>
      </c>
    </row>
    <row r="1632" spans="2:18" ht="12.75" customHeight="1" x14ac:dyDescent="0.25">
      <c r="B1632" s="17" t="s">
        <v>0</v>
      </c>
      <c r="C1632" s="44" t="s">
        <v>176</v>
      </c>
      <c r="D1632" s="22" t="s">
        <v>2</v>
      </c>
      <c r="E1632" s="20">
        <v>1</v>
      </c>
      <c r="F1632" s="17" t="s">
        <v>261</v>
      </c>
      <c r="G1632" s="17" t="s">
        <v>279</v>
      </c>
      <c r="H1632" s="17" t="s">
        <v>280</v>
      </c>
      <c r="I1632" s="17" t="s">
        <v>281</v>
      </c>
      <c r="J1632" s="27" t="s">
        <v>177</v>
      </c>
      <c r="K1632" s="29">
        <v>2715</v>
      </c>
      <c r="L1632" s="31">
        <v>3355209.2199979983</v>
      </c>
      <c r="M1632" s="31">
        <v>605259.13000066008</v>
      </c>
      <c r="N1632" s="31">
        <v>482209.75000120478</v>
      </c>
      <c r="O1632" s="34">
        <f t="shared" si="220"/>
        <v>0.18039385633335295</v>
      </c>
      <c r="P1632" s="34">
        <f t="shared" si="221"/>
        <v>0.79669967142945686</v>
      </c>
      <c r="Q1632" s="34">
        <f t="shared" si="222"/>
        <v>0.81960614366664708</v>
      </c>
      <c r="R1632" s="46">
        <f t="shared" si="223"/>
        <v>177.60948434666844</v>
      </c>
    </row>
    <row r="1633" spans="2:18" ht="12.75" customHeight="1" x14ac:dyDescent="0.25">
      <c r="B1633" s="17" t="s">
        <v>0</v>
      </c>
      <c r="C1633" s="44" t="s">
        <v>26</v>
      </c>
      <c r="D1633" s="22" t="s">
        <v>2</v>
      </c>
      <c r="E1633" s="20">
        <v>1</v>
      </c>
      <c r="F1633" s="17" t="s">
        <v>261</v>
      </c>
      <c r="G1633" s="17" t="s">
        <v>279</v>
      </c>
      <c r="H1633" s="17" t="s">
        <v>280</v>
      </c>
      <c r="I1633" s="17" t="s">
        <v>281</v>
      </c>
      <c r="J1633" s="27" t="s">
        <v>27</v>
      </c>
      <c r="K1633" s="29">
        <v>4294</v>
      </c>
      <c r="L1633" s="31">
        <v>5031441.85000508</v>
      </c>
      <c r="M1633" s="31">
        <v>606573.16999822669</v>
      </c>
      <c r="N1633" s="31">
        <v>476528.0999995789</v>
      </c>
      <c r="O1633" s="34">
        <f t="shared" si="220"/>
        <v>0.12055652993338564</v>
      </c>
      <c r="P1633" s="34">
        <f t="shared" si="221"/>
        <v>0.78560695324023655</v>
      </c>
      <c r="Q1633" s="34">
        <f t="shared" si="222"/>
        <v>0.87944347006661439</v>
      </c>
      <c r="R1633" s="46">
        <f t="shared" si="223"/>
        <v>110.97533768038633</v>
      </c>
    </row>
    <row r="1634" spans="2:18" ht="12.75" customHeight="1" x14ac:dyDescent="0.25">
      <c r="B1634" s="17" t="s">
        <v>0</v>
      </c>
      <c r="C1634" s="44" t="s">
        <v>42</v>
      </c>
      <c r="D1634" s="22" t="s">
        <v>2</v>
      </c>
      <c r="E1634" s="20">
        <v>1</v>
      </c>
      <c r="F1634" s="17" t="s">
        <v>261</v>
      </c>
      <c r="G1634" s="17" t="s">
        <v>279</v>
      </c>
      <c r="H1634" s="17" t="s">
        <v>280</v>
      </c>
      <c r="I1634" s="17" t="s">
        <v>281</v>
      </c>
      <c r="J1634" s="27" t="s">
        <v>43</v>
      </c>
      <c r="K1634" s="29">
        <v>1259</v>
      </c>
      <c r="L1634" s="31">
        <v>2608767.1499992404</v>
      </c>
      <c r="M1634" s="31">
        <v>458898.41999942716</v>
      </c>
      <c r="N1634" s="31">
        <v>365174.51999781223</v>
      </c>
      <c r="O1634" s="34">
        <f t="shared" si="220"/>
        <v>0.17590623984956297</v>
      </c>
      <c r="P1634" s="34">
        <f t="shared" si="221"/>
        <v>0.79576329767766052</v>
      </c>
      <c r="Q1634" s="34">
        <f t="shared" si="222"/>
        <v>0.824093760150437</v>
      </c>
      <c r="R1634" s="46">
        <f t="shared" si="223"/>
        <v>290.05124701970789</v>
      </c>
    </row>
    <row r="1635" spans="2:18" ht="12.75" customHeight="1" x14ac:dyDescent="0.25">
      <c r="B1635" s="17" t="s">
        <v>0</v>
      </c>
      <c r="C1635" s="44" t="s">
        <v>172</v>
      </c>
      <c r="D1635" s="22" t="s">
        <v>2</v>
      </c>
      <c r="E1635" s="20">
        <v>1</v>
      </c>
      <c r="F1635" s="17" t="s">
        <v>261</v>
      </c>
      <c r="G1635" s="17" t="s">
        <v>279</v>
      </c>
      <c r="H1635" s="17" t="s">
        <v>280</v>
      </c>
      <c r="I1635" s="17" t="s">
        <v>281</v>
      </c>
      <c r="J1635" s="27" t="s">
        <v>173</v>
      </c>
      <c r="K1635" s="29">
        <v>774</v>
      </c>
      <c r="L1635" s="31">
        <v>1965202.58000033</v>
      </c>
      <c r="M1635" s="31">
        <v>457953.98000010796</v>
      </c>
      <c r="N1635" s="31">
        <v>363732.59000000998</v>
      </c>
      <c r="O1635" s="34">
        <f t="shared" si="220"/>
        <v>0.23303143638251841</v>
      </c>
      <c r="P1635" s="34">
        <f t="shared" si="221"/>
        <v>0.79425576779554186</v>
      </c>
      <c r="Q1635" s="34">
        <f t="shared" si="222"/>
        <v>0.76696856361748156</v>
      </c>
      <c r="R1635" s="46">
        <f t="shared" si="223"/>
        <v>469.93874677003873</v>
      </c>
    </row>
    <row r="1636" spans="2:18" ht="12.75" customHeight="1" x14ac:dyDescent="0.25">
      <c r="B1636" s="17" t="s">
        <v>0</v>
      </c>
      <c r="C1636" s="44" t="s">
        <v>46</v>
      </c>
      <c r="D1636" s="22" t="s">
        <v>2</v>
      </c>
      <c r="E1636" s="20">
        <v>1</v>
      </c>
      <c r="F1636" s="17" t="s">
        <v>261</v>
      </c>
      <c r="G1636" s="17" t="s">
        <v>279</v>
      </c>
      <c r="H1636" s="17" t="s">
        <v>280</v>
      </c>
      <c r="I1636" s="17" t="s">
        <v>281</v>
      </c>
      <c r="J1636" s="27" t="s">
        <v>47</v>
      </c>
      <c r="K1636" s="29">
        <v>8397</v>
      </c>
      <c r="L1636" s="31">
        <v>4974368.6399978651</v>
      </c>
      <c r="M1636" s="31">
        <v>462101.74000086728</v>
      </c>
      <c r="N1636" s="31">
        <v>357954.39000081882</v>
      </c>
      <c r="O1636" s="34">
        <f t="shared" si="220"/>
        <v>9.28965610399686E-2</v>
      </c>
      <c r="P1636" s="34">
        <f t="shared" si="221"/>
        <v>0.77462246733835494</v>
      </c>
      <c r="Q1636" s="34">
        <f t="shared" si="222"/>
        <v>0.90710343896003143</v>
      </c>
      <c r="R1636" s="46">
        <f t="shared" si="223"/>
        <v>42.628842443827416</v>
      </c>
    </row>
    <row r="1637" spans="2:18" ht="12.75" customHeight="1" x14ac:dyDescent="0.25">
      <c r="B1637" s="17" t="s">
        <v>0</v>
      </c>
      <c r="C1637" s="44" t="s">
        <v>82</v>
      </c>
      <c r="D1637" s="22" t="s">
        <v>9</v>
      </c>
      <c r="E1637" s="20">
        <v>2</v>
      </c>
      <c r="F1637" s="17" t="s">
        <v>261</v>
      </c>
      <c r="G1637" s="17" t="s">
        <v>279</v>
      </c>
      <c r="H1637" s="17" t="s">
        <v>280</v>
      </c>
      <c r="I1637" s="17" t="s">
        <v>281</v>
      </c>
      <c r="J1637" s="27" t="s">
        <v>83</v>
      </c>
      <c r="K1637" s="29">
        <v>6919</v>
      </c>
      <c r="L1637" s="31">
        <v>1420052.3699999177</v>
      </c>
      <c r="M1637" s="31">
        <v>472018.06000011211</v>
      </c>
      <c r="N1637" s="31">
        <v>350969.4400000411</v>
      </c>
      <c r="O1637" s="34">
        <f t="shared" si="220"/>
        <v>0.33239482569233658</v>
      </c>
      <c r="P1637" s="34">
        <f t="shared" si="221"/>
        <v>0.74355087176104606</v>
      </c>
      <c r="Q1637" s="34">
        <f t="shared" si="222"/>
        <v>0.66760517430766342</v>
      </c>
      <c r="R1637" s="46">
        <f t="shared" si="223"/>
        <v>50.725457436051613</v>
      </c>
    </row>
    <row r="1638" spans="2:18" ht="12.75" customHeight="1" x14ac:dyDescent="0.25">
      <c r="B1638" s="17" t="s">
        <v>0</v>
      </c>
      <c r="C1638" s="44" t="s">
        <v>161</v>
      </c>
      <c r="D1638" s="22" t="s">
        <v>9</v>
      </c>
      <c r="E1638" s="20">
        <v>2</v>
      </c>
      <c r="F1638" s="17" t="s">
        <v>261</v>
      </c>
      <c r="G1638" s="17" t="s">
        <v>279</v>
      </c>
      <c r="H1638" s="17" t="s">
        <v>280</v>
      </c>
      <c r="I1638" s="17" t="s">
        <v>281</v>
      </c>
      <c r="J1638" s="27" t="s">
        <v>162</v>
      </c>
      <c r="K1638" s="29">
        <v>752</v>
      </c>
      <c r="L1638" s="31">
        <v>1563723.2200001599</v>
      </c>
      <c r="M1638" s="31">
        <v>427317.09000441898</v>
      </c>
      <c r="N1638" s="31">
        <v>340467.21999975399</v>
      </c>
      <c r="O1638" s="34">
        <f t="shared" si="220"/>
        <v>0.27326900601013987</v>
      </c>
      <c r="P1638" s="34">
        <f t="shared" si="221"/>
        <v>0.79675544920572483</v>
      </c>
      <c r="Q1638" s="34">
        <f t="shared" si="222"/>
        <v>0.72673099398986007</v>
      </c>
      <c r="R1638" s="46">
        <f t="shared" si="223"/>
        <v>452.74896276563032</v>
      </c>
    </row>
    <row r="1639" spans="2:18" ht="12.75" customHeight="1" x14ac:dyDescent="0.25">
      <c r="B1639" s="17" t="s">
        <v>0</v>
      </c>
      <c r="C1639" s="44" t="s">
        <v>7</v>
      </c>
      <c r="D1639" s="22" t="s">
        <v>2</v>
      </c>
      <c r="E1639" s="20">
        <v>1</v>
      </c>
      <c r="F1639" s="17" t="s">
        <v>261</v>
      </c>
      <c r="G1639" s="17" t="s">
        <v>279</v>
      </c>
      <c r="H1639" s="17" t="s">
        <v>280</v>
      </c>
      <c r="I1639" s="17" t="s">
        <v>281</v>
      </c>
      <c r="J1639" s="27" t="s">
        <v>8</v>
      </c>
      <c r="K1639" s="29">
        <v>7380</v>
      </c>
      <c r="L1639" s="31">
        <v>7423429.9000020139</v>
      </c>
      <c r="M1639" s="31">
        <v>290598.61000032688</v>
      </c>
      <c r="N1639" s="31">
        <v>231048.23000035089</v>
      </c>
      <c r="O1639" s="34">
        <f t="shared" si="220"/>
        <v>3.9146137825083797E-2</v>
      </c>
      <c r="P1639" s="34">
        <f t="shared" si="221"/>
        <v>0.79507685876436573</v>
      </c>
      <c r="Q1639" s="34">
        <f t="shared" si="222"/>
        <v>0.9608538621749162</v>
      </c>
      <c r="R1639" s="46">
        <f t="shared" si="223"/>
        <v>31.307348238529929</v>
      </c>
    </row>
    <row r="1640" spans="2:18" ht="12.75" customHeight="1" x14ac:dyDescent="0.25">
      <c r="B1640" s="17" t="s">
        <v>0</v>
      </c>
      <c r="C1640" s="44" t="s">
        <v>30</v>
      </c>
      <c r="D1640" s="22" t="s">
        <v>2</v>
      </c>
      <c r="E1640" s="20">
        <v>1</v>
      </c>
      <c r="F1640" s="17" t="s">
        <v>261</v>
      </c>
      <c r="G1640" s="17" t="s">
        <v>279</v>
      </c>
      <c r="H1640" s="17" t="s">
        <v>280</v>
      </c>
      <c r="I1640" s="17" t="s">
        <v>281</v>
      </c>
      <c r="J1640" s="27" t="s">
        <v>31</v>
      </c>
      <c r="K1640" s="29">
        <v>2268</v>
      </c>
      <c r="L1640" s="31">
        <v>1529765.1199992397</v>
      </c>
      <c r="M1640" s="31">
        <v>223929.41000000708</v>
      </c>
      <c r="N1640" s="31">
        <v>178104.56999955201</v>
      </c>
      <c r="O1640" s="34">
        <f t="shared" si="220"/>
        <v>0.14638156346519285</v>
      </c>
      <c r="P1640" s="34">
        <f t="shared" si="221"/>
        <v>0.79536033252419314</v>
      </c>
      <c r="Q1640" s="34">
        <f t="shared" si="222"/>
        <v>0.85361843653480718</v>
      </c>
      <c r="R1640" s="46">
        <f t="shared" si="223"/>
        <v>78.529351851654326</v>
      </c>
    </row>
    <row r="1641" spans="2:18" ht="12.75" customHeight="1" x14ac:dyDescent="0.25">
      <c r="B1641" s="17" t="s">
        <v>0</v>
      </c>
      <c r="C1641" s="44" t="s">
        <v>74</v>
      </c>
      <c r="D1641" s="22" t="s">
        <v>2</v>
      </c>
      <c r="E1641" s="20">
        <v>1</v>
      </c>
      <c r="F1641" s="17" t="s">
        <v>261</v>
      </c>
      <c r="G1641" s="17" t="s">
        <v>279</v>
      </c>
      <c r="H1641" s="17" t="s">
        <v>280</v>
      </c>
      <c r="I1641" s="17" t="s">
        <v>281</v>
      </c>
      <c r="J1641" s="27" t="s">
        <v>75</v>
      </c>
      <c r="K1641" s="29">
        <v>441</v>
      </c>
      <c r="L1641" s="31">
        <v>760177.00000102003</v>
      </c>
      <c r="M1641" s="31">
        <v>208562.680001317</v>
      </c>
      <c r="N1641" s="31">
        <v>166053.26999980301</v>
      </c>
      <c r="O1641" s="34">
        <f t="shared" si="220"/>
        <v>0.27436068178994777</v>
      </c>
      <c r="P1641" s="34">
        <f t="shared" si="221"/>
        <v>0.79617921096312361</v>
      </c>
      <c r="Q1641" s="34">
        <f t="shared" si="222"/>
        <v>0.72563931821005223</v>
      </c>
      <c r="R1641" s="46">
        <f t="shared" si="223"/>
        <v>376.53802721043769</v>
      </c>
    </row>
    <row r="1642" spans="2:18" ht="12.75" customHeight="1" x14ac:dyDescent="0.25">
      <c r="B1642" s="17" t="s">
        <v>0</v>
      </c>
      <c r="C1642" s="44" t="s">
        <v>38</v>
      </c>
      <c r="D1642" s="22" t="s">
        <v>2</v>
      </c>
      <c r="E1642" s="20">
        <v>1</v>
      </c>
      <c r="F1642" s="17" t="s">
        <v>261</v>
      </c>
      <c r="G1642" s="17" t="s">
        <v>279</v>
      </c>
      <c r="H1642" s="17" t="s">
        <v>280</v>
      </c>
      <c r="I1642" s="17" t="s">
        <v>281</v>
      </c>
      <c r="J1642" s="27" t="s">
        <v>39</v>
      </c>
      <c r="K1642" s="29">
        <v>1832</v>
      </c>
      <c r="L1642" s="31">
        <v>1125106.2500004398</v>
      </c>
      <c r="M1642" s="31">
        <v>189761.34000034348</v>
      </c>
      <c r="N1642" s="31">
        <v>150192.66999965374</v>
      </c>
      <c r="O1642" s="34">
        <f t="shared" si="220"/>
        <v>0.16866081758968923</v>
      </c>
      <c r="P1642" s="34">
        <f t="shared" si="221"/>
        <v>0.79148192144607477</v>
      </c>
      <c r="Q1642" s="34">
        <f t="shared" si="222"/>
        <v>0.8313391824103108</v>
      </c>
      <c r="R1642" s="46">
        <f t="shared" si="223"/>
        <v>81.982898471426708</v>
      </c>
    </row>
    <row r="1643" spans="2:18" ht="12.75" customHeight="1" x14ac:dyDescent="0.25">
      <c r="B1643" s="17" t="s">
        <v>0</v>
      </c>
      <c r="C1643" s="44" t="s">
        <v>131</v>
      </c>
      <c r="D1643" s="22" t="s">
        <v>9</v>
      </c>
      <c r="E1643" s="20">
        <v>2</v>
      </c>
      <c r="F1643" s="17" t="s">
        <v>261</v>
      </c>
      <c r="G1643" s="17" t="s">
        <v>279</v>
      </c>
      <c r="H1643" s="17" t="s">
        <v>280</v>
      </c>
      <c r="I1643" s="17" t="s">
        <v>281</v>
      </c>
      <c r="J1643" s="27" t="s">
        <v>132</v>
      </c>
      <c r="K1643" s="29">
        <v>895</v>
      </c>
      <c r="L1643" s="31">
        <v>431797.56</v>
      </c>
      <c r="M1643" s="31">
        <v>170281.82999892405</v>
      </c>
      <c r="N1643" s="31">
        <v>133619.61999958998</v>
      </c>
      <c r="O1643" s="34">
        <f t="shared" si="220"/>
        <v>0.39435570223908639</v>
      </c>
      <c r="P1643" s="34">
        <f t="shared" si="221"/>
        <v>0.78469687576433889</v>
      </c>
      <c r="Q1643" s="34">
        <f t="shared" si="222"/>
        <v>0.60564429776091355</v>
      </c>
      <c r="R1643" s="46">
        <f t="shared" si="223"/>
        <v>149.29566480401115</v>
      </c>
    </row>
    <row r="1644" spans="2:18" ht="12.75" customHeight="1" x14ac:dyDescent="0.25">
      <c r="B1644" s="17" t="s">
        <v>0</v>
      </c>
      <c r="C1644" s="44" t="s">
        <v>114</v>
      </c>
      <c r="D1644" s="22" t="s">
        <v>9</v>
      </c>
      <c r="E1644" s="20">
        <v>2</v>
      </c>
      <c r="F1644" s="17" t="s">
        <v>261</v>
      </c>
      <c r="G1644" s="17" t="s">
        <v>279</v>
      </c>
      <c r="H1644" s="17" t="s">
        <v>280</v>
      </c>
      <c r="I1644" s="17" t="s">
        <v>281</v>
      </c>
      <c r="J1644" s="27" t="s">
        <v>118</v>
      </c>
      <c r="K1644" s="29">
        <v>1568</v>
      </c>
      <c r="L1644" s="31">
        <v>555185.44000023999</v>
      </c>
      <c r="M1644" s="31">
        <v>172141.24000031204</v>
      </c>
      <c r="N1644" s="31">
        <v>132776.22999934203</v>
      </c>
      <c r="O1644" s="34">
        <f t="shared" si="220"/>
        <v>0.31006079698386474</v>
      </c>
      <c r="P1644" s="34">
        <f t="shared" si="221"/>
        <v>0.7713214451057826</v>
      </c>
      <c r="Q1644" s="34">
        <f t="shared" si="222"/>
        <v>0.68993920301613532</v>
      </c>
      <c r="R1644" s="46">
        <f t="shared" si="223"/>
        <v>84.678718111825276</v>
      </c>
    </row>
    <row r="1645" spans="2:18" ht="12.75" customHeight="1" x14ac:dyDescent="0.25">
      <c r="B1645" s="17" t="s">
        <v>0</v>
      </c>
      <c r="C1645" s="44" t="s">
        <v>18</v>
      </c>
      <c r="D1645" s="22" t="s">
        <v>9</v>
      </c>
      <c r="E1645" s="20">
        <v>2</v>
      </c>
      <c r="F1645" s="17" t="s">
        <v>261</v>
      </c>
      <c r="G1645" s="17" t="s">
        <v>279</v>
      </c>
      <c r="H1645" s="17" t="s">
        <v>280</v>
      </c>
      <c r="I1645" s="17" t="s">
        <v>281</v>
      </c>
      <c r="J1645" s="27" t="s">
        <v>19</v>
      </c>
      <c r="K1645" s="29">
        <v>1087</v>
      </c>
      <c r="L1645" s="31">
        <v>922950.39999737008</v>
      </c>
      <c r="M1645" s="31">
        <v>165246.97999971002</v>
      </c>
      <c r="N1645" s="31">
        <v>128500.35999995301</v>
      </c>
      <c r="O1645" s="34">
        <f t="shared" si="220"/>
        <v>0.17904210237102761</v>
      </c>
      <c r="P1645" s="34">
        <f t="shared" si="221"/>
        <v>0.77762607219919244</v>
      </c>
      <c r="Q1645" s="34">
        <f t="shared" si="222"/>
        <v>0.82095789762897242</v>
      </c>
      <c r="R1645" s="46">
        <f t="shared" si="223"/>
        <v>118.21560257585374</v>
      </c>
    </row>
    <row r="1646" spans="2:18" ht="12.75" customHeight="1" x14ac:dyDescent="0.25">
      <c r="B1646" s="17" t="s">
        <v>0</v>
      </c>
      <c r="C1646" s="44" t="s">
        <v>58</v>
      </c>
      <c r="D1646" s="22" t="s">
        <v>2</v>
      </c>
      <c r="E1646" s="20">
        <v>1</v>
      </c>
      <c r="F1646" s="17" t="s">
        <v>261</v>
      </c>
      <c r="G1646" s="17" t="s">
        <v>279</v>
      </c>
      <c r="H1646" s="17" t="s">
        <v>280</v>
      </c>
      <c r="I1646" s="17" t="s">
        <v>281</v>
      </c>
      <c r="J1646" s="27" t="s">
        <v>59</v>
      </c>
      <c r="K1646" s="29">
        <v>5245</v>
      </c>
      <c r="L1646" s="31">
        <v>3924281.2199798999</v>
      </c>
      <c r="M1646" s="31">
        <v>158897.78000184399</v>
      </c>
      <c r="N1646" s="31">
        <v>126208.28999952899</v>
      </c>
      <c r="O1646" s="34">
        <f t="shared" si="220"/>
        <v>4.0490925877798803E-2</v>
      </c>
      <c r="P1646" s="34">
        <f t="shared" si="221"/>
        <v>0.79427346309095292</v>
      </c>
      <c r="Q1646" s="34">
        <f t="shared" si="222"/>
        <v>0.95950907412220121</v>
      </c>
      <c r="R1646" s="46">
        <f t="shared" si="223"/>
        <v>24.062591038995041</v>
      </c>
    </row>
    <row r="1647" spans="2:18" ht="12.75" customHeight="1" x14ac:dyDescent="0.25">
      <c r="B1647" s="17" t="s">
        <v>0</v>
      </c>
      <c r="C1647" s="44" t="s">
        <v>30</v>
      </c>
      <c r="D1647" s="22" t="s">
        <v>9</v>
      </c>
      <c r="E1647" s="20">
        <v>2</v>
      </c>
      <c r="F1647" s="17" t="s">
        <v>261</v>
      </c>
      <c r="G1647" s="17" t="s">
        <v>279</v>
      </c>
      <c r="H1647" s="17" t="s">
        <v>280</v>
      </c>
      <c r="I1647" s="17" t="s">
        <v>281</v>
      </c>
      <c r="J1647" s="27" t="s">
        <v>31</v>
      </c>
      <c r="K1647" s="29">
        <v>3022</v>
      </c>
      <c r="L1647" s="31">
        <v>391743.71999996004</v>
      </c>
      <c r="M1647" s="31">
        <v>170665.40999980294</v>
      </c>
      <c r="N1647" s="31">
        <v>125226.17999983765</v>
      </c>
      <c r="O1647" s="34">
        <f t="shared" si="220"/>
        <v>0.43565576494709435</v>
      </c>
      <c r="P1647" s="34">
        <f t="shared" si="221"/>
        <v>0.73375255126379879</v>
      </c>
      <c r="Q1647" s="34">
        <f t="shared" si="222"/>
        <v>0.56434423505290565</v>
      </c>
      <c r="R1647" s="46">
        <f t="shared" si="223"/>
        <v>41.438180013182546</v>
      </c>
    </row>
    <row r="1648" spans="2:18" ht="12.75" customHeight="1" x14ac:dyDescent="0.25">
      <c r="B1648" s="17" t="s">
        <v>0</v>
      </c>
      <c r="C1648" s="44" t="s">
        <v>161</v>
      </c>
      <c r="D1648" s="22" t="s">
        <v>2</v>
      </c>
      <c r="E1648" s="20">
        <v>1</v>
      </c>
      <c r="F1648" s="17" t="s">
        <v>261</v>
      </c>
      <c r="G1648" s="17" t="s">
        <v>279</v>
      </c>
      <c r="H1648" s="17" t="s">
        <v>280</v>
      </c>
      <c r="I1648" s="17" t="s">
        <v>281</v>
      </c>
      <c r="J1648" s="27" t="s">
        <v>162</v>
      </c>
      <c r="K1648" s="29">
        <v>1006</v>
      </c>
      <c r="L1648" s="31">
        <v>1788751.6299990099</v>
      </c>
      <c r="M1648" s="31">
        <v>144001.98000025694</v>
      </c>
      <c r="N1648" s="31">
        <v>112573.12000030198</v>
      </c>
      <c r="O1648" s="34">
        <f t="shared" si="220"/>
        <v>8.0504178213012534E-2</v>
      </c>
      <c r="P1648" s="34">
        <f t="shared" si="221"/>
        <v>0.78174702875683455</v>
      </c>
      <c r="Q1648" s="34">
        <f t="shared" si="222"/>
        <v>0.91949582178698752</v>
      </c>
      <c r="R1648" s="46">
        <f t="shared" si="223"/>
        <v>111.90170974185087</v>
      </c>
    </row>
    <row r="1649" spans="2:18" ht="12.75" customHeight="1" x14ac:dyDescent="0.25">
      <c r="B1649" s="17" t="s">
        <v>0</v>
      </c>
      <c r="C1649" s="44" t="s">
        <v>54</v>
      </c>
      <c r="D1649" s="22" t="s">
        <v>9</v>
      </c>
      <c r="E1649" s="20">
        <v>2</v>
      </c>
      <c r="F1649" s="17" t="s">
        <v>261</v>
      </c>
      <c r="G1649" s="17" t="s">
        <v>279</v>
      </c>
      <c r="H1649" s="17" t="s">
        <v>280</v>
      </c>
      <c r="I1649" s="17" t="s">
        <v>281</v>
      </c>
      <c r="J1649" s="27" t="s">
        <v>55</v>
      </c>
      <c r="K1649" s="29">
        <v>3339</v>
      </c>
      <c r="L1649" s="31">
        <v>385685.29000041314</v>
      </c>
      <c r="M1649" s="31">
        <v>153562.19999988793</v>
      </c>
      <c r="N1649" s="31">
        <v>107953.51000057693</v>
      </c>
      <c r="O1649" s="34">
        <f t="shared" ref="O1649:O1680" si="224">IFERROR(M1649/L1649,0)</f>
        <v>0.39815415309130259</v>
      </c>
      <c r="P1649" s="34">
        <f t="shared" ref="P1649:P1680" si="225">IFERROR(N1649/M1649,0)</f>
        <v>0.70299533349128707</v>
      </c>
      <c r="Q1649" s="34">
        <f t="shared" ref="Q1649:Q1680" si="226">IFERROR(1-(M1649/L1649),0)</f>
        <v>0.60184584690869736</v>
      </c>
      <c r="R1649" s="46">
        <f t="shared" ref="R1649:R1680" si="227">IFERROR(N1649/K1649,0)</f>
        <v>32.331090146923309</v>
      </c>
    </row>
    <row r="1650" spans="2:18" ht="12.75" customHeight="1" x14ac:dyDescent="0.25">
      <c r="B1650" s="17" t="s">
        <v>0</v>
      </c>
      <c r="C1650" s="44" t="s">
        <v>90</v>
      </c>
      <c r="D1650" s="22" t="s">
        <v>2</v>
      </c>
      <c r="E1650" s="20">
        <v>1</v>
      </c>
      <c r="F1650" s="17" t="s">
        <v>261</v>
      </c>
      <c r="G1650" s="17" t="s">
        <v>279</v>
      </c>
      <c r="H1650" s="17" t="s">
        <v>280</v>
      </c>
      <c r="I1650" s="17" t="s">
        <v>281</v>
      </c>
      <c r="J1650" s="27" t="s">
        <v>91</v>
      </c>
      <c r="K1650" s="29">
        <v>545</v>
      </c>
      <c r="L1650" s="31">
        <v>447263.31000008999</v>
      </c>
      <c r="M1650" s="31">
        <v>122968.63999987001</v>
      </c>
      <c r="N1650" s="31">
        <v>98117.720000389978</v>
      </c>
      <c r="O1650" s="34">
        <f t="shared" si="224"/>
        <v>0.27493567491562243</v>
      </c>
      <c r="P1650" s="34">
        <f t="shared" si="225"/>
        <v>0.79790847488021088</v>
      </c>
      <c r="Q1650" s="34">
        <f t="shared" si="226"/>
        <v>0.72506432508437757</v>
      </c>
      <c r="R1650" s="46">
        <f t="shared" si="227"/>
        <v>180.03251376218344</v>
      </c>
    </row>
    <row r="1651" spans="2:18" ht="12.75" customHeight="1" x14ac:dyDescent="0.25">
      <c r="B1651" s="17" t="s">
        <v>0</v>
      </c>
      <c r="C1651" s="44" t="s">
        <v>64</v>
      </c>
      <c r="D1651" s="22" t="s">
        <v>2</v>
      </c>
      <c r="E1651" s="20">
        <v>1</v>
      </c>
      <c r="F1651" s="17" t="s">
        <v>261</v>
      </c>
      <c r="G1651" s="17" t="s">
        <v>279</v>
      </c>
      <c r="H1651" s="17" t="s">
        <v>280</v>
      </c>
      <c r="I1651" s="17" t="s">
        <v>281</v>
      </c>
      <c r="J1651" s="27" t="s">
        <v>65</v>
      </c>
      <c r="K1651" s="29">
        <v>351</v>
      </c>
      <c r="L1651" s="31">
        <v>423412</v>
      </c>
      <c r="M1651" s="31">
        <v>114849.35000121598</v>
      </c>
      <c r="N1651" s="31">
        <v>91704.569999037994</v>
      </c>
      <c r="O1651" s="34">
        <f t="shared" si="224"/>
        <v>0.27124727216332079</v>
      </c>
      <c r="P1651" s="34">
        <f t="shared" si="225"/>
        <v>0.79847704839485001</v>
      </c>
      <c r="Q1651" s="34">
        <f t="shared" si="226"/>
        <v>0.72875272783667921</v>
      </c>
      <c r="R1651" s="46">
        <f t="shared" si="227"/>
        <v>261.26658119384047</v>
      </c>
    </row>
    <row r="1652" spans="2:18" ht="12.75" customHeight="1" x14ac:dyDescent="0.25">
      <c r="B1652" s="17" t="s">
        <v>0</v>
      </c>
      <c r="C1652" s="44" t="s">
        <v>68</v>
      </c>
      <c r="D1652" s="22" t="s">
        <v>9</v>
      </c>
      <c r="E1652" s="20">
        <v>2</v>
      </c>
      <c r="F1652" s="17" t="s">
        <v>261</v>
      </c>
      <c r="G1652" s="17" t="s">
        <v>279</v>
      </c>
      <c r="H1652" s="17" t="s">
        <v>280</v>
      </c>
      <c r="I1652" s="17" t="s">
        <v>281</v>
      </c>
      <c r="J1652" s="27" t="s">
        <v>69</v>
      </c>
      <c r="K1652" s="29">
        <v>323</v>
      </c>
      <c r="L1652" s="31">
        <v>277863.00000007998</v>
      </c>
      <c r="M1652" s="31">
        <v>90982.999999758016</v>
      </c>
      <c r="N1652" s="31">
        <v>71899.160000140997</v>
      </c>
      <c r="O1652" s="34">
        <f t="shared" si="224"/>
        <v>0.32743834191573484</v>
      </c>
      <c r="P1652" s="34">
        <f t="shared" si="225"/>
        <v>0.79024828814539227</v>
      </c>
      <c r="Q1652" s="34">
        <f t="shared" si="226"/>
        <v>0.67256165808426516</v>
      </c>
      <c r="R1652" s="46">
        <f t="shared" si="227"/>
        <v>222.59801857628793</v>
      </c>
    </row>
    <row r="1653" spans="2:18" ht="12.75" customHeight="1" x14ac:dyDescent="0.25">
      <c r="B1653" s="17" t="s">
        <v>0</v>
      </c>
      <c r="C1653" s="44" t="s">
        <v>155</v>
      </c>
      <c r="D1653" s="22" t="s">
        <v>2</v>
      </c>
      <c r="E1653" s="20">
        <v>1</v>
      </c>
      <c r="F1653" s="17" t="s">
        <v>261</v>
      </c>
      <c r="G1653" s="17" t="s">
        <v>279</v>
      </c>
      <c r="H1653" s="17" t="s">
        <v>280</v>
      </c>
      <c r="I1653" s="17" t="s">
        <v>281</v>
      </c>
      <c r="J1653" s="27" t="s">
        <v>156</v>
      </c>
      <c r="K1653" s="29">
        <v>2525</v>
      </c>
      <c r="L1653" s="31">
        <v>148975</v>
      </c>
      <c r="M1653" s="31">
        <v>80774.559998800003</v>
      </c>
      <c r="N1653" s="31">
        <v>64334.700000224999</v>
      </c>
      <c r="O1653" s="34">
        <f t="shared" si="224"/>
        <v>0.54220211444067801</v>
      </c>
      <c r="P1653" s="34">
        <f t="shared" si="225"/>
        <v>0.7964723051562369</v>
      </c>
      <c r="Q1653" s="34">
        <f t="shared" si="226"/>
        <v>0.45779788555932199</v>
      </c>
      <c r="R1653" s="46">
        <f t="shared" si="227"/>
        <v>25.479089109</v>
      </c>
    </row>
    <row r="1654" spans="2:18" ht="12.75" customHeight="1" x14ac:dyDescent="0.25">
      <c r="B1654" s="17" t="s">
        <v>0</v>
      </c>
      <c r="C1654" s="44" t="s">
        <v>236</v>
      </c>
      <c r="D1654" s="22" t="s">
        <v>2</v>
      </c>
      <c r="E1654" s="20">
        <v>1</v>
      </c>
      <c r="F1654" s="17" t="s">
        <v>261</v>
      </c>
      <c r="G1654" s="17" t="s">
        <v>279</v>
      </c>
      <c r="H1654" s="17" t="s">
        <v>280</v>
      </c>
      <c r="I1654" s="17" t="s">
        <v>281</v>
      </c>
      <c r="J1654" s="27" t="s">
        <v>237</v>
      </c>
      <c r="K1654" s="29">
        <v>1701</v>
      </c>
      <c r="L1654" s="31">
        <v>3731568.75</v>
      </c>
      <c r="M1654" s="31">
        <v>51737.179999679996</v>
      </c>
      <c r="N1654" s="31">
        <v>41221.530000503997</v>
      </c>
      <c r="O1654" s="34">
        <f t="shared" si="224"/>
        <v>1.3864726463817662E-2</v>
      </c>
      <c r="P1654" s="34">
        <f t="shared" si="225"/>
        <v>0.79674868249021225</v>
      </c>
      <c r="Q1654" s="34">
        <f t="shared" si="226"/>
        <v>0.98613527353618236</v>
      </c>
      <c r="R1654" s="46">
        <f t="shared" si="227"/>
        <v>24.233703704</v>
      </c>
    </row>
    <row r="1655" spans="2:18" ht="12.75" customHeight="1" x14ac:dyDescent="0.25">
      <c r="B1655" s="17" t="s">
        <v>0</v>
      </c>
      <c r="C1655" s="44" t="s">
        <v>92</v>
      </c>
      <c r="D1655" s="22" t="s">
        <v>9</v>
      </c>
      <c r="E1655" s="20">
        <v>2</v>
      </c>
      <c r="F1655" s="17" t="s">
        <v>261</v>
      </c>
      <c r="G1655" s="17" t="s">
        <v>279</v>
      </c>
      <c r="H1655" s="17" t="s">
        <v>280</v>
      </c>
      <c r="I1655" s="17" t="s">
        <v>281</v>
      </c>
      <c r="J1655" s="27" t="s">
        <v>93</v>
      </c>
      <c r="K1655" s="29">
        <v>591</v>
      </c>
      <c r="L1655" s="31">
        <v>113948.56000000599</v>
      </c>
      <c r="M1655" s="31">
        <v>52356.779999834995</v>
      </c>
      <c r="N1655" s="31">
        <v>38729.609999923989</v>
      </c>
      <c r="O1655" s="34">
        <f t="shared" si="224"/>
        <v>0.45947732906701272</v>
      </c>
      <c r="P1655" s="34">
        <f t="shared" si="225"/>
        <v>0.73972482647034532</v>
      </c>
      <c r="Q1655" s="34">
        <f t="shared" si="226"/>
        <v>0.54052267093298734</v>
      </c>
      <c r="R1655" s="46">
        <f t="shared" si="227"/>
        <v>65.532335025252095</v>
      </c>
    </row>
    <row r="1656" spans="2:18" ht="12.75" customHeight="1" x14ac:dyDescent="0.25">
      <c r="B1656" s="17" t="s">
        <v>0</v>
      </c>
      <c r="C1656" s="44" t="s">
        <v>145</v>
      </c>
      <c r="D1656" s="22" t="s">
        <v>9</v>
      </c>
      <c r="E1656" s="20">
        <v>2</v>
      </c>
      <c r="F1656" s="17" t="s">
        <v>261</v>
      </c>
      <c r="G1656" s="17" t="s">
        <v>279</v>
      </c>
      <c r="H1656" s="17" t="s">
        <v>280</v>
      </c>
      <c r="I1656" s="17" t="s">
        <v>281</v>
      </c>
      <c r="J1656" s="27" t="s">
        <v>146</v>
      </c>
      <c r="K1656" s="29">
        <v>286</v>
      </c>
      <c r="L1656" s="31">
        <v>146009.74999996999</v>
      </c>
      <c r="M1656" s="31">
        <v>47986.539999799999</v>
      </c>
      <c r="N1656" s="31">
        <v>36587.070000209998</v>
      </c>
      <c r="O1656" s="34">
        <f t="shared" si="224"/>
        <v>0.3286529837891638</v>
      </c>
      <c r="P1656" s="34">
        <f t="shared" si="225"/>
        <v>0.76244442713232685</v>
      </c>
      <c r="Q1656" s="34">
        <f t="shared" si="226"/>
        <v>0.67134701621083614</v>
      </c>
      <c r="R1656" s="46">
        <f t="shared" si="227"/>
        <v>127.92681818255244</v>
      </c>
    </row>
    <row r="1657" spans="2:18" ht="12.75" customHeight="1" x14ac:dyDescent="0.25">
      <c r="B1657" s="17" t="s">
        <v>0</v>
      </c>
      <c r="C1657" s="44" t="s">
        <v>36</v>
      </c>
      <c r="D1657" s="22" t="s">
        <v>9</v>
      </c>
      <c r="E1657" s="20">
        <v>2</v>
      </c>
      <c r="F1657" s="17" t="s">
        <v>261</v>
      </c>
      <c r="G1657" s="17" t="s">
        <v>279</v>
      </c>
      <c r="H1657" s="17" t="s">
        <v>280</v>
      </c>
      <c r="I1657" s="17" t="s">
        <v>281</v>
      </c>
      <c r="J1657" s="27" t="s">
        <v>37</v>
      </c>
      <c r="K1657" s="29">
        <v>339</v>
      </c>
      <c r="L1657" s="31">
        <v>326704.89999961003</v>
      </c>
      <c r="M1657" s="31">
        <v>46279.060000227997</v>
      </c>
      <c r="N1657" s="31">
        <v>36227.880000056997</v>
      </c>
      <c r="O1657" s="34">
        <f t="shared" si="224"/>
        <v>0.14165401253633855</v>
      </c>
      <c r="P1657" s="34">
        <f t="shared" si="225"/>
        <v>0.7828136526515127</v>
      </c>
      <c r="Q1657" s="34">
        <f t="shared" si="226"/>
        <v>0.85834598746366142</v>
      </c>
      <c r="R1657" s="46">
        <f t="shared" si="227"/>
        <v>106.86690265503539</v>
      </c>
    </row>
    <row r="1658" spans="2:18" ht="12.75" customHeight="1" x14ac:dyDescent="0.25">
      <c r="B1658" s="17" t="s">
        <v>0</v>
      </c>
      <c r="C1658" s="44" t="s">
        <v>176</v>
      </c>
      <c r="D1658" s="22" t="s">
        <v>9</v>
      </c>
      <c r="E1658" s="20">
        <v>2</v>
      </c>
      <c r="F1658" s="17" t="s">
        <v>261</v>
      </c>
      <c r="G1658" s="17" t="s">
        <v>279</v>
      </c>
      <c r="H1658" s="17" t="s">
        <v>280</v>
      </c>
      <c r="I1658" s="17" t="s">
        <v>281</v>
      </c>
      <c r="J1658" s="27" t="s">
        <v>177</v>
      </c>
      <c r="K1658" s="29">
        <v>362</v>
      </c>
      <c r="L1658" s="31">
        <v>158485.0000002</v>
      </c>
      <c r="M1658" s="31">
        <v>45808.670000256003</v>
      </c>
      <c r="N1658" s="31">
        <v>33763.770000105003</v>
      </c>
      <c r="O1658" s="34">
        <f t="shared" si="224"/>
        <v>0.28904104489508908</v>
      </c>
      <c r="P1658" s="34">
        <f t="shared" si="225"/>
        <v>0.73706069178424771</v>
      </c>
      <c r="Q1658" s="34">
        <f t="shared" si="226"/>
        <v>0.71095895510491092</v>
      </c>
      <c r="R1658" s="46">
        <f t="shared" si="227"/>
        <v>93.270082873218243</v>
      </c>
    </row>
    <row r="1659" spans="2:18" ht="12.75" customHeight="1" x14ac:dyDescent="0.25">
      <c r="B1659" s="17" t="s">
        <v>0</v>
      </c>
      <c r="C1659" s="44" t="s">
        <v>180</v>
      </c>
      <c r="D1659" s="22" t="s">
        <v>9</v>
      </c>
      <c r="E1659" s="20">
        <v>2</v>
      </c>
      <c r="F1659" s="17" t="s">
        <v>261</v>
      </c>
      <c r="G1659" s="17" t="s">
        <v>279</v>
      </c>
      <c r="H1659" s="17" t="s">
        <v>280</v>
      </c>
      <c r="I1659" s="17" t="s">
        <v>281</v>
      </c>
      <c r="J1659" s="27" t="s">
        <v>181</v>
      </c>
      <c r="K1659" s="29">
        <v>352</v>
      </c>
      <c r="L1659" s="31">
        <v>138749.00000002002</v>
      </c>
      <c r="M1659" s="31">
        <v>41985.440000685994</v>
      </c>
      <c r="N1659" s="31">
        <v>33522.550000746</v>
      </c>
      <c r="O1659" s="34">
        <f t="shared" si="224"/>
        <v>0.30259994667118273</v>
      </c>
      <c r="P1659" s="34">
        <f t="shared" si="225"/>
        <v>0.79843274240303974</v>
      </c>
      <c r="Q1659" s="34">
        <f t="shared" si="226"/>
        <v>0.69740005332881727</v>
      </c>
      <c r="R1659" s="46">
        <f t="shared" si="227"/>
        <v>95.23451704757386</v>
      </c>
    </row>
    <row r="1660" spans="2:18" ht="12.75" customHeight="1" x14ac:dyDescent="0.25">
      <c r="B1660" s="17" t="s">
        <v>0</v>
      </c>
      <c r="C1660" s="44" t="s">
        <v>74</v>
      </c>
      <c r="D1660" s="22" t="s">
        <v>9</v>
      </c>
      <c r="E1660" s="20">
        <v>2</v>
      </c>
      <c r="F1660" s="17" t="s">
        <v>261</v>
      </c>
      <c r="G1660" s="17" t="s">
        <v>279</v>
      </c>
      <c r="H1660" s="17" t="s">
        <v>280</v>
      </c>
      <c r="I1660" s="17" t="s">
        <v>281</v>
      </c>
      <c r="J1660" s="27" t="s">
        <v>75</v>
      </c>
      <c r="K1660" s="29">
        <v>268</v>
      </c>
      <c r="L1660" s="31">
        <v>96461.99999923</v>
      </c>
      <c r="M1660" s="31">
        <v>42180.190000047995</v>
      </c>
      <c r="N1660" s="31">
        <v>32587.769999786997</v>
      </c>
      <c r="O1660" s="34">
        <f t="shared" si="224"/>
        <v>0.43727260476026514</v>
      </c>
      <c r="P1660" s="34">
        <f t="shared" si="225"/>
        <v>0.77258471333936418</v>
      </c>
      <c r="Q1660" s="34">
        <f t="shared" si="226"/>
        <v>0.56272739523973492</v>
      </c>
      <c r="R1660" s="46">
        <f t="shared" si="227"/>
        <v>121.59615671562312</v>
      </c>
    </row>
    <row r="1661" spans="2:18" ht="12.75" customHeight="1" x14ac:dyDescent="0.25">
      <c r="B1661" s="17" t="s">
        <v>0</v>
      </c>
      <c r="C1661" s="44" t="s">
        <v>26</v>
      </c>
      <c r="D1661" s="22" t="s">
        <v>9</v>
      </c>
      <c r="E1661" s="20">
        <v>2</v>
      </c>
      <c r="F1661" s="17" t="s">
        <v>261</v>
      </c>
      <c r="G1661" s="17" t="s">
        <v>279</v>
      </c>
      <c r="H1661" s="17" t="s">
        <v>280</v>
      </c>
      <c r="I1661" s="17" t="s">
        <v>281</v>
      </c>
      <c r="J1661" s="27" t="s">
        <v>27</v>
      </c>
      <c r="K1661" s="29">
        <v>373</v>
      </c>
      <c r="L1661" s="31">
        <v>444726.99999935005</v>
      </c>
      <c r="M1661" s="31">
        <v>41713.729999915005</v>
      </c>
      <c r="N1661" s="31">
        <v>32073.509999725</v>
      </c>
      <c r="O1661" s="34">
        <f t="shared" si="224"/>
        <v>9.3796261526680344E-2</v>
      </c>
      <c r="P1661" s="34">
        <f t="shared" si="225"/>
        <v>0.76889575685968026</v>
      </c>
      <c r="Q1661" s="34">
        <f t="shared" si="226"/>
        <v>0.9062037384733197</v>
      </c>
      <c r="R1661" s="46">
        <f t="shared" si="227"/>
        <v>85.98796246575067</v>
      </c>
    </row>
    <row r="1662" spans="2:18" ht="12.75" customHeight="1" x14ac:dyDescent="0.25">
      <c r="B1662" s="17" t="s">
        <v>0</v>
      </c>
      <c r="C1662" s="44" t="s">
        <v>44</v>
      </c>
      <c r="D1662" s="22" t="s">
        <v>9</v>
      </c>
      <c r="E1662" s="20">
        <v>2</v>
      </c>
      <c r="F1662" s="17" t="s">
        <v>261</v>
      </c>
      <c r="G1662" s="17" t="s">
        <v>279</v>
      </c>
      <c r="H1662" s="17" t="s">
        <v>280</v>
      </c>
      <c r="I1662" s="17" t="s">
        <v>281</v>
      </c>
      <c r="J1662" s="27" t="s">
        <v>45</v>
      </c>
      <c r="K1662" s="29">
        <v>254</v>
      </c>
      <c r="L1662" s="31">
        <v>752268.0000005</v>
      </c>
      <c r="M1662" s="31">
        <v>38716.429999943997</v>
      </c>
      <c r="N1662" s="31">
        <v>30152.839999898002</v>
      </c>
      <c r="O1662" s="34">
        <f t="shared" si="224"/>
        <v>5.1466272658039776E-2</v>
      </c>
      <c r="P1662" s="34">
        <f t="shared" si="225"/>
        <v>0.77881250931301305</v>
      </c>
      <c r="Q1662" s="34">
        <f t="shared" si="226"/>
        <v>0.94853372734196018</v>
      </c>
      <c r="R1662" s="46">
        <f t="shared" si="227"/>
        <v>118.71196850353545</v>
      </c>
    </row>
    <row r="1663" spans="2:18" ht="12.75" customHeight="1" x14ac:dyDescent="0.25">
      <c r="B1663" s="17" t="s">
        <v>0</v>
      </c>
      <c r="C1663" s="44" t="s">
        <v>28</v>
      </c>
      <c r="D1663" s="22" t="s">
        <v>2</v>
      </c>
      <c r="E1663" s="20">
        <v>1</v>
      </c>
      <c r="F1663" s="17" t="s">
        <v>261</v>
      </c>
      <c r="G1663" s="17" t="s">
        <v>279</v>
      </c>
      <c r="H1663" s="17" t="s">
        <v>280</v>
      </c>
      <c r="I1663" s="17" t="s">
        <v>281</v>
      </c>
      <c r="J1663" s="27" t="s">
        <v>29</v>
      </c>
      <c r="K1663" s="29">
        <v>274</v>
      </c>
      <c r="L1663" s="31">
        <v>279244.66999968002</v>
      </c>
      <c r="M1663" s="31">
        <v>37440.669999819998</v>
      </c>
      <c r="N1663" s="31">
        <v>29602.790000209992</v>
      </c>
      <c r="O1663" s="34">
        <f t="shared" si="224"/>
        <v>0.13407836933776712</v>
      </c>
      <c r="P1663" s="34">
        <f t="shared" si="225"/>
        <v>0.79065866076521363</v>
      </c>
      <c r="Q1663" s="34">
        <f t="shared" si="226"/>
        <v>0.86592163066223282</v>
      </c>
      <c r="R1663" s="46">
        <f t="shared" si="227"/>
        <v>108.0393795628102</v>
      </c>
    </row>
    <row r="1664" spans="2:18" ht="12.75" customHeight="1" x14ac:dyDescent="0.25">
      <c r="B1664" s="17" t="s">
        <v>0</v>
      </c>
      <c r="C1664" s="44" t="s">
        <v>196</v>
      </c>
      <c r="D1664" s="22" t="s">
        <v>9</v>
      </c>
      <c r="E1664" s="20">
        <v>2</v>
      </c>
      <c r="F1664" s="17" t="s">
        <v>261</v>
      </c>
      <c r="G1664" s="17" t="s">
        <v>279</v>
      </c>
      <c r="H1664" s="17" t="s">
        <v>280</v>
      </c>
      <c r="I1664" s="17" t="s">
        <v>281</v>
      </c>
      <c r="J1664" s="27" t="s">
        <v>197</v>
      </c>
      <c r="K1664" s="29">
        <v>253</v>
      </c>
      <c r="L1664" s="31">
        <v>119660.74000005001</v>
      </c>
      <c r="M1664" s="31">
        <v>34699.040000173998</v>
      </c>
      <c r="N1664" s="31">
        <v>27592.440000055001</v>
      </c>
      <c r="O1664" s="34">
        <f t="shared" si="224"/>
        <v>0.28997848417249883</v>
      </c>
      <c r="P1664" s="34">
        <f t="shared" si="225"/>
        <v>0.79519318113459736</v>
      </c>
      <c r="Q1664" s="34">
        <f t="shared" si="226"/>
        <v>0.71002151582750117</v>
      </c>
      <c r="R1664" s="46">
        <f t="shared" si="227"/>
        <v>109.06102766820159</v>
      </c>
    </row>
    <row r="1665" spans="2:18" ht="12.75" customHeight="1" x14ac:dyDescent="0.25">
      <c r="B1665" s="17" t="s">
        <v>0</v>
      </c>
      <c r="C1665" s="44" t="s">
        <v>34</v>
      </c>
      <c r="D1665" s="22" t="s">
        <v>2</v>
      </c>
      <c r="E1665" s="20">
        <v>1</v>
      </c>
      <c r="F1665" s="17" t="s">
        <v>261</v>
      </c>
      <c r="G1665" s="17" t="s">
        <v>279</v>
      </c>
      <c r="H1665" s="17" t="s">
        <v>280</v>
      </c>
      <c r="I1665" s="17" t="s">
        <v>281</v>
      </c>
      <c r="J1665" s="27" t="s">
        <v>35</v>
      </c>
      <c r="K1665" s="29">
        <v>104</v>
      </c>
      <c r="L1665" s="31">
        <v>224633.82999984</v>
      </c>
      <c r="M1665" s="31">
        <v>33986.720000005</v>
      </c>
      <c r="N1665" s="31">
        <v>27034.400000053</v>
      </c>
      <c r="O1665" s="34">
        <f t="shared" si="224"/>
        <v>0.1512983151292448</v>
      </c>
      <c r="P1665" s="34">
        <f t="shared" si="225"/>
        <v>0.79544010131160114</v>
      </c>
      <c r="Q1665" s="34">
        <f t="shared" si="226"/>
        <v>0.84870168487075515</v>
      </c>
      <c r="R1665" s="46">
        <f t="shared" si="227"/>
        <v>259.94615384666344</v>
      </c>
    </row>
    <row r="1666" spans="2:18" ht="12.75" customHeight="1" x14ac:dyDescent="0.25">
      <c r="B1666" s="17" t="s">
        <v>0</v>
      </c>
      <c r="C1666" s="44" t="s">
        <v>196</v>
      </c>
      <c r="D1666" s="22" t="s">
        <v>2</v>
      </c>
      <c r="E1666" s="20">
        <v>1</v>
      </c>
      <c r="F1666" s="17" t="s">
        <v>261</v>
      </c>
      <c r="G1666" s="17" t="s">
        <v>279</v>
      </c>
      <c r="H1666" s="17" t="s">
        <v>280</v>
      </c>
      <c r="I1666" s="17" t="s">
        <v>281</v>
      </c>
      <c r="J1666" s="27" t="s">
        <v>197</v>
      </c>
      <c r="K1666" s="29">
        <v>298</v>
      </c>
      <c r="L1666" s="31">
        <v>188728.99999967997</v>
      </c>
      <c r="M1666" s="31">
        <v>33109.690000055998</v>
      </c>
      <c r="N1666" s="31">
        <v>26308.270000036999</v>
      </c>
      <c r="O1666" s="34">
        <f t="shared" si="224"/>
        <v>0.17543509476610453</v>
      </c>
      <c r="P1666" s="34">
        <f t="shared" si="225"/>
        <v>0.79457917002522538</v>
      </c>
      <c r="Q1666" s="34">
        <f t="shared" si="226"/>
        <v>0.82456490523389547</v>
      </c>
      <c r="R1666" s="46">
        <f t="shared" si="227"/>
        <v>88.282785235023482</v>
      </c>
    </row>
    <row r="1667" spans="2:18" ht="12.75" customHeight="1" x14ac:dyDescent="0.25">
      <c r="B1667" s="17" t="s">
        <v>0</v>
      </c>
      <c r="C1667" s="44" t="s">
        <v>54</v>
      </c>
      <c r="D1667" s="22" t="s">
        <v>2</v>
      </c>
      <c r="E1667" s="20">
        <v>1</v>
      </c>
      <c r="F1667" s="17" t="s">
        <v>261</v>
      </c>
      <c r="G1667" s="17" t="s">
        <v>279</v>
      </c>
      <c r="H1667" s="17" t="s">
        <v>280</v>
      </c>
      <c r="I1667" s="17" t="s">
        <v>281</v>
      </c>
      <c r="J1667" s="27" t="s">
        <v>55</v>
      </c>
      <c r="K1667" s="29">
        <v>721</v>
      </c>
      <c r="L1667" s="31">
        <v>64948.00999993</v>
      </c>
      <c r="M1667" s="31">
        <v>24436.400000271002</v>
      </c>
      <c r="N1667" s="31">
        <v>19378.249999914999</v>
      </c>
      <c r="O1667" s="34">
        <f t="shared" si="224"/>
        <v>0.37624555394841719</v>
      </c>
      <c r="P1667" s="34">
        <f t="shared" si="225"/>
        <v>0.7930075624764733</v>
      </c>
      <c r="Q1667" s="34">
        <f t="shared" si="226"/>
        <v>0.62375444605158281</v>
      </c>
      <c r="R1667" s="46">
        <f t="shared" si="227"/>
        <v>26.87690707339112</v>
      </c>
    </row>
    <row r="1668" spans="2:18" ht="12.75" customHeight="1" x14ac:dyDescent="0.25">
      <c r="B1668" s="17" t="s">
        <v>0</v>
      </c>
      <c r="C1668" s="44" t="s">
        <v>62</v>
      </c>
      <c r="D1668" s="22" t="s">
        <v>2</v>
      </c>
      <c r="E1668" s="20">
        <v>1</v>
      </c>
      <c r="F1668" s="17" t="s">
        <v>261</v>
      </c>
      <c r="G1668" s="17" t="s">
        <v>279</v>
      </c>
      <c r="H1668" s="17" t="s">
        <v>280</v>
      </c>
      <c r="I1668" s="17" t="s">
        <v>281</v>
      </c>
      <c r="J1668" s="27" t="s">
        <v>63</v>
      </c>
      <c r="K1668" s="29">
        <v>189</v>
      </c>
      <c r="L1668" s="31">
        <v>63733.600000189996</v>
      </c>
      <c r="M1668" s="31">
        <v>22872.040000339999</v>
      </c>
      <c r="N1668" s="31">
        <v>18346.459999938001</v>
      </c>
      <c r="O1668" s="34">
        <f t="shared" si="224"/>
        <v>0.35886941896067093</v>
      </c>
      <c r="P1668" s="34">
        <f t="shared" si="225"/>
        <v>0.80213483360755211</v>
      </c>
      <c r="Q1668" s="34">
        <f t="shared" si="226"/>
        <v>0.64113058103932907</v>
      </c>
      <c r="R1668" s="46">
        <f t="shared" si="227"/>
        <v>97.071216930888895</v>
      </c>
    </row>
    <row r="1669" spans="2:18" ht="12.75" customHeight="1" x14ac:dyDescent="0.25">
      <c r="B1669" s="17" t="s">
        <v>0</v>
      </c>
      <c r="C1669" s="44" t="s">
        <v>1</v>
      </c>
      <c r="D1669" s="22" t="s">
        <v>2</v>
      </c>
      <c r="E1669" s="20">
        <v>1</v>
      </c>
      <c r="F1669" s="17" t="s">
        <v>261</v>
      </c>
      <c r="G1669" s="17" t="s">
        <v>279</v>
      </c>
      <c r="H1669" s="17" t="s">
        <v>280</v>
      </c>
      <c r="I1669" s="17" t="s">
        <v>281</v>
      </c>
      <c r="J1669" s="27" t="s">
        <v>6</v>
      </c>
      <c r="K1669" s="29">
        <v>627</v>
      </c>
      <c r="L1669" s="31">
        <v>740674.99999914004</v>
      </c>
      <c r="M1669" s="31">
        <v>22982.859999970005</v>
      </c>
      <c r="N1669" s="31">
        <v>18285.929999968997</v>
      </c>
      <c r="O1669" s="34">
        <f t="shared" si="224"/>
        <v>3.1029614878315983E-2</v>
      </c>
      <c r="P1669" s="34">
        <f t="shared" si="225"/>
        <v>0.79563335459524454</v>
      </c>
      <c r="Q1669" s="34">
        <f t="shared" si="226"/>
        <v>0.96897038512168399</v>
      </c>
      <c r="R1669" s="46">
        <f t="shared" si="227"/>
        <v>29.164162679376393</v>
      </c>
    </row>
    <row r="1670" spans="2:18" ht="12.75" customHeight="1" x14ac:dyDescent="0.25">
      <c r="B1670" s="17" t="s">
        <v>0</v>
      </c>
      <c r="C1670" s="44" t="s">
        <v>34</v>
      </c>
      <c r="D1670" s="22" t="s">
        <v>9</v>
      </c>
      <c r="E1670" s="20">
        <v>2</v>
      </c>
      <c r="F1670" s="17" t="s">
        <v>261</v>
      </c>
      <c r="G1670" s="17" t="s">
        <v>279</v>
      </c>
      <c r="H1670" s="17" t="s">
        <v>280</v>
      </c>
      <c r="I1670" s="17" t="s">
        <v>281</v>
      </c>
      <c r="J1670" s="27" t="s">
        <v>35</v>
      </c>
      <c r="K1670" s="29">
        <v>124</v>
      </c>
      <c r="L1670" s="31">
        <v>93953.41</v>
      </c>
      <c r="M1670" s="31">
        <v>22096.99999996</v>
      </c>
      <c r="N1670" s="31">
        <v>17336.610000289998</v>
      </c>
      <c r="O1670" s="34">
        <f t="shared" si="224"/>
        <v>0.23519103777031616</v>
      </c>
      <c r="P1670" s="34">
        <f t="shared" si="225"/>
        <v>0.78456849347519486</v>
      </c>
      <c r="Q1670" s="34">
        <f t="shared" si="226"/>
        <v>0.76480896222968386</v>
      </c>
      <c r="R1670" s="46">
        <f t="shared" si="227"/>
        <v>139.81137097008065</v>
      </c>
    </row>
    <row r="1671" spans="2:18" ht="12.75" customHeight="1" x14ac:dyDescent="0.25">
      <c r="B1671" s="17" t="s">
        <v>0</v>
      </c>
      <c r="C1671" s="44" t="s">
        <v>157</v>
      </c>
      <c r="D1671" s="22" t="s">
        <v>9</v>
      </c>
      <c r="E1671" s="20">
        <v>2</v>
      </c>
      <c r="F1671" s="17" t="s">
        <v>261</v>
      </c>
      <c r="G1671" s="17" t="s">
        <v>279</v>
      </c>
      <c r="H1671" s="17" t="s">
        <v>280</v>
      </c>
      <c r="I1671" s="17" t="s">
        <v>281</v>
      </c>
      <c r="J1671" s="27" t="s">
        <v>158</v>
      </c>
      <c r="K1671" s="29">
        <v>112</v>
      </c>
      <c r="L1671" s="31">
        <v>59746.799999999996</v>
      </c>
      <c r="M1671" s="31">
        <v>18527.429999800002</v>
      </c>
      <c r="N1671" s="31">
        <v>14099.340000130001</v>
      </c>
      <c r="O1671" s="34">
        <f t="shared" si="224"/>
        <v>0.31009911827579056</v>
      </c>
      <c r="P1671" s="34">
        <f t="shared" si="225"/>
        <v>0.76099815248430025</v>
      </c>
      <c r="Q1671" s="34">
        <f t="shared" si="226"/>
        <v>0.68990088172420938</v>
      </c>
      <c r="R1671" s="46">
        <f t="shared" si="227"/>
        <v>125.88696428687501</v>
      </c>
    </row>
    <row r="1672" spans="2:18" ht="12.75" customHeight="1" x14ac:dyDescent="0.25">
      <c r="B1672" s="17" t="s">
        <v>0</v>
      </c>
      <c r="C1672" s="44" t="s">
        <v>178</v>
      </c>
      <c r="D1672" s="22" t="s">
        <v>2</v>
      </c>
      <c r="E1672" s="20">
        <v>1</v>
      </c>
      <c r="F1672" s="17" t="s">
        <v>261</v>
      </c>
      <c r="G1672" s="17" t="s">
        <v>279</v>
      </c>
      <c r="H1672" s="17" t="s">
        <v>280</v>
      </c>
      <c r="I1672" s="17" t="s">
        <v>281</v>
      </c>
      <c r="J1672" s="27" t="s">
        <v>179</v>
      </c>
      <c r="K1672" s="29">
        <v>190</v>
      </c>
      <c r="L1672" s="31">
        <v>225435.00000170001</v>
      </c>
      <c r="M1672" s="31">
        <v>15506.869999975001</v>
      </c>
      <c r="N1672" s="31">
        <v>12237.449999985</v>
      </c>
      <c r="O1672" s="34">
        <f t="shared" si="224"/>
        <v>6.87864351137049E-2</v>
      </c>
      <c r="P1672" s="34">
        <f t="shared" si="225"/>
        <v>0.78916312576327319</v>
      </c>
      <c r="Q1672" s="34">
        <f t="shared" si="226"/>
        <v>0.93121356488629514</v>
      </c>
      <c r="R1672" s="46">
        <f t="shared" si="227"/>
        <v>64.407631578868418</v>
      </c>
    </row>
    <row r="1673" spans="2:18" ht="12.75" customHeight="1" x14ac:dyDescent="0.25">
      <c r="B1673" s="17" t="s">
        <v>0</v>
      </c>
      <c r="C1673" s="44" t="s">
        <v>180</v>
      </c>
      <c r="D1673" s="22" t="s">
        <v>2</v>
      </c>
      <c r="E1673" s="20">
        <v>1</v>
      </c>
      <c r="F1673" s="17" t="s">
        <v>261</v>
      </c>
      <c r="G1673" s="17" t="s">
        <v>279</v>
      </c>
      <c r="H1673" s="17" t="s">
        <v>280</v>
      </c>
      <c r="I1673" s="17" t="s">
        <v>281</v>
      </c>
      <c r="J1673" s="27" t="s">
        <v>181</v>
      </c>
      <c r="K1673" s="29">
        <v>233</v>
      </c>
      <c r="L1673" s="31">
        <v>162006.80000104001</v>
      </c>
      <c r="M1673" s="31">
        <v>15548.739999972999</v>
      </c>
      <c r="N1673" s="31">
        <v>11985.029999983999</v>
      </c>
      <c r="O1673" s="34">
        <f t="shared" si="224"/>
        <v>9.5975847926588156E-2</v>
      </c>
      <c r="P1673" s="34">
        <f t="shared" si="225"/>
        <v>0.77080393652506962</v>
      </c>
      <c r="Q1673" s="34">
        <f t="shared" si="226"/>
        <v>0.9040241520734118</v>
      </c>
      <c r="R1673" s="46">
        <f t="shared" si="227"/>
        <v>51.437896995639484</v>
      </c>
    </row>
    <row r="1674" spans="2:18" ht="12.75" customHeight="1" x14ac:dyDescent="0.25">
      <c r="B1674" s="17" t="s">
        <v>0</v>
      </c>
      <c r="C1674" s="44" t="s">
        <v>114</v>
      </c>
      <c r="D1674" s="22" t="s">
        <v>2</v>
      </c>
      <c r="E1674" s="20">
        <v>1</v>
      </c>
      <c r="F1674" s="17" t="s">
        <v>261</v>
      </c>
      <c r="G1674" s="17" t="s">
        <v>279</v>
      </c>
      <c r="H1674" s="17" t="s">
        <v>280</v>
      </c>
      <c r="I1674" s="17" t="s">
        <v>281</v>
      </c>
      <c r="J1674" s="27" t="s">
        <v>118</v>
      </c>
      <c r="K1674" s="29">
        <v>229</v>
      </c>
      <c r="L1674" s="31">
        <v>88094</v>
      </c>
      <c r="M1674" s="31">
        <v>15175.549999977</v>
      </c>
      <c r="N1674" s="31">
        <v>11546.620000032999</v>
      </c>
      <c r="O1674" s="34">
        <f t="shared" si="224"/>
        <v>0.17226542102727768</v>
      </c>
      <c r="P1674" s="34">
        <f t="shared" si="225"/>
        <v>0.76086995199847773</v>
      </c>
      <c r="Q1674" s="34">
        <f t="shared" si="226"/>
        <v>0.82773457897272229</v>
      </c>
      <c r="R1674" s="46">
        <f t="shared" si="227"/>
        <v>50.421921397524017</v>
      </c>
    </row>
    <row r="1675" spans="2:18" ht="12.75" customHeight="1" x14ac:dyDescent="0.25">
      <c r="B1675" s="17" t="s">
        <v>0</v>
      </c>
      <c r="C1675" s="44" t="s">
        <v>112</v>
      </c>
      <c r="D1675" s="22" t="s">
        <v>9</v>
      </c>
      <c r="E1675" s="20">
        <v>2</v>
      </c>
      <c r="F1675" s="17" t="s">
        <v>261</v>
      </c>
      <c r="G1675" s="17" t="s">
        <v>279</v>
      </c>
      <c r="H1675" s="17" t="s">
        <v>280</v>
      </c>
      <c r="I1675" s="17" t="s">
        <v>281</v>
      </c>
      <c r="J1675" s="27" t="s">
        <v>113</v>
      </c>
      <c r="K1675" s="29">
        <v>390</v>
      </c>
      <c r="L1675" s="31">
        <v>39804.999999975997</v>
      </c>
      <c r="M1675" s="31">
        <v>10523.180000046001</v>
      </c>
      <c r="N1675" s="31">
        <v>8111.0200000549994</v>
      </c>
      <c r="O1675" s="34">
        <f t="shared" si="224"/>
        <v>0.26436829544158641</v>
      </c>
      <c r="P1675" s="34">
        <f t="shared" si="225"/>
        <v>0.77077651432547412</v>
      </c>
      <c r="Q1675" s="34">
        <f t="shared" si="226"/>
        <v>0.73563170455841354</v>
      </c>
      <c r="R1675" s="46">
        <f t="shared" si="227"/>
        <v>20.797487179628202</v>
      </c>
    </row>
    <row r="1676" spans="2:18" ht="12.75" customHeight="1" x14ac:dyDescent="0.25">
      <c r="B1676" s="17" t="s">
        <v>0</v>
      </c>
      <c r="C1676" s="44" t="s">
        <v>182</v>
      </c>
      <c r="D1676" s="22" t="s">
        <v>2</v>
      </c>
      <c r="E1676" s="20">
        <v>1</v>
      </c>
      <c r="F1676" s="17" t="s">
        <v>261</v>
      </c>
      <c r="G1676" s="17" t="s">
        <v>279</v>
      </c>
      <c r="H1676" s="17" t="s">
        <v>280</v>
      </c>
      <c r="I1676" s="17" t="s">
        <v>281</v>
      </c>
      <c r="J1676" s="27" t="s">
        <v>183</v>
      </c>
      <c r="K1676" s="29">
        <v>31</v>
      </c>
      <c r="L1676" s="31">
        <v>39190</v>
      </c>
      <c r="M1676" s="31">
        <v>8326.84999995</v>
      </c>
      <c r="N1676" s="31">
        <v>6634.4200000500005</v>
      </c>
      <c r="O1676" s="34">
        <f t="shared" si="224"/>
        <v>0.21247384536744068</v>
      </c>
      <c r="P1676" s="34">
        <f t="shared" si="225"/>
        <v>0.79675027172218038</v>
      </c>
      <c r="Q1676" s="34">
        <f t="shared" si="226"/>
        <v>0.78752615463255937</v>
      </c>
      <c r="R1676" s="46">
        <f t="shared" si="227"/>
        <v>214.01354838870969</v>
      </c>
    </row>
    <row r="1677" spans="2:18" ht="12.75" customHeight="1" x14ac:dyDescent="0.25">
      <c r="B1677" s="17" t="s">
        <v>0</v>
      </c>
      <c r="C1677" s="44" t="s">
        <v>145</v>
      </c>
      <c r="D1677" s="22" t="s">
        <v>2</v>
      </c>
      <c r="E1677" s="20">
        <v>1</v>
      </c>
      <c r="F1677" s="17" t="s">
        <v>261</v>
      </c>
      <c r="G1677" s="17" t="s">
        <v>279</v>
      </c>
      <c r="H1677" s="17" t="s">
        <v>280</v>
      </c>
      <c r="I1677" s="17" t="s">
        <v>281</v>
      </c>
      <c r="J1677" s="27" t="s">
        <v>146</v>
      </c>
      <c r="K1677" s="29">
        <v>77</v>
      </c>
      <c r="L1677" s="31">
        <v>82326</v>
      </c>
      <c r="M1677" s="31">
        <v>7918.4399999080006</v>
      </c>
      <c r="N1677" s="31">
        <v>6232.3200000470006</v>
      </c>
      <c r="O1677" s="34">
        <f t="shared" si="224"/>
        <v>9.618395160590823E-2</v>
      </c>
      <c r="P1677" s="34">
        <f t="shared" si="225"/>
        <v>0.78706411870512505</v>
      </c>
      <c r="Q1677" s="34">
        <f t="shared" si="226"/>
        <v>0.9038160483940918</v>
      </c>
      <c r="R1677" s="46">
        <f t="shared" si="227"/>
        <v>80.939220779831174</v>
      </c>
    </row>
    <row r="1678" spans="2:18" ht="12.75" customHeight="1" x14ac:dyDescent="0.25">
      <c r="B1678" s="17" t="s">
        <v>0</v>
      </c>
      <c r="C1678" s="44" t="s">
        <v>135</v>
      </c>
      <c r="D1678" s="22" t="s">
        <v>9</v>
      </c>
      <c r="E1678" s="20">
        <v>2</v>
      </c>
      <c r="F1678" s="17" t="s">
        <v>261</v>
      </c>
      <c r="G1678" s="17" t="s">
        <v>279</v>
      </c>
      <c r="H1678" s="17" t="s">
        <v>280</v>
      </c>
      <c r="I1678" s="17" t="s">
        <v>281</v>
      </c>
      <c r="J1678" s="27" t="s">
        <v>136</v>
      </c>
      <c r="K1678" s="29">
        <v>65</v>
      </c>
      <c r="L1678" s="31">
        <v>27650</v>
      </c>
      <c r="M1678" s="31">
        <v>7863.0600000650002</v>
      </c>
      <c r="N1678" s="31">
        <v>6154.2999998099995</v>
      </c>
      <c r="O1678" s="34">
        <f t="shared" si="224"/>
        <v>0.28437830018318266</v>
      </c>
      <c r="P1678" s="34">
        <f t="shared" si="225"/>
        <v>0.78268511238107363</v>
      </c>
      <c r="Q1678" s="34">
        <f t="shared" si="226"/>
        <v>0.71562169981681734</v>
      </c>
      <c r="R1678" s="46">
        <f t="shared" si="227"/>
        <v>94.681538458615378</v>
      </c>
    </row>
    <row r="1679" spans="2:18" ht="12.75" customHeight="1" x14ac:dyDescent="0.25">
      <c r="B1679" s="17" t="s">
        <v>0</v>
      </c>
      <c r="C1679" s="44" t="s">
        <v>159</v>
      </c>
      <c r="D1679" s="22" t="s">
        <v>2</v>
      </c>
      <c r="E1679" s="20">
        <v>1</v>
      </c>
      <c r="F1679" s="17" t="s">
        <v>261</v>
      </c>
      <c r="G1679" s="17" t="s">
        <v>279</v>
      </c>
      <c r="H1679" s="17" t="s">
        <v>280</v>
      </c>
      <c r="I1679" s="17" t="s">
        <v>281</v>
      </c>
      <c r="J1679" s="27" t="s">
        <v>160</v>
      </c>
      <c r="K1679" s="29">
        <v>83</v>
      </c>
      <c r="L1679" s="31">
        <v>85673.000002200017</v>
      </c>
      <c r="M1679" s="31">
        <v>6649.7199999799996</v>
      </c>
      <c r="N1679" s="31">
        <v>5238.7300000080004</v>
      </c>
      <c r="O1679" s="34">
        <f t="shared" si="224"/>
        <v>7.7617452404015727E-2</v>
      </c>
      <c r="P1679" s="34">
        <f t="shared" si="225"/>
        <v>0.78781211840855814</v>
      </c>
      <c r="Q1679" s="34">
        <f t="shared" si="226"/>
        <v>0.92238254759598426</v>
      </c>
      <c r="R1679" s="46">
        <f t="shared" si="227"/>
        <v>63.117228915759043</v>
      </c>
    </row>
    <row r="1680" spans="2:18" ht="12.75" customHeight="1" x14ac:dyDescent="0.25">
      <c r="B1680" s="17" t="s">
        <v>0</v>
      </c>
      <c r="C1680" s="44" t="s">
        <v>60</v>
      </c>
      <c r="D1680" s="22" t="s">
        <v>9</v>
      </c>
      <c r="E1680" s="20">
        <v>2</v>
      </c>
      <c r="F1680" s="17" t="s">
        <v>261</v>
      </c>
      <c r="G1680" s="17" t="s">
        <v>279</v>
      </c>
      <c r="H1680" s="17" t="s">
        <v>280</v>
      </c>
      <c r="I1680" s="17" t="s">
        <v>281</v>
      </c>
      <c r="J1680" s="27" t="s">
        <v>61</v>
      </c>
      <c r="K1680" s="29">
        <v>27</v>
      </c>
      <c r="L1680" s="31">
        <v>15961.00000005</v>
      </c>
      <c r="M1680" s="31">
        <v>6754.2099999900001</v>
      </c>
      <c r="N1680" s="31">
        <v>5021.78999991</v>
      </c>
      <c r="O1680" s="34">
        <f t="shared" si="224"/>
        <v>0.42316960090024697</v>
      </c>
      <c r="P1680" s="34">
        <f t="shared" si="225"/>
        <v>0.74350516195342387</v>
      </c>
      <c r="Q1680" s="34">
        <f t="shared" si="226"/>
        <v>0.57683039909975298</v>
      </c>
      <c r="R1680" s="46">
        <f t="shared" si="227"/>
        <v>185.99222221888888</v>
      </c>
    </row>
    <row r="1681" spans="2:18" ht="12.75" customHeight="1" x14ac:dyDescent="0.25">
      <c r="B1681" s="17" t="s">
        <v>0</v>
      </c>
      <c r="C1681" s="44" t="s">
        <v>172</v>
      </c>
      <c r="D1681" s="22" t="s">
        <v>9</v>
      </c>
      <c r="E1681" s="20">
        <v>2</v>
      </c>
      <c r="F1681" s="17" t="s">
        <v>261</v>
      </c>
      <c r="G1681" s="17" t="s">
        <v>279</v>
      </c>
      <c r="H1681" s="17" t="s">
        <v>280</v>
      </c>
      <c r="I1681" s="17" t="s">
        <v>281</v>
      </c>
      <c r="J1681" s="27" t="s">
        <v>173</v>
      </c>
      <c r="K1681" s="29">
        <v>58</v>
      </c>
      <c r="L1681" s="31">
        <v>20084</v>
      </c>
      <c r="M1681" s="31">
        <v>6400.5800001999996</v>
      </c>
      <c r="N1681" s="31">
        <v>4756.8399999940002</v>
      </c>
      <c r="O1681" s="34">
        <f t="shared" ref="O1681:O1702" si="228">IFERROR(M1681/L1681,0)</f>
        <v>0.3186904999103764</v>
      </c>
      <c r="P1681" s="34">
        <f t="shared" ref="P1681:P1702" si="229">IFERROR(N1681/M1681,0)</f>
        <v>0.74318889848191305</v>
      </c>
      <c r="Q1681" s="34">
        <f t="shared" ref="Q1681:Q1702" si="230">IFERROR(1-(M1681/L1681),0)</f>
        <v>0.68130950008962365</v>
      </c>
      <c r="R1681" s="46">
        <f t="shared" ref="R1681:R1702" si="231">IFERROR(N1681/K1681,0)</f>
        <v>82.014482758517246</v>
      </c>
    </row>
    <row r="1682" spans="2:18" ht="12.75" customHeight="1" x14ac:dyDescent="0.25">
      <c r="B1682" s="17" t="s">
        <v>0</v>
      </c>
      <c r="C1682" s="44" t="s">
        <v>38</v>
      </c>
      <c r="D1682" s="22" t="s">
        <v>9</v>
      </c>
      <c r="E1682" s="20">
        <v>2</v>
      </c>
      <c r="F1682" s="17" t="s">
        <v>261</v>
      </c>
      <c r="G1682" s="17" t="s">
        <v>279</v>
      </c>
      <c r="H1682" s="17" t="s">
        <v>280</v>
      </c>
      <c r="I1682" s="17" t="s">
        <v>281</v>
      </c>
      <c r="J1682" s="27" t="s">
        <v>39</v>
      </c>
      <c r="K1682" s="29">
        <v>17</v>
      </c>
      <c r="L1682" s="31">
        <v>11399.99999993</v>
      </c>
      <c r="M1682" s="31">
        <v>5609.5800000400004</v>
      </c>
      <c r="N1682" s="31">
        <v>4424.0400000199998</v>
      </c>
      <c r="O1682" s="34">
        <f t="shared" si="228"/>
        <v>0.49206842105916188</v>
      </c>
      <c r="P1682" s="34">
        <f t="shared" si="229"/>
        <v>0.78865797439174645</v>
      </c>
      <c r="Q1682" s="34">
        <f t="shared" si="230"/>
        <v>0.50793157894083807</v>
      </c>
      <c r="R1682" s="46">
        <f t="shared" si="231"/>
        <v>260.23764705999997</v>
      </c>
    </row>
    <row r="1683" spans="2:18" ht="12.75" customHeight="1" x14ac:dyDescent="0.25">
      <c r="B1683" s="17" t="s">
        <v>0</v>
      </c>
      <c r="C1683" s="44" t="s">
        <v>174</v>
      </c>
      <c r="D1683" s="22" t="s">
        <v>9</v>
      </c>
      <c r="E1683" s="20">
        <v>2</v>
      </c>
      <c r="F1683" s="17" t="s">
        <v>261</v>
      </c>
      <c r="G1683" s="17" t="s">
        <v>279</v>
      </c>
      <c r="H1683" s="17" t="s">
        <v>280</v>
      </c>
      <c r="I1683" s="17" t="s">
        <v>281</v>
      </c>
      <c r="J1683" s="27" t="s">
        <v>175</v>
      </c>
      <c r="K1683" s="29">
        <v>75</v>
      </c>
      <c r="L1683" s="31">
        <v>14317.859999960001</v>
      </c>
      <c r="M1683" s="31">
        <v>4605.8100000000004</v>
      </c>
      <c r="N1683" s="31">
        <v>3414.9699999990003</v>
      </c>
      <c r="O1683" s="34">
        <f t="shared" si="228"/>
        <v>0.32168284925351048</v>
      </c>
      <c r="P1683" s="34">
        <f t="shared" si="229"/>
        <v>0.74144830116722138</v>
      </c>
      <c r="Q1683" s="34">
        <f t="shared" si="230"/>
        <v>0.67831715074648957</v>
      </c>
      <c r="R1683" s="46">
        <f t="shared" si="231"/>
        <v>45.532933333320003</v>
      </c>
    </row>
    <row r="1684" spans="2:18" ht="12.75" customHeight="1" x14ac:dyDescent="0.25">
      <c r="B1684" s="17" t="s">
        <v>0</v>
      </c>
      <c r="C1684" s="44" t="s">
        <v>157</v>
      </c>
      <c r="D1684" s="22" t="s">
        <v>2</v>
      </c>
      <c r="E1684" s="20">
        <v>1</v>
      </c>
      <c r="F1684" s="17" t="s">
        <v>261</v>
      </c>
      <c r="G1684" s="17" t="s">
        <v>279</v>
      </c>
      <c r="H1684" s="17" t="s">
        <v>280</v>
      </c>
      <c r="I1684" s="17" t="s">
        <v>281</v>
      </c>
      <c r="J1684" s="27" t="s">
        <v>158</v>
      </c>
      <c r="K1684" s="29">
        <v>40</v>
      </c>
      <c r="L1684" s="31">
        <v>45546</v>
      </c>
      <c r="M1684" s="31">
        <v>4242.8199999429999</v>
      </c>
      <c r="N1684" s="31">
        <v>3216.3000000370002</v>
      </c>
      <c r="O1684" s="34">
        <f t="shared" si="228"/>
        <v>9.3154612917555876E-2</v>
      </c>
      <c r="P1684" s="34">
        <f t="shared" si="229"/>
        <v>0.75805714125987189</v>
      </c>
      <c r="Q1684" s="34">
        <f t="shared" si="230"/>
        <v>0.90684538708244411</v>
      </c>
      <c r="R1684" s="46">
        <f t="shared" si="231"/>
        <v>80.407500000925012</v>
      </c>
    </row>
    <row r="1685" spans="2:18" ht="12.75" customHeight="1" x14ac:dyDescent="0.25">
      <c r="B1685" s="17" t="s">
        <v>0</v>
      </c>
      <c r="C1685" s="44" t="s">
        <v>137</v>
      </c>
      <c r="D1685" s="22" t="s">
        <v>9</v>
      </c>
      <c r="E1685" s="20">
        <v>2</v>
      </c>
      <c r="F1685" s="17" t="s">
        <v>261</v>
      </c>
      <c r="G1685" s="17" t="s">
        <v>279</v>
      </c>
      <c r="H1685" s="17" t="s">
        <v>280</v>
      </c>
      <c r="I1685" s="17" t="s">
        <v>281</v>
      </c>
      <c r="J1685" s="27" t="s">
        <v>138</v>
      </c>
      <c r="K1685" s="29">
        <v>98</v>
      </c>
      <c r="L1685" s="31">
        <v>10474.650000006</v>
      </c>
      <c r="M1685" s="31">
        <v>4485.5999999610003</v>
      </c>
      <c r="N1685" s="31">
        <v>3081.4700000009998</v>
      </c>
      <c r="O1685" s="34">
        <f t="shared" si="228"/>
        <v>0.42823387893232046</v>
      </c>
      <c r="P1685" s="34">
        <f t="shared" si="229"/>
        <v>0.68696941323965388</v>
      </c>
      <c r="Q1685" s="34">
        <f t="shared" si="230"/>
        <v>0.57176612106767954</v>
      </c>
      <c r="R1685" s="46">
        <f t="shared" si="231"/>
        <v>31.443571428581631</v>
      </c>
    </row>
    <row r="1686" spans="2:18" ht="12.75" customHeight="1" x14ac:dyDescent="0.25">
      <c r="B1686" s="17" t="s">
        <v>0</v>
      </c>
      <c r="C1686" s="44" t="s">
        <v>166</v>
      </c>
      <c r="D1686" s="22" t="s">
        <v>9</v>
      </c>
      <c r="E1686" s="20">
        <v>2</v>
      </c>
      <c r="F1686" s="17" t="s">
        <v>261</v>
      </c>
      <c r="G1686" s="17" t="s">
        <v>279</v>
      </c>
      <c r="H1686" s="17" t="s">
        <v>280</v>
      </c>
      <c r="I1686" s="17" t="s">
        <v>281</v>
      </c>
      <c r="J1686" s="27" t="s">
        <v>167</v>
      </c>
      <c r="K1686" s="29">
        <v>30</v>
      </c>
      <c r="L1686" s="31">
        <v>13200</v>
      </c>
      <c r="M1686" s="31">
        <v>3599.1099999000003</v>
      </c>
      <c r="N1686" s="31">
        <v>2586.0399999899996</v>
      </c>
      <c r="O1686" s="34">
        <f t="shared" si="228"/>
        <v>0.27265984847727276</v>
      </c>
      <c r="P1686" s="34">
        <f t="shared" si="229"/>
        <v>0.71852207908673305</v>
      </c>
      <c r="Q1686" s="34">
        <f t="shared" si="230"/>
        <v>0.72734015152272724</v>
      </c>
      <c r="R1686" s="46">
        <f t="shared" si="231"/>
        <v>86.201333332999994</v>
      </c>
    </row>
    <row r="1687" spans="2:18" ht="12.75" customHeight="1" x14ac:dyDescent="0.25">
      <c r="B1687" s="17" t="s">
        <v>0</v>
      </c>
      <c r="C1687" s="44" t="s">
        <v>16</v>
      </c>
      <c r="D1687" s="22" t="s">
        <v>2</v>
      </c>
      <c r="E1687" s="20">
        <v>1</v>
      </c>
      <c r="F1687" s="17" t="s">
        <v>261</v>
      </c>
      <c r="G1687" s="17" t="s">
        <v>279</v>
      </c>
      <c r="H1687" s="17" t="s">
        <v>280</v>
      </c>
      <c r="I1687" s="17" t="s">
        <v>281</v>
      </c>
      <c r="J1687" s="27" t="s">
        <v>17</v>
      </c>
      <c r="K1687" s="29">
        <v>37</v>
      </c>
      <c r="L1687" s="31">
        <v>8049.9999999800002</v>
      </c>
      <c r="M1687" s="31">
        <v>3072.9000000010001</v>
      </c>
      <c r="N1687" s="31">
        <v>2470.6800000129997</v>
      </c>
      <c r="O1687" s="34">
        <f t="shared" si="228"/>
        <v>0.38172670807560677</v>
      </c>
      <c r="P1687" s="34">
        <f t="shared" si="229"/>
        <v>0.80402225910774694</v>
      </c>
      <c r="Q1687" s="34">
        <f t="shared" si="230"/>
        <v>0.61827329192439318</v>
      </c>
      <c r="R1687" s="46">
        <f t="shared" si="231"/>
        <v>66.775135135486479</v>
      </c>
    </row>
    <row r="1688" spans="2:18" ht="12.75" customHeight="1" x14ac:dyDescent="0.25">
      <c r="B1688" s="17" t="s">
        <v>0</v>
      </c>
      <c r="C1688" s="44" t="s">
        <v>28</v>
      </c>
      <c r="D1688" s="22" t="s">
        <v>9</v>
      </c>
      <c r="E1688" s="20">
        <v>2</v>
      </c>
      <c r="F1688" s="17" t="s">
        <v>261</v>
      </c>
      <c r="G1688" s="17" t="s">
        <v>279</v>
      </c>
      <c r="H1688" s="17" t="s">
        <v>280</v>
      </c>
      <c r="I1688" s="17" t="s">
        <v>281</v>
      </c>
      <c r="J1688" s="27" t="s">
        <v>29</v>
      </c>
      <c r="K1688" s="29">
        <v>121</v>
      </c>
      <c r="L1688" s="31">
        <v>10664</v>
      </c>
      <c r="M1688" s="31">
        <v>3569.4199999989996</v>
      </c>
      <c r="N1688" s="31">
        <v>2373.470000028</v>
      </c>
      <c r="O1688" s="34">
        <f t="shared" si="228"/>
        <v>0.33471680420095645</v>
      </c>
      <c r="P1688" s="34">
        <f t="shared" si="229"/>
        <v>0.66494556539400385</v>
      </c>
      <c r="Q1688" s="34">
        <f t="shared" si="230"/>
        <v>0.66528319579904349</v>
      </c>
      <c r="R1688" s="46">
        <f t="shared" si="231"/>
        <v>19.615454545685949</v>
      </c>
    </row>
    <row r="1689" spans="2:18" ht="12.75" customHeight="1" x14ac:dyDescent="0.25">
      <c r="B1689" s="17" t="s">
        <v>0</v>
      </c>
      <c r="C1689" s="44" t="s">
        <v>159</v>
      </c>
      <c r="D1689" s="22" t="s">
        <v>9</v>
      </c>
      <c r="E1689" s="20">
        <v>2</v>
      </c>
      <c r="F1689" s="17" t="s">
        <v>261</v>
      </c>
      <c r="G1689" s="17" t="s">
        <v>279</v>
      </c>
      <c r="H1689" s="17" t="s">
        <v>280</v>
      </c>
      <c r="I1689" s="17" t="s">
        <v>281</v>
      </c>
      <c r="J1689" s="27" t="s">
        <v>160</v>
      </c>
      <c r="K1689" s="29">
        <v>18</v>
      </c>
      <c r="L1689" s="31">
        <v>15876</v>
      </c>
      <c r="M1689" s="31">
        <v>3137.23999998</v>
      </c>
      <c r="N1689" s="31">
        <v>2360.34</v>
      </c>
      <c r="O1689" s="34">
        <f t="shared" si="228"/>
        <v>0.19760896951247164</v>
      </c>
      <c r="P1689" s="34">
        <f t="shared" si="229"/>
        <v>0.75236194872405282</v>
      </c>
      <c r="Q1689" s="34">
        <f t="shared" si="230"/>
        <v>0.80239103048752836</v>
      </c>
      <c r="R1689" s="46">
        <f t="shared" si="231"/>
        <v>131.13</v>
      </c>
    </row>
    <row r="1690" spans="2:18" ht="12.75" customHeight="1" x14ac:dyDescent="0.25">
      <c r="B1690" s="17" t="s">
        <v>0</v>
      </c>
      <c r="C1690" s="44" t="s">
        <v>70</v>
      </c>
      <c r="D1690" s="22" t="s">
        <v>2</v>
      </c>
      <c r="E1690" s="20">
        <v>1</v>
      </c>
      <c r="F1690" s="17" t="s">
        <v>261</v>
      </c>
      <c r="G1690" s="17" t="s">
        <v>279</v>
      </c>
      <c r="H1690" s="17" t="s">
        <v>280</v>
      </c>
      <c r="I1690" s="17" t="s">
        <v>281</v>
      </c>
      <c r="J1690" s="27" t="s">
        <v>71</v>
      </c>
      <c r="K1690" s="29">
        <v>11</v>
      </c>
      <c r="L1690" s="31">
        <v>50177.999999599997</v>
      </c>
      <c r="M1690" s="31">
        <v>2529.5400000199998</v>
      </c>
      <c r="N1690" s="31">
        <v>2014.62000003</v>
      </c>
      <c r="O1690" s="34">
        <f t="shared" si="228"/>
        <v>5.0411335645903874E-2</v>
      </c>
      <c r="P1690" s="34">
        <f t="shared" si="229"/>
        <v>0.79643729690539444</v>
      </c>
      <c r="Q1690" s="34">
        <f t="shared" si="230"/>
        <v>0.94958866435409617</v>
      </c>
      <c r="R1690" s="46">
        <f t="shared" si="231"/>
        <v>183.14727273</v>
      </c>
    </row>
    <row r="1691" spans="2:18" ht="12.75" customHeight="1" x14ac:dyDescent="0.25">
      <c r="B1691" s="17" t="s">
        <v>0</v>
      </c>
      <c r="C1691" s="44" t="s">
        <v>20</v>
      </c>
      <c r="D1691" s="22" t="s">
        <v>2</v>
      </c>
      <c r="E1691" s="20">
        <v>1</v>
      </c>
      <c r="F1691" s="17" t="s">
        <v>261</v>
      </c>
      <c r="G1691" s="17" t="s">
        <v>279</v>
      </c>
      <c r="H1691" s="17" t="s">
        <v>280</v>
      </c>
      <c r="I1691" s="17" t="s">
        <v>281</v>
      </c>
      <c r="J1691" s="27" t="s">
        <v>21</v>
      </c>
      <c r="K1691" s="29">
        <v>15</v>
      </c>
      <c r="L1691" s="31">
        <v>11488.99999995</v>
      </c>
      <c r="M1691" s="31">
        <v>2458.9900000500002</v>
      </c>
      <c r="N1691" s="31">
        <v>1982.6200000499998</v>
      </c>
      <c r="O1691" s="34">
        <f t="shared" si="228"/>
        <v>0.21402994168863276</v>
      </c>
      <c r="P1691" s="34">
        <f t="shared" si="229"/>
        <v>0.80627412067950088</v>
      </c>
      <c r="Q1691" s="34">
        <f t="shared" si="230"/>
        <v>0.78597005831136724</v>
      </c>
      <c r="R1691" s="46">
        <f t="shared" si="231"/>
        <v>132.17466666999999</v>
      </c>
    </row>
    <row r="1692" spans="2:18" ht="12.75" customHeight="1" x14ac:dyDescent="0.25">
      <c r="B1692" s="17" t="s">
        <v>0</v>
      </c>
      <c r="C1692" s="44" t="s">
        <v>236</v>
      </c>
      <c r="D1692" s="22" t="s">
        <v>9</v>
      </c>
      <c r="E1692" s="20">
        <v>2</v>
      </c>
      <c r="F1692" s="17" t="s">
        <v>261</v>
      </c>
      <c r="G1692" s="17" t="s">
        <v>279</v>
      </c>
      <c r="H1692" s="17" t="s">
        <v>280</v>
      </c>
      <c r="I1692" s="17" t="s">
        <v>281</v>
      </c>
      <c r="J1692" s="27" t="s">
        <v>237</v>
      </c>
      <c r="K1692" s="29">
        <v>19</v>
      </c>
      <c r="L1692" s="31">
        <v>10633.919999999998</v>
      </c>
      <c r="M1692" s="31">
        <v>2417.40000005</v>
      </c>
      <c r="N1692" s="31">
        <v>1690.0600000039999</v>
      </c>
      <c r="O1692" s="34">
        <f t="shared" si="228"/>
        <v>0.22732915049671246</v>
      </c>
      <c r="P1692" s="34">
        <f t="shared" si="229"/>
        <v>0.69912302472451548</v>
      </c>
      <c r="Q1692" s="34">
        <f t="shared" si="230"/>
        <v>0.77267084950328757</v>
      </c>
      <c r="R1692" s="46">
        <f t="shared" si="231"/>
        <v>88.950526315999994</v>
      </c>
    </row>
    <row r="1693" spans="2:18" ht="12.75" customHeight="1" x14ac:dyDescent="0.25">
      <c r="B1693" s="17" t="s">
        <v>0</v>
      </c>
      <c r="C1693" s="44" t="s">
        <v>82</v>
      </c>
      <c r="D1693" s="22" t="s">
        <v>2</v>
      </c>
      <c r="E1693" s="20">
        <v>1</v>
      </c>
      <c r="F1693" s="17" t="s">
        <v>261</v>
      </c>
      <c r="G1693" s="17" t="s">
        <v>279</v>
      </c>
      <c r="H1693" s="17" t="s">
        <v>280</v>
      </c>
      <c r="I1693" s="17" t="s">
        <v>281</v>
      </c>
      <c r="J1693" s="27" t="s">
        <v>83</v>
      </c>
      <c r="K1693" s="29">
        <v>56</v>
      </c>
      <c r="L1693" s="31">
        <v>16065</v>
      </c>
      <c r="M1693" s="31">
        <v>1900.9599999769998</v>
      </c>
      <c r="N1693" s="31">
        <v>1394.5799999769999</v>
      </c>
      <c r="O1693" s="34">
        <f t="shared" si="228"/>
        <v>0.11832928726903205</v>
      </c>
      <c r="P1693" s="34">
        <f t="shared" si="229"/>
        <v>0.73361880312782668</v>
      </c>
      <c r="Q1693" s="34">
        <f t="shared" si="230"/>
        <v>0.88167071273096798</v>
      </c>
      <c r="R1693" s="46">
        <f t="shared" si="231"/>
        <v>24.903214285303569</v>
      </c>
    </row>
    <row r="1694" spans="2:18" ht="12.75" customHeight="1" x14ac:dyDescent="0.25">
      <c r="B1694" s="17" t="s">
        <v>0</v>
      </c>
      <c r="C1694" s="44" t="s">
        <v>135</v>
      </c>
      <c r="D1694" s="22" t="s">
        <v>2</v>
      </c>
      <c r="E1694" s="20">
        <v>1</v>
      </c>
      <c r="F1694" s="17" t="s">
        <v>261</v>
      </c>
      <c r="G1694" s="17" t="s">
        <v>279</v>
      </c>
      <c r="H1694" s="17" t="s">
        <v>280</v>
      </c>
      <c r="I1694" s="17" t="s">
        <v>281</v>
      </c>
      <c r="J1694" s="27" t="s">
        <v>136</v>
      </c>
      <c r="K1694" s="29">
        <v>15</v>
      </c>
      <c r="L1694" s="31">
        <v>2884.0000000499999</v>
      </c>
      <c r="M1694" s="31">
        <v>1731.48</v>
      </c>
      <c r="N1694" s="31">
        <v>1379.55</v>
      </c>
      <c r="O1694" s="34">
        <f t="shared" si="228"/>
        <v>0.60037447987863435</v>
      </c>
      <c r="P1694" s="34">
        <f t="shared" si="229"/>
        <v>0.79674613625337853</v>
      </c>
      <c r="Q1694" s="34">
        <f t="shared" si="230"/>
        <v>0.39962552012136565</v>
      </c>
      <c r="R1694" s="46">
        <f t="shared" si="231"/>
        <v>91.97</v>
      </c>
    </row>
    <row r="1695" spans="2:18" ht="12.75" customHeight="1" x14ac:dyDescent="0.25">
      <c r="B1695" s="17" t="s">
        <v>0</v>
      </c>
      <c r="C1695" s="44" t="s">
        <v>70</v>
      </c>
      <c r="D1695" s="22" t="s">
        <v>9</v>
      </c>
      <c r="E1695" s="20">
        <v>2</v>
      </c>
      <c r="F1695" s="17" t="s">
        <v>261</v>
      </c>
      <c r="G1695" s="17" t="s">
        <v>279</v>
      </c>
      <c r="H1695" s="17" t="s">
        <v>280</v>
      </c>
      <c r="I1695" s="17" t="s">
        <v>281</v>
      </c>
      <c r="J1695" s="27" t="s">
        <v>71</v>
      </c>
      <c r="K1695" s="29">
        <v>57</v>
      </c>
      <c r="L1695" s="31">
        <v>5845</v>
      </c>
      <c r="M1695" s="31">
        <v>1718.7699999929998</v>
      </c>
      <c r="N1695" s="31">
        <v>1188.209999985</v>
      </c>
      <c r="O1695" s="34">
        <f t="shared" si="228"/>
        <v>0.29405816937433699</v>
      </c>
      <c r="P1695" s="34">
        <f t="shared" si="229"/>
        <v>0.69131413742958003</v>
      </c>
      <c r="Q1695" s="34">
        <f t="shared" si="230"/>
        <v>0.70594183062566307</v>
      </c>
      <c r="R1695" s="46">
        <f t="shared" si="231"/>
        <v>20.845789473421053</v>
      </c>
    </row>
    <row r="1696" spans="2:18" ht="12.75" customHeight="1" x14ac:dyDescent="0.25">
      <c r="B1696" s="17" t="s">
        <v>0</v>
      </c>
      <c r="C1696" s="44" t="s">
        <v>16</v>
      </c>
      <c r="D1696" s="22" t="s">
        <v>9</v>
      </c>
      <c r="E1696" s="20">
        <v>2</v>
      </c>
      <c r="F1696" s="17" t="s">
        <v>261</v>
      </c>
      <c r="G1696" s="17" t="s">
        <v>279</v>
      </c>
      <c r="H1696" s="17" t="s">
        <v>280</v>
      </c>
      <c r="I1696" s="17" t="s">
        <v>281</v>
      </c>
      <c r="J1696" s="27" t="s">
        <v>17</v>
      </c>
      <c r="K1696" s="29">
        <v>15</v>
      </c>
      <c r="L1696" s="31">
        <v>16500</v>
      </c>
      <c r="M1696" s="31">
        <v>1147.2</v>
      </c>
      <c r="N1696" s="31">
        <v>917.1</v>
      </c>
      <c r="O1696" s="34">
        <f t="shared" si="228"/>
        <v>6.9527272727272729E-2</v>
      </c>
      <c r="P1696" s="34">
        <f t="shared" si="229"/>
        <v>0.79942468619246865</v>
      </c>
      <c r="Q1696" s="34">
        <f t="shared" si="230"/>
        <v>0.93047272727272723</v>
      </c>
      <c r="R1696" s="46">
        <f t="shared" si="231"/>
        <v>61.14</v>
      </c>
    </row>
    <row r="1697" spans="2:18" ht="12.75" customHeight="1" x14ac:dyDescent="0.25">
      <c r="B1697" s="17" t="s">
        <v>0</v>
      </c>
      <c r="C1697" s="44" t="s">
        <v>24</v>
      </c>
      <c r="D1697" s="22" t="s">
        <v>2</v>
      </c>
      <c r="E1697" s="20">
        <v>1</v>
      </c>
      <c r="F1697" s="17" t="s">
        <v>261</v>
      </c>
      <c r="G1697" s="17" t="s">
        <v>279</v>
      </c>
      <c r="H1697" s="17" t="s">
        <v>280</v>
      </c>
      <c r="I1697" s="17" t="s">
        <v>281</v>
      </c>
      <c r="J1697" s="27" t="s">
        <v>25</v>
      </c>
      <c r="K1697" s="29">
        <v>11</v>
      </c>
      <c r="L1697" s="31">
        <v>13376</v>
      </c>
      <c r="M1697" s="31">
        <v>1250.1999999499999</v>
      </c>
      <c r="N1697" s="31">
        <v>900.32999999799995</v>
      </c>
      <c r="O1697" s="34">
        <f t="shared" si="228"/>
        <v>9.3465909087171048E-2</v>
      </c>
      <c r="P1697" s="34">
        <f t="shared" si="229"/>
        <v>0.72014877622301032</v>
      </c>
      <c r="Q1697" s="34">
        <f t="shared" si="230"/>
        <v>0.90653409091282899</v>
      </c>
      <c r="R1697" s="46">
        <f t="shared" si="231"/>
        <v>81.848181818</v>
      </c>
    </row>
    <row r="1698" spans="2:18" ht="12.75" customHeight="1" x14ac:dyDescent="0.25">
      <c r="B1698" s="17" t="s">
        <v>0</v>
      </c>
      <c r="C1698" s="44" t="s">
        <v>12</v>
      </c>
      <c r="D1698" s="22" t="s">
        <v>2</v>
      </c>
      <c r="E1698" s="20">
        <v>1</v>
      </c>
      <c r="F1698" s="17" t="s">
        <v>261</v>
      </c>
      <c r="G1698" s="17" t="s">
        <v>279</v>
      </c>
      <c r="H1698" s="17" t="s">
        <v>280</v>
      </c>
      <c r="I1698" s="17" t="s">
        <v>281</v>
      </c>
      <c r="J1698" s="27" t="s">
        <v>13</v>
      </c>
      <c r="K1698" s="29">
        <v>15</v>
      </c>
      <c r="L1698" s="31">
        <v>9563.5000000500004</v>
      </c>
      <c r="M1698" s="31">
        <v>1159.56</v>
      </c>
      <c r="N1698" s="31">
        <v>864.16000000499992</v>
      </c>
      <c r="O1698" s="34">
        <f t="shared" si="228"/>
        <v>0.12124849688858028</v>
      </c>
      <c r="P1698" s="34">
        <f t="shared" si="229"/>
        <v>0.74524819759650207</v>
      </c>
      <c r="Q1698" s="34">
        <f t="shared" si="230"/>
        <v>0.8787515031114197</v>
      </c>
      <c r="R1698" s="46">
        <f t="shared" si="231"/>
        <v>57.610666666999997</v>
      </c>
    </row>
    <row r="1699" spans="2:18" ht="12.75" customHeight="1" x14ac:dyDescent="0.25">
      <c r="B1699" s="17" t="s">
        <v>0</v>
      </c>
      <c r="C1699" s="44" t="s">
        <v>76</v>
      </c>
      <c r="D1699" s="22" t="s">
        <v>9</v>
      </c>
      <c r="E1699" s="20">
        <v>2</v>
      </c>
      <c r="F1699" s="17" t="s">
        <v>261</v>
      </c>
      <c r="G1699" s="17" t="s">
        <v>279</v>
      </c>
      <c r="H1699" s="17" t="s">
        <v>280</v>
      </c>
      <c r="I1699" s="17" t="s">
        <v>281</v>
      </c>
      <c r="J1699" s="27" t="s">
        <v>77</v>
      </c>
      <c r="K1699" s="29">
        <v>15</v>
      </c>
      <c r="L1699" s="31">
        <v>3705</v>
      </c>
      <c r="M1699" s="31">
        <v>1153.5400000050001</v>
      </c>
      <c r="N1699" s="31">
        <v>761.67</v>
      </c>
      <c r="O1699" s="34">
        <f t="shared" si="228"/>
        <v>0.31134682861133606</v>
      </c>
      <c r="P1699" s="34">
        <f t="shared" si="229"/>
        <v>0.66028919673067121</v>
      </c>
      <c r="Q1699" s="34">
        <f t="shared" si="230"/>
        <v>0.68865317138866389</v>
      </c>
      <c r="R1699" s="46">
        <f t="shared" si="231"/>
        <v>50.777999999999999</v>
      </c>
    </row>
    <row r="1700" spans="2:18" ht="12.75" customHeight="1" x14ac:dyDescent="0.25">
      <c r="B1700" s="17" t="s">
        <v>0</v>
      </c>
      <c r="C1700" s="44" t="s">
        <v>96</v>
      </c>
      <c r="D1700" s="22" t="s">
        <v>9</v>
      </c>
      <c r="E1700" s="20">
        <v>2</v>
      </c>
      <c r="F1700" s="17" t="s">
        <v>261</v>
      </c>
      <c r="G1700" s="17" t="s">
        <v>279</v>
      </c>
      <c r="H1700" s="17" t="s">
        <v>280</v>
      </c>
      <c r="I1700" s="17" t="s">
        <v>281</v>
      </c>
      <c r="J1700" s="27" t="s">
        <v>97</v>
      </c>
      <c r="K1700" s="29">
        <v>15</v>
      </c>
      <c r="L1700" s="31">
        <v>1410</v>
      </c>
      <c r="M1700" s="31">
        <v>683.23000000499997</v>
      </c>
      <c r="N1700" s="31">
        <v>507.97999999500001</v>
      </c>
      <c r="O1700" s="34">
        <f t="shared" si="228"/>
        <v>0.48456028369148935</v>
      </c>
      <c r="P1700" s="34">
        <f t="shared" si="229"/>
        <v>0.74349779721511433</v>
      </c>
      <c r="Q1700" s="34">
        <f t="shared" si="230"/>
        <v>0.51543971630851071</v>
      </c>
      <c r="R1700" s="46">
        <f t="shared" si="231"/>
        <v>33.865333333000002</v>
      </c>
    </row>
    <row r="1701" spans="2:18" ht="12.75" customHeight="1" x14ac:dyDescent="0.25">
      <c r="B1701" s="17" t="s">
        <v>0</v>
      </c>
      <c r="C1701" s="44" t="s">
        <v>62</v>
      </c>
      <c r="D1701" s="22" t="s">
        <v>9</v>
      </c>
      <c r="E1701" s="20">
        <v>2</v>
      </c>
      <c r="F1701" s="17" t="s">
        <v>261</v>
      </c>
      <c r="G1701" s="17" t="s">
        <v>279</v>
      </c>
      <c r="H1701" s="17" t="s">
        <v>280</v>
      </c>
      <c r="I1701" s="17" t="s">
        <v>281</v>
      </c>
      <c r="J1701" s="27" t="s">
        <v>63</v>
      </c>
      <c r="K1701" s="29">
        <v>12</v>
      </c>
      <c r="L1701" s="31">
        <v>780</v>
      </c>
      <c r="M1701" s="31">
        <v>246.45000000000002</v>
      </c>
      <c r="N1701" s="31">
        <v>177.35000000400001</v>
      </c>
      <c r="O1701" s="34">
        <f t="shared" si="228"/>
        <v>0.31596153846153846</v>
      </c>
      <c r="P1701" s="34">
        <f t="shared" si="229"/>
        <v>0.71961858390748634</v>
      </c>
      <c r="Q1701" s="34">
        <f t="shared" si="230"/>
        <v>0.6840384615384616</v>
      </c>
      <c r="R1701" s="46">
        <f t="shared" si="231"/>
        <v>14.779166667</v>
      </c>
    </row>
    <row r="1702" spans="2:18" ht="12.75" customHeight="1" thickBot="1" x14ac:dyDescent="0.3">
      <c r="B1702" s="15" t="s">
        <v>0</v>
      </c>
      <c r="C1702" s="50" t="s">
        <v>24</v>
      </c>
      <c r="D1702" s="19" t="s">
        <v>9</v>
      </c>
      <c r="E1702" s="16">
        <v>2</v>
      </c>
      <c r="F1702" s="15" t="s">
        <v>261</v>
      </c>
      <c r="G1702" s="15" t="s">
        <v>279</v>
      </c>
      <c r="H1702" s="15" t="s">
        <v>280</v>
      </c>
      <c r="I1702" s="15" t="s">
        <v>281</v>
      </c>
      <c r="J1702" s="24" t="s">
        <v>25</v>
      </c>
      <c r="K1702" s="26">
        <v>12</v>
      </c>
      <c r="L1702" s="28">
        <v>420</v>
      </c>
      <c r="M1702" s="28">
        <v>214.67000000400003</v>
      </c>
      <c r="N1702" s="28">
        <v>121.130000004</v>
      </c>
      <c r="O1702" s="32">
        <f t="shared" si="228"/>
        <v>0.51111904762857152</v>
      </c>
      <c r="P1702" s="32">
        <f t="shared" si="229"/>
        <v>0.56426142452016081</v>
      </c>
      <c r="Q1702" s="32">
        <f t="shared" si="230"/>
        <v>0.48888095237142848</v>
      </c>
      <c r="R1702" s="49">
        <f t="shared" si="231"/>
        <v>10.094166667</v>
      </c>
    </row>
    <row r="1703" spans="2:18" ht="17.25" customHeight="1" x14ac:dyDescent="0.25">
      <c r="B1703" s="48"/>
      <c r="C1703" s="58"/>
      <c r="D1703" s="51" t="s">
        <v>366</v>
      </c>
      <c r="E1703" s="52"/>
      <c r="F1703" s="52"/>
      <c r="G1703" s="53"/>
      <c r="H1703" s="53"/>
      <c r="I1703" s="53"/>
      <c r="J1703" s="54"/>
      <c r="K1703" s="55">
        <f>SUM(K1617:K1702)</f>
        <v>445312</v>
      </c>
      <c r="L1703" s="56">
        <f>SUM(L1617:L1702)</f>
        <v>465747192.51024425</v>
      </c>
      <c r="M1703" s="56">
        <f>SUM(M1617:M1702)</f>
        <v>92316895.720040724</v>
      </c>
      <c r="N1703" s="56">
        <f>SUM(N1617:N1702)</f>
        <v>71961776.530040517</v>
      </c>
      <c r="O1703" s="57">
        <f>IFERROR(M1703/L1703,0)</f>
        <v>0.19821245775520199</v>
      </c>
      <c r="P1703" s="57">
        <f>IFERROR(N1703/M1703,0)</f>
        <v>0.77950819260941207</v>
      </c>
      <c r="Q1703" s="57">
        <f>IFERROR(1-(M1703/L1703),0)</f>
        <v>0.80178754224479798</v>
      </c>
      <c r="R1703" s="59">
        <f>IFERROR(N1703/K1703,0)</f>
        <v>161.59855680969864</v>
      </c>
    </row>
    <row r="1704" spans="2:18" ht="15.75" thickBot="1" x14ac:dyDescent="0.3">
      <c r="B1704" s="60"/>
      <c r="C1704" s="64"/>
      <c r="D1704" s="62" t="s">
        <v>281</v>
      </c>
      <c r="E1704" s="61"/>
      <c r="F1704" s="61"/>
      <c r="G1704" s="61"/>
      <c r="H1704" s="61"/>
      <c r="I1704" s="61"/>
      <c r="J1704" s="61"/>
      <c r="K1704" s="63"/>
      <c r="L1704" s="63"/>
      <c r="M1704" s="63"/>
      <c r="N1704" s="63"/>
      <c r="O1704" s="63"/>
      <c r="P1704" s="63"/>
      <c r="Q1704" s="63"/>
      <c r="R1704" s="65"/>
    </row>
    <row r="1705" spans="2:18" ht="15.75" thickBot="1" x14ac:dyDescent="0.3"/>
    <row r="1706" spans="2:18" ht="15.75" x14ac:dyDescent="0.25">
      <c r="B1706" s="1"/>
      <c r="C1706" s="7" t="s">
        <v>348</v>
      </c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9"/>
    </row>
    <row r="1707" spans="2:18" ht="18" x14ac:dyDescent="0.25">
      <c r="B1707" s="2"/>
      <c r="C1707" s="8" t="s">
        <v>284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10"/>
    </row>
    <row r="1708" spans="2:18" ht="15.75" thickBot="1" x14ac:dyDescent="0.3">
      <c r="B1708" s="3"/>
      <c r="C1708" s="11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12"/>
    </row>
    <row r="1709" spans="2:18" ht="17.25" customHeight="1" thickBot="1" x14ac:dyDescent="0.3">
      <c r="B1709" s="14" t="s">
        <v>349</v>
      </c>
      <c r="C1709" s="18" t="s">
        <v>350</v>
      </c>
      <c r="D1709" s="21" t="s">
        <v>351</v>
      </c>
      <c r="E1709" s="23" t="s">
        <v>352</v>
      </c>
      <c r="F1709" s="21" t="s">
        <v>353</v>
      </c>
      <c r="G1709" s="23" t="s">
        <v>354</v>
      </c>
      <c r="H1709" s="23" t="s">
        <v>355</v>
      </c>
      <c r="I1709" s="23" t="s">
        <v>356</v>
      </c>
      <c r="J1709" s="25" t="s">
        <v>357</v>
      </c>
      <c r="K1709" s="25" t="s">
        <v>358</v>
      </c>
      <c r="L1709" s="30" t="s">
        <v>359</v>
      </c>
      <c r="M1709" s="30" t="s">
        <v>360</v>
      </c>
      <c r="N1709" s="30" t="s">
        <v>361</v>
      </c>
      <c r="O1709" s="33" t="s">
        <v>362</v>
      </c>
      <c r="P1709" s="33" t="s">
        <v>363</v>
      </c>
      <c r="Q1709" s="33" t="s">
        <v>364</v>
      </c>
      <c r="R1709" s="35" t="s">
        <v>365</v>
      </c>
    </row>
    <row r="1710" spans="2:18" ht="12.75" customHeight="1" x14ac:dyDescent="0.25">
      <c r="B1710" s="17" t="s">
        <v>0</v>
      </c>
      <c r="C1710" s="43" t="s">
        <v>82</v>
      </c>
      <c r="D1710" s="37" t="s">
        <v>9</v>
      </c>
      <c r="E1710" s="36">
        <v>2</v>
      </c>
      <c r="F1710" s="38" t="s">
        <v>261</v>
      </c>
      <c r="G1710" s="38" t="s">
        <v>282</v>
      </c>
      <c r="H1710" s="38" t="s">
        <v>283</v>
      </c>
      <c r="I1710" s="38" t="s">
        <v>284</v>
      </c>
      <c r="J1710" s="39" t="s">
        <v>83</v>
      </c>
      <c r="K1710" s="40">
        <v>1962823</v>
      </c>
      <c r="L1710" s="41">
        <v>371909256.77991152</v>
      </c>
      <c r="M1710" s="41">
        <v>144813489.93007231</v>
      </c>
      <c r="N1710" s="41">
        <v>109916124.16997698</v>
      </c>
      <c r="O1710" s="42">
        <f t="shared" ref="O1710:O1741" si="232">IFERROR(M1710/L1710,0)</f>
        <v>0.38937855751132877</v>
      </c>
      <c r="P1710" s="42">
        <f t="shared" ref="P1710:P1741" si="233">IFERROR(N1710/M1710,0)</f>
        <v>0.75901854325210583</v>
      </c>
      <c r="Q1710" s="42">
        <f t="shared" ref="Q1710:Q1741" si="234">IFERROR(1-(M1710/L1710),0)</f>
        <v>0.61062144248867123</v>
      </c>
      <c r="R1710" s="45">
        <f t="shared" ref="R1710:R1741" si="235">IFERROR(N1710/K1710,0)</f>
        <v>55.998999486951689</v>
      </c>
    </row>
    <row r="1711" spans="2:18" ht="12.75" customHeight="1" x14ac:dyDescent="0.25">
      <c r="B1711" s="17" t="s">
        <v>0</v>
      </c>
      <c r="C1711" s="44" t="s">
        <v>103</v>
      </c>
      <c r="D1711" s="22" t="s">
        <v>9</v>
      </c>
      <c r="E1711" s="20">
        <v>2</v>
      </c>
      <c r="F1711" s="17" t="s">
        <v>261</v>
      </c>
      <c r="G1711" s="17" t="s">
        <v>282</v>
      </c>
      <c r="H1711" s="17" t="s">
        <v>283</v>
      </c>
      <c r="I1711" s="17" t="s">
        <v>284</v>
      </c>
      <c r="J1711" s="27" t="s">
        <v>104</v>
      </c>
      <c r="K1711" s="29">
        <v>434915</v>
      </c>
      <c r="L1711" s="31">
        <v>49941843.520007722</v>
      </c>
      <c r="M1711" s="31">
        <v>24678918.960014638</v>
      </c>
      <c r="N1711" s="31">
        <v>18347204.439991321</v>
      </c>
      <c r="O1711" s="34">
        <f t="shared" si="232"/>
        <v>0.49415314334817773</v>
      </c>
      <c r="P1711" s="34">
        <f t="shared" si="233"/>
        <v>0.74343630973941333</v>
      </c>
      <c r="Q1711" s="34">
        <f t="shared" si="234"/>
        <v>0.50584685665182227</v>
      </c>
      <c r="R1711" s="46">
        <f t="shared" si="235"/>
        <v>42.185724658821428</v>
      </c>
    </row>
    <row r="1712" spans="2:18" ht="12.75" customHeight="1" x14ac:dyDescent="0.25">
      <c r="B1712" s="17" t="s">
        <v>0</v>
      </c>
      <c r="C1712" s="44" t="s">
        <v>50</v>
      </c>
      <c r="D1712" s="22" t="s">
        <v>9</v>
      </c>
      <c r="E1712" s="20">
        <v>2</v>
      </c>
      <c r="F1712" s="17" t="s">
        <v>261</v>
      </c>
      <c r="G1712" s="17" t="s">
        <v>282</v>
      </c>
      <c r="H1712" s="17" t="s">
        <v>283</v>
      </c>
      <c r="I1712" s="17" t="s">
        <v>284</v>
      </c>
      <c r="J1712" s="27" t="s">
        <v>51</v>
      </c>
      <c r="K1712" s="29">
        <v>430619</v>
      </c>
      <c r="L1712" s="31">
        <v>55369396.409997217</v>
      </c>
      <c r="M1712" s="31">
        <v>16865636.710011721</v>
      </c>
      <c r="N1712" s="31">
        <v>12394780.839992512</v>
      </c>
      <c r="O1712" s="34">
        <f t="shared" si="232"/>
        <v>0.30460214131874747</v>
      </c>
      <c r="P1712" s="34">
        <f t="shared" si="233"/>
        <v>0.73491330645316022</v>
      </c>
      <c r="Q1712" s="34">
        <f t="shared" si="234"/>
        <v>0.69539785868125259</v>
      </c>
      <c r="R1712" s="46">
        <f t="shared" si="235"/>
        <v>28.78363667184335</v>
      </c>
    </row>
    <row r="1713" spans="2:18" ht="12.75" customHeight="1" x14ac:dyDescent="0.25">
      <c r="B1713" s="17" t="s">
        <v>0</v>
      </c>
      <c r="C1713" s="44" t="s">
        <v>174</v>
      </c>
      <c r="D1713" s="22" t="s">
        <v>9</v>
      </c>
      <c r="E1713" s="20">
        <v>2</v>
      </c>
      <c r="F1713" s="17" t="s">
        <v>261</v>
      </c>
      <c r="G1713" s="17" t="s">
        <v>282</v>
      </c>
      <c r="H1713" s="17" t="s">
        <v>283</v>
      </c>
      <c r="I1713" s="17" t="s">
        <v>284</v>
      </c>
      <c r="J1713" s="27" t="s">
        <v>175</v>
      </c>
      <c r="K1713" s="29">
        <v>48941</v>
      </c>
      <c r="L1713" s="31">
        <v>29416173.950039752</v>
      </c>
      <c r="M1713" s="31">
        <v>12385217.35000471</v>
      </c>
      <c r="N1713" s="31">
        <v>9799810.4599951748</v>
      </c>
      <c r="O1713" s="34">
        <f t="shared" si="232"/>
        <v>0.42103427084160189</v>
      </c>
      <c r="P1713" s="34">
        <f t="shared" si="233"/>
        <v>0.79125058390609893</v>
      </c>
      <c r="Q1713" s="34">
        <f t="shared" si="234"/>
        <v>0.57896572915839806</v>
      </c>
      <c r="R1713" s="46">
        <f t="shared" si="235"/>
        <v>200.23723381204255</v>
      </c>
    </row>
    <row r="1714" spans="2:18" ht="12.75" customHeight="1" x14ac:dyDescent="0.25">
      <c r="B1714" s="17" t="s">
        <v>0</v>
      </c>
      <c r="C1714" s="44" t="s">
        <v>46</v>
      </c>
      <c r="D1714" s="22" t="s">
        <v>9</v>
      </c>
      <c r="E1714" s="20">
        <v>2</v>
      </c>
      <c r="F1714" s="17" t="s">
        <v>261</v>
      </c>
      <c r="G1714" s="17" t="s">
        <v>282</v>
      </c>
      <c r="H1714" s="17" t="s">
        <v>283</v>
      </c>
      <c r="I1714" s="17" t="s">
        <v>284</v>
      </c>
      <c r="J1714" s="27" t="s">
        <v>47</v>
      </c>
      <c r="K1714" s="29">
        <v>175873</v>
      </c>
      <c r="L1714" s="31">
        <v>25952359.420014035</v>
      </c>
      <c r="M1714" s="31">
        <v>8926452.6699971315</v>
      </c>
      <c r="N1714" s="31">
        <v>6734904.9600002887</v>
      </c>
      <c r="O1714" s="34">
        <f t="shared" si="232"/>
        <v>0.34395534238452313</v>
      </c>
      <c r="P1714" s="34">
        <f t="shared" si="233"/>
        <v>0.75448839634103537</v>
      </c>
      <c r="Q1714" s="34">
        <f t="shared" si="234"/>
        <v>0.65604465761547681</v>
      </c>
      <c r="R1714" s="46">
        <f t="shared" si="235"/>
        <v>38.294138156512304</v>
      </c>
    </row>
    <row r="1715" spans="2:18" ht="12.75" customHeight="1" x14ac:dyDescent="0.25">
      <c r="B1715" s="17" t="s">
        <v>0</v>
      </c>
      <c r="C1715" s="44" t="s">
        <v>98</v>
      </c>
      <c r="D1715" s="22" t="s">
        <v>2</v>
      </c>
      <c r="E1715" s="20">
        <v>1</v>
      </c>
      <c r="F1715" s="17" t="s">
        <v>261</v>
      </c>
      <c r="G1715" s="17" t="s">
        <v>282</v>
      </c>
      <c r="H1715" s="17" t="s">
        <v>283</v>
      </c>
      <c r="I1715" s="17" t="s">
        <v>284</v>
      </c>
      <c r="J1715" s="27" t="s">
        <v>102</v>
      </c>
      <c r="K1715" s="29">
        <v>8330</v>
      </c>
      <c r="L1715" s="31">
        <v>35288436.029977046</v>
      </c>
      <c r="M1715" s="31">
        <v>5037761.8900023624</v>
      </c>
      <c r="N1715" s="31">
        <v>3986890.6000080011</v>
      </c>
      <c r="O1715" s="34">
        <f t="shared" si="232"/>
        <v>0.1427595681974359</v>
      </c>
      <c r="P1715" s="34">
        <f t="shared" si="233"/>
        <v>0.79140115929658028</v>
      </c>
      <c r="Q1715" s="34">
        <f t="shared" si="234"/>
        <v>0.85724043180256415</v>
      </c>
      <c r="R1715" s="46">
        <f t="shared" si="235"/>
        <v>478.6183193286916</v>
      </c>
    </row>
    <row r="1716" spans="2:18" ht="12.75" customHeight="1" x14ac:dyDescent="0.25">
      <c r="B1716" s="17" t="s">
        <v>0</v>
      </c>
      <c r="C1716" s="44" t="s">
        <v>36</v>
      </c>
      <c r="D1716" s="22" t="s">
        <v>9</v>
      </c>
      <c r="E1716" s="20">
        <v>2</v>
      </c>
      <c r="F1716" s="17" t="s">
        <v>261</v>
      </c>
      <c r="G1716" s="17" t="s">
        <v>282</v>
      </c>
      <c r="H1716" s="17" t="s">
        <v>283</v>
      </c>
      <c r="I1716" s="17" t="s">
        <v>284</v>
      </c>
      <c r="J1716" s="27" t="s">
        <v>37</v>
      </c>
      <c r="K1716" s="29">
        <v>32894</v>
      </c>
      <c r="L1716" s="31">
        <v>13031805.700001828</v>
      </c>
      <c r="M1716" s="31">
        <v>4923905.1700091967</v>
      </c>
      <c r="N1716" s="31">
        <v>3899656.250013202</v>
      </c>
      <c r="O1716" s="34">
        <f t="shared" si="232"/>
        <v>0.37783752178015562</v>
      </c>
      <c r="P1716" s="34">
        <f t="shared" si="233"/>
        <v>0.79198443417745967</v>
      </c>
      <c r="Q1716" s="34">
        <f t="shared" si="234"/>
        <v>0.62216247821984438</v>
      </c>
      <c r="R1716" s="46">
        <f t="shared" si="235"/>
        <v>118.55220556980611</v>
      </c>
    </row>
    <row r="1717" spans="2:18" ht="12.75" customHeight="1" x14ac:dyDescent="0.25">
      <c r="B1717" s="17" t="s">
        <v>0</v>
      </c>
      <c r="C1717" s="44" t="s">
        <v>54</v>
      </c>
      <c r="D1717" s="22" t="s">
        <v>9</v>
      </c>
      <c r="E1717" s="20">
        <v>2</v>
      </c>
      <c r="F1717" s="17" t="s">
        <v>261</v>
      </c>
      <c r="G1717" s="17" t="s">
        <v>282</v>
      </c>
      <c r="H1717" s="17" t="s">
        <v>283</v>
      </c>
      <c r="I1717" s="17" t="s">
        <v>284</v>
      </c>
      <c r="J1717" s="27" t="s">
        <v>55</v>
      </c>
      <c r="K1717" s="29">
        <v>49274</v>
      </c>
      <c r="L1717" s="31">
        <v>13506468.589998519</v>
      </c>
      <c r="M1717" s="31">
        <v>4919020.7700034408</v>
      </c>
      <c r="N1717" s="31">
        <v>3837156.1100041205</v>
      </c>
      <c r="O1717" s="34">
        <f t="shared" si="232"/>
        <v>0.3641974019504961</v>
      </c>
      <c r="P1717" s="34">
        <f t="shared" si="233"/>
        <v>0.78006503518004788</v>
      </c>
      <c r="Q1717" s="34">
        <f t="shared" si="234"/>
        <v>0.6358025980495039</v>
      </c>
      <c r="R1717" s="46">
        <f t="shared" si="235"/>
        <v>77.873850509480064</v>
      </c>
    </row>
    <row r="1718" spans="2:18" ht="12.75" customHeight="1" x14ac:dyDescent="0.25">
      <c r="B1718" s="17" t="s">
        <v>0</v>
      </c>
      <c r="C1718" s="44" t="s">
        <v>82</v>
      </c>
      <c r="D1718" s="22" t="s">
        <v>2</v>
      </c>
      <c r="E1718" s="20">
        <v>1</v>
      </c>
      <c r="F1718" s="17" t="s">
        <v>261</v>
      </c>
      <c r="G1718" s="17" t="s">
        <v>282</v>
      </c>
      <c r="H1718" s="17" t="s">
        <v>283</v>
      </c>
      <c r="I1718" s="17" t="s">
        <v>284</v>
      </c>
      <c r="J1718" s="27" t="s">
        <v>83</v>
      </c>
      <c r="K1718" s="29">
        <v>39497</v>
      </c>
      <c r="L1718" s="31">
        <v>13383193.750002978</v>
      </c>
      <c r="M1718" s="31">
        <v>2709318.3600010611</v>
      </c>
      <c r="N1718" s="31">
        <v>2091739.9500023772</v>
      </c>
      <c r="O1718" s="34">
        <f t="shared" si="232"/>
        <v>0.20244183941523361</v>
      </c>
      <c r="P1718" s="34">
        <f t="shared" si="233"/>
        <v>0.7720539530841839</v>
      </c>
      <c r="Q1718" s="34">
        <f t="shared" si="234"/>
        <v>0.79755816058476636</v>
      </c>
      <c r="R1718" s="46">
        <f t="shared" si="235"/>
        <v>52.959464009984991</v>
      </c>
    </row>
    <row r="1719" spans="2:18" ht="12.75" customHeight="1" x14ac:dyDescent="0.25">
      <c r="B1719" s="17" t="s">
        <v>0</v>
      </c>
      <c r="C1719" s="44" t="s">
        <v>34</v>
      </c>
      <c r="D1719" s="22" t="s">
        <v>2</v>
      </c>
      <c r="E1719" s="20">
        <v>1</v>
      </c>
      <c r="F1719" s="17" t="s">
        <v>261</v>
      </c>
      <c r="G1719" s="17" t="s">
        <v>282</v>
      </c>
      <c r="H1719" s="17" t="s">
        <v>283</v>
      </c>
      <c r="I1719" s="17" t="s">
        <v>284</v>
      </c>
      <c r="J1719" s="27" t="s">
        <v>35</v>
      </c>
      <c r="K1719" s="29">
        <v>3002</v>
      </c>
      <c r="L1719" s="31">
        <v>8044228.48002523</v>
      </c>
      <c r="M1719" s="31">
        <v>2199566.0499995607</v>
      </c>
      <c r="N1719" s="31">
        <v>1741527.3399992238</v>
      </c>
      <c r="O1719" s="34">
        <f t="shared" si="232"/>
        <v>0.27343405964429568</v>
      </c>
      <c r="P1719" s="34">
        <f t="shared" si="233"/>
        <v>0.79175951092697205</v>
      </c>
      <c r="Q1719" s="34">
        <f t="shared" si="234"/>
        <v>0.72656594035570432</v>
      </c>
      <c r="R1719" s="46">
        <f t="shared" si="235"/>
        <v>580.12236508968147</v>
      </c>
    </row>
    <row r="1720" spans="2:18" ht="12.75" customHeight="1" x14ac:dyDescent="0.25">
      <c r="B1720" s="17" t="s">
        <v>0</v>
      </c>
      <c r="C1720" s="44" t="s">
        <v>70</v>
      </c>
      <c r="D1720" s="22" t="s">
        <v>9</v>
      </c>
      <c r="E1720" s="20">
        <v>2</v>
      </c>
      <c r="F1720" s="17" t="s">
        <v>261</v>
      </c>
      <c r="G1720" s="17" t="s">
        <v>282</v>
      </c>
      <c r="H1720" s="17" t="s">
        <v>283</v>
      </c>
      <c r="I1720" s="17" t="s">
        <v>284</v>
      </c>
      <c r="J1720" s="27" t="s">
        <v>71</v>
      </c>
      <c r="K1720" s="29">
        <v>12233</v>
      </c>
      <c r="L1720" s="31">
        <v>4260240.6999996845</v>
      </c>
      <c r="M1720" s="31">
        <v>2043938.1499890117</v>
      </c>
      <c r="N1720" s="31">
        <v>1638096.5999999119</v>
      </c>
      <c r="O1720" s="34">
        <f t="shared" si="232"/>
        <v>0.47977057962691244</v>
      </c>
      <c r="P1720" s="34">
        <f t="shared" si="233"/>
        <v>0.80144137434330798</v>
      </c>
      <c r="Q1720" s="34">
        <f t="shared" si="234"/>
        <v>0.5202294203730875</v>
      </c>
      <c r="R1720" s="46">
        <f t="shared" si="235"/>
        <v>133.90800294285228</v>
      </c>
    </row>
    <row r="1721" spans="2:18" ht="12.75" customHeight="1" x14ac:dyDescent="0.25">
      <c r="B1721" s="17" t="s">
        <v>0</v>
      </c>
      <c r="C1721" s="44" t="s">
        <v>36</v>
      </c>
      <c r="D1721" s="22" t="s">
        <v>2</v>
      </c>
      <c r="E1721" s="20">
        <v>1</v>
      </c>
      <c r="F1721" s="17" t="s">
        <v>261</v>
      </c>
      <c r="G1721" s="17" t="s">
        <v>282</v>
      </c>
      <c r="H1721" s="17" t="s">
        <v>283</v>
      </c>
      <c r="I1721" s="17" t="s">
        <v>284</v>
      </c>
      <c r="J1721" s="27" t="s">
        <v>37</v>
      </c>
      <c r="K1721" s="29">
        <v>20056</v>
      </c>
      <c r="L1721" s="31">
        <v>8463559.0600102022</v>
      </c>
      <c r="M1721" s="31">
        <v>1816661.2899958801</v>
      </c>
      <c r="N1721" s="31">
        <v>1437459.7000014496</v>
      </c>
      <c r="O1721" s="34">
        <f t="shared" si="232"/>
        <v>0.21464507745677505</v>
      </c>
      <c r="P1721" s="34">
        <f t="shared" si="233"/>
        <v>0.7912645620388099</v>
      </c>
      <c r="Q1721" s="34">
        <f t="shared" si="234"/>
        <v>0.78535492254322492</v>
      </c>
      <c r="R1721" s="46">
        <f t="shared" si="235"/>
        <v>71.672302552924293</v>
      </c>
    </row>
    <row r="1722" spans="2:18" ht="12.75" customHeight="1" x14ac:dyDescent="0.25">
      <c r="B1722" s="17" t="s">
        <v>0</v>
      </c>
      <c r="C1722" s="44" t="s">
        <v>54</v>
      </c>
      <c r="D1722" s="22" t="s">
        <v>2</v>
      </c>
      <c r="E1722" s="20">
        <v>1</v>
      </c>
      <c r="F1722" s="17" t="s">
        <v>261</v>
      </c>
      <c r="G1722" s="17" t="s">
        <v>282</v>
      </c>
      <c r="H1722" s="17" t="s">
        <v>283</v>
      </c>
      <c r="I1722" s="17" t="s">
        <v>284</v>
      </c>
      <c r="J1722" s="27" t="s">
        <v>55</v>
      </c>
      <c r="K1722" s="29">
        <v>22333</v>
      </c>
      <c r="L1722" s="31">
        <v>7279624.5300039398</v>
      </c>
      <c r="M1722" s="31">
        <v>1531948.7900007069</v>
      </c>
      <c r="N1722" s="31">
        <v>1207713.0700008625</v>
      </c>
      <c r="O1722" s="34">
        <f t="shared" si="232"/>
        <v>0.21044337983182737</v>
      </c>
      <c r="P1722" s="34">
        <f t="shared" si="233"/>
        <v>0.78835081034288701</v>
      </c>
      <c r="Q1722" s="34">
        <f t="shared" si="234"/>
        <v>0.78955662016817263</v>
      </c>
      <c r="R1722" s="46">
        <f t="shared" si="235"/>
        <v>54.077511753945394</v>
      </c>
    </row>
    <row r="1723" spans="2:18" ht="12.75" customHeight="1" x14ac:dyDescent="0.25">
      <c r="B1723" s="17" t="s">
        <v>0</v>
      </c>
      <c r="C1723" s="44" t="s">
        <v>30</v>
      </c>
      <c r="D1723" s="22" t="s">
        <v>9</v>
      </c>
      <c r="E1723" s="20">
        <v>2</v>
      </c>
      <c r="F1723" s="17" t="s">
        <v>261</v>
      </c>
      <c r="G1723" s="17" t="s">
        <v>282</v>
      </c>
      <c r="H1723" s="17" t="s">
        <v>283</v>
      </c>
      <c r="I1723" s="17" t="s">
        <v>284</v>
      </c>
      <c r="J1723" s="27" t="s">
        <v>31</v>
      </c>
      <c r="K1723" s="29">
        <v>15414</v>
      </c>
      <c r="L1723" s="31">
        <v>4480484.3400052963</v>
      </c>
      <c r="M1723" s="31">
        <v>1494755.9400112561</v>
      </c>
      <c r="N1723" s="31">
        <v>1179749.1099985379</v>
      </c>
      <c r="O1723" s="34">
        <f t="shared" si="232"/>
        <v>0.3336148118329299</v>
      </c>
      <c r="P1723" s="34">
        <f t="shared" si="233"/>
        <v>0.78925868659846499</v>
      </c>
      <c r="Q1723" s="34">
        <f t="shared" si="234"/>
        <v>0.66638518816707015</v>
      </c>
      <c r="R1723" s="46">
        <f t="shared" si="235"/>
        <v>76.537505514372512</v>
      </c>
    </row>
    <row r="1724" spans="2:18" ht="12.75" customHeight="1" x14ac:dyDescent="0.25">
      <c r="B1724" s="17" t="s">
        <v>0</v>
      </c>
      <c r="C1724" s="44" t="s">
        <v>184</v>
      </c>
      <c r="D1724" s="22" t="s">
        <v>9</v>
      </c>
      <c r="E1724" s="20">
        <v>2</v>
      </c>
      <c r="F1724" s="17" t="s">
        <v>261</v>
      </c>
      <c r="G1724" s="17" t="s">
        <v>282</v>
      </c>
      <c r="H1724" s="17" t="s">
        <v>283</v>
      </c>
      <c r="I1724" s="17" t="s">
        <v>284</v>
      </c>
      <c r="J1724" s="27" t="s">
        <v>185</v>
      </c>
      <c r="K1724" s="29">
        <v>14603</v>
      </c>
      <c r="L1724" s="31">
        <v>2115412.569989996</v>
      </c>
      <c r="M1724" s="31">
        <v>1470126.4200060288</v>
      </c>
      <c r="N1724" s="31">
        <v>1154739.609995991</v>
      </c>
      <c r="O1724" s="34">
        <f t="shared" si="232"/>
        <v>0.69495966926819441</v>
      </c>
      <c r="P1724" s="34">
        <f t="shared" si="233"/>
        <v>0.78546959926837823</v>
      </c>
      <c r="Q1724" s="34">
        <f t="shared" si="234"/>
        <v>0.30504033073180559</v>
      </c>
      <c r="R1724" s="46">
        <f t="shared" si="235"/>
        <v>79.075505717728618</v>
      </c>
    </row>
    <row r="1725" spans="2:18" ht="12.75" customHeight="1" x14ac:dyDescent="0.25">
      <c r="B1725" s="17" t="s">
        <v>0</v>
      </c>
      <c r="C1725" s="44" t="s">
        <v>141</v>
      </c>
      <c r="D1725" s="22" t="s">
        <v>9</v>
      </c>
      <c r="E1725" s="20">
        <v>2</v>
      </c>
      <c r="F1725" s="17" t="s">
        <v>261</v>
      </c>
      <c r="G1725" s="17" t="s">
        <v>282</v>
      </c>
      <c r="H1725" s="17" t="s">
        <v>283</v>
      </c>
      <c r="I1725" s="17" t="s">
        <v>284</v>
      </c>
      <c r="J1725" s="27" t="s">
        <v>142</v>
      </c>
      <c r="K1725" s="29">
        <v>172476</v>
      </c>
      <c r="L1725" s="31">
        <v>6214419.3999991296</v>
      </c>
      <c r="M1725" s="31">
        <v>1448112.7499999211</v>
      </c>
      <c r="N1725" s="31">
        <v>1116837.3400001898</v>
      </c>
      <c r="O1725" s="34">
        <f t="shared" si="232"/>
        <v>0.23302462495532952</v>
      </c>
      <c r="P1725" s="34">
        <f t="shared" si="233"/>
        <v>0.77123645241038774</v>
      </c>
      <c r="Q1725" s="34">
        <f t="shared" si="234"/>
        <v>0.7669753750446705</v>
      </c>
      <c r="R1725" s="46">
        <f t="shared" si="235"/>
        <v>6.4753202764453599</v>
      </c>
    </row>
    <row r="1726" spans="2:18" ht="12.75" customHeight="1" x14ac:dyDescent="0.25">
      <c r="B1726" s="17" t="s">
        <v>0</v>
      </c>
      <c r="C1726" s="44" t="s">
        <v>74</v>
      </c>
      <c r="D1726" s="22" t="s">
        <v>2</v>
      </c>
      <c r="E1726" s="20">
        <v>1</v>
      </c>
      <c r="F1726" s="17" t="s">
        <v>261</v>
      </c>
      <c r="G1726" s="17" t="s">
        <v>282</v>
      </c>
      <c r="H1726" s="17" t="s">
        <v>283</v>
      </c>
      <c r="I1726" s="17" t="s">
        <v>284</v>
      </c>
      <c r="J1726" s="27" t="s">
        <v>75</v>
      </c>
      <c r="K1726" s="29">
        <v>4398</v>
      </c>
      <c r="L1726" s="31">
        <v>10222470.559985712</v>
      </c>
      <c r="M1726" s="31">
        <v>1354384.8200047368</v>
      </c>
      <c r="N1726" s="31">
        <v>1078128.4899997199</v>
      </c>
      <c r="O1726" s="34">
        <f t="shared" si="232"/>
        <v>0.13249094845098089</v>
      </c>
      <c r="P1726" s="34">
        <f t="shared" si="233"/>
        <v>0.79602818495554994</v>
      </c>
      <c r="Q1726" s="34">
        <f t="shared" si="234"/>
        <v>0.86750905154901914</v>
      </c>
      <c r="R1726" s="46">
        <f t="shared" si="235"/>
        <v>245.14062983167801</v>
      </c>
    </row>
    <row r="1727" spans="2:18" ht="12.75" customHeight="1" x14ac:dyDescent="0.25">
      <c r="B1727" s="17" t="s">
        <v>0</v>
      </c>
      <c r="C1727" s="44" t="s">
        <v>170</v>
      </c>
      <c r="D1727" s="22" t="s">
        <v>9</v>
      </c>
      <c r="E1727" s="20">
        <v>2</v>
      </c>
      <c r="F1727" s="17" t="s">
        <v>261</v>
      </c>
      <c r="G1727" s="17" t="s">
        <v>282</v>
      </c>
      <c r="H1727" s="17" t="s">
        <v>283</v>
      </c>
      <c r="I1727" s="17" t="s">
        <v>284</v>
      </c>
      <c r="J1727" s="27" t="s">
        <v>171</v>
      </c>
      <c r="K1727" s="29">
        <v>6588</v>
      </c>
      <c r="L1727" s="31">
        <v>2228150.2800045572</v>
      </c>
      <c r="M1727" s="31">
        <v>1190472.0599971528</v>
      </c>
      <c r="N1727" s="31">
        <v>945311.19000329764</v>
      </c>
      <c r="O1727" s="34">
        <f t="shared" si="232"/>
        <v>0.53428714870826299</v>
      </c>
      <c r="P1727" s="34">
        <f t="shared" si="233"/>
        <v>0.7940641546896603</v>
      </c>
      <c r="Q1727" s="34">
        <f t="shared" si="234"/>
        <v>0.46571285129173701</v>
      </c>
      <c r="R1727" s="46">
        <f t="shared" si="235"/>
        <v>143.48985883474464</v>
      </c>
    </row>
    <row r="1728" spans="2:18" ht="12.75" customHeight="1" x14ac:dyDescent="0.25">
      <c r="B1728" s="17" t="s">
        <v>0</v>
      </c>
      <c r="C1728" s="44" t="s">
        <v>46</v>
      </c>
      <c r="D1728" s="22" t="s">
        <v>2</v>
      </c>
      <c r="E1728" s="20">
        <v>1</v>
      </c>
      <c r="F1728" s="17" t="s">
        <v>261</v>
      </c>
      <c r="G1728" s="17" t="s">
        <v>282</v>
      </c>
      <c r="H1728" s="17" t="s">
        <v>283</v>
      </c>
      <c r="I1728" s="17" t="s">
        <v>284</v>
      </c>
      <c r="J1728" s="27" t="s">
        <v>47</v>
      </c>
      <c r="K1728" s="29">
        <v>22109</v>
      </c>
      <c r="L1728" s="31">
        <v>4888846.7099971175</v>
      </c>
      <c r="M1728" s="31">
        <v>1001845.149999687</v>
      </c>
      <c r="N1728" s="31">
        <v>782013.86000003165</v>
      </c>
      <c r="O1728" s="34">
        <f t="shared" si="232"/>
        <v>0.20492463957829385</v>
      </c>
      <c r="P1728" s="34">
        <f t="shared" si="233"/>
        <v>0.78057358465055804</v>
      </c>
      <c r="Q1728" s="34">
        <f t="shared" si="234"/>
        <v>0.79507536042170612</v>
      </c>
      <c r="R1728" s="46">
        <f t="shared" si="235"/>
        <v>35.370838120223965</v>
      </c>
    </row>
    <row r="1729" spans="2:18" ht="12.75" customHeight="1" x14ac:dyDescent="0.25">
      <c r="B1729" s="17" t="s">
        <v>0</v>
      </c>
      <c r="C1729" s="44" t="s">
        <v>74</v>
      </c>
      <c r="D1729" s="22" t="s">
        <v>9</v>
      </c>
      <c r="E1729" s="20">
        <v>2</v>
      </c>
      <c r="F1729" s="17" t="s">
        <v>261</v>
      </c>
      <c r="G1729" s="17" t="s">
        <v>282</v>
      </c>
      <c r="H1729" s="17" t="s">
        <v>283</v>
      </c>
      <c r="I1729" s="17" t="s">
        <v>284</v>
      </c>
      <c r="J1729" s="27" t="s">
        <v>75</v>
      </c>
      <c r="K1729" s="29">
        <v>5007</v>
      </c>
      <c r="L1729" s="31">
        <v>2370084.4600028014</v>
      </c>
      <c r="M1729" s="31">
        <v>774062.50999930501</v>
      </c>
      <c r="N1729" s="31">
        <v>606497.19000180054</v>
      </c>
      <c r="O1729" s="34">
        <f t="shared" si="232"/>
        <v>0.32659701502721555</v>
      </c>
      <c r="P1729" s="34">
        <f t="shared" si="233"/>
        <v>0.78352482153197822</v>
      </c>
      <c r="Q1729" s="34">
        <f t="shared" si="234"/>
        <v>0.6734029849727845</v>
      </c>
      <c r="R1729" s="46">
        <f t="shared" si="235"/>
        <v>121.12985620167775</v>
      </c>
    </row>
    <row r="1730" spans="2:18" ht="12.75" customHeight="1" x14ac:dyDescent="0.25">
      <c r="B1730" s="17" t="s">
        <v>0</v>
      </c>
      <c r="C1730" s="44" t="s">
        <v>103</v>
      </c>
      <c r="D1730" s="22" t="s">
        <v>2</v>
      </c>
      <c r="E1730" s="20">
        <v>1</v>
      </c>
      <c r="F1730" s="17" t="s">
        <v>261</v>
      </c>
      <c r="G1730" s="17" t="s">
        <v>282</v>
      </c>
      <c r="H1730" s="17" t="s">
        <v>283</v>
      </c>
      <c r="I1730" s="17" t="s">
        <v>284</v>
      </c>
      <c r="J1730" s="27" t="s">
        <v>104</v>
      </c>
      <c r="K1730" s="29">
        <v>26621</v>
      </c>
      <c r="L1730" s="31">
        <v>3467545.6899937796</v>
      </c>
      <c r="M1730" s="31">
        <v>719594.05000018701</v>
      </c>
      <c r="N1730" s="31">
        <v>546437.78000096232</v>
      </c>
      <c r="O1730" s="34">
        <f t="shared" si="232"/>
        <v>0.20752258638630305</v>
      </c>
      <c r="P1730" s="34">
        <f t="shared" si="233"/>
        <v>0.75936950840660833</v>
      </c>
      <c r="Q1730" s="34">
        <f t="shared" si="234"/>
        <v>0.79247741361369695</v>
      </c>
      <c r="R1730" s="46">
        <f t="shared" si="235"/>
        <v>20.526568498589921</v>
      </c>
    </row>
    <row r="1731" spans="2:18" ht="12.75" customHeight="1" x14ac:dyDescent="0.25">
      <c r="B1731" s="17" t="s">
        <v>0</v>
      </c>
      <c r="C1731" s="44" t="s">
        <v>34</v>
      </c>
      <c r="D1731" s="22" t="s">
        <v>9</v>
      </c>
      <c r="E1731" s="20">
        <v>2</v>
      </c>
      <c r="F1731" s="17" t="s">
        <v>261</v>
      </c>
      <c r="G1731" s="17" t="s">
        <v>282</v>
      </c>
      <c r="H1731" s="17" t="s">
        <v>283</v>
      </c>
      <c r="I1731" s="17" t="s">
        <v>284</v>
      </c>
      <c r="J1731" s="27" t="s">
        <v>35</v>
      </c>
      <c r="K1731" s="29">
        <v>2648</v>
      </c>
      <c r="L1731" s="31">
        <v>2463380.8499988159</v>
      </c>
      <c r="M1731" s="31">
        <v>654219.44999813312</v>
      </c>
      <c r="N1731" s="31">
        <v>510947.20999905624</v>
      </c>
      <c r="O1731" s="34">
        <f t="shared" si="232"/>
        <v>0.26557787440721869</v>
      </c>
      <c r="P1731" s="34">
        <f t="shared" si="233"/>
        <v>0.78100278125407963</v>
      </c>
      <c r="Q1731" s="34">
        <f t="shared" si="234"/>
        <v>0.73442212559278131</v>
      </c>
      <c r="R1731" s="46">
        <f t="shared" si="235"/>
        <v>192.95589501474933</v>
      </c>
    </row>
    <row r="1732" spans="2:18" ht="12.75" customHeight="1" x14ac:dyDescent="0.25">
      <c r="B1732" s="17" t="s">
        <v>0</v>
      </c>
      <c r="C1732" s="44" t="s">
        <v>90</v>
      </c>
      <c r="D1732" s="22" t="s">
        <v>2</v>
      </c>
      <c r="E1732" s="20">
        <v>1</v>
      </c>
      <c r="F1732" s="17" t="s">
        <v>261</v>
      </c>
      <c r="G1732" s="17" t="s">
        <v>282</v>
      </c>
      <c r="H1732" s="17" t="s">
        <v>283</v>
      </c>
      <c r="I1732" s="17" t="s">
        <v>284</v>
      </c>
      <c r="J1732" s="27" t="s">
        <v>91</v>
      </c>
      <c r="K1732" s="29">
        <v>4013</v>
      </c>
      <c r="L1732" s="31">
        <v>3915115.0799943772</v>
      </c>
      <c r="M1732" s="31">
        <v>621239.58000133012</v>
      </c>
      <c r="N1732" s="31">
        <v>494427.45999933482</v>
      </c>
      <c r="O1732" s="34">
        <f t="shared" si="232"/>
        <v>0.1586772207988896</v>
      </c>
      <c r="P1732" s="34">
        <f t="shared" si="233"/>
        <v>0.79587243941906638</v>
      </c>
      <c r="Q1732" s="34">
        <f t="shared" si="234"/>
        <v>0.84132277920111043</v>
      </c>
      <c r="R1732" s="46">
        <f t="shared" si="235"/>
        <v>123.2064440566496</v>
      </c>
    </row>
    <row r="1733" spans="2:18" ht="12.75" customHeight="1" x14ac:dyDescent="0.25">
      <c r="B1733" s="17" t="s">
        <v>0</v>
      </c>
      <c r="C1733" s="44" t="s">
        <v>30</v>
      </c>
      <c r="D1733" s="22" t="s">
        <v>2</v>
      </c>
      <c r="E1733" s="20">
        <v>1</v>
      </c>
      <c r="F1733" s="17" t="s">
        <v>261</v>
      </c>
      <c r="G1733" s="17" t="s">
        <v>282</v>
      </c>
      <c r="H1733" s="17" t="s">
        <v>283</v>
      </c>
      <c r="I1733" s="17" t="s">
        <v>284</v>
      </c>
      <c r="J1733" s="27" t="s">
        <v>31</v>
      </c>
      <c r="K1733" s="29">
        <v>10899</v>
      </c>
      <c r="L1733" s="31">
        <v>3392169.6100014136</v>
      </c>
      <c r="M1733" s="31">
        <v>633076.90000004834</v>
      </c>
      <c r="N1733" s="31">
        <v>494266.17999804491</v>
      </c>
      <c r="O1733" s="34">
        <f t="shared" si="232"/>
        <v>0.18662890503278359</v>
      </c>
      <c r="P1733" s="34">
        <f t="shared" si="233"/>
        <v>0.78073640026670876</v>
      </c>
      <c r="Q1733" s="34">
        <f t="shared" si="234"/>
        <v>0.81337109496721638</v>
      </c>
      <c r="R1733" s="46">
        <f t="shared" si="235"/>
        <v>45.349681621987791</v>
      </c>
    </row>
    <row r="1734" spans="2:18" ht="12.75" customHeight="1" x14ac:dyDescent="0.25">
      <c r="B1734" s="17" t="s">
        <v>0</v>
      </c>
      <c r="C1734" s="44" t="s">
        <v>28</v>
      </c>
      <c r="D1734" s="22" t="s">
        <v>9</v>
      </c>
      <c r="E1734" s="20">
        <v>2</v>
      </c>
      <c r="F1734" s="17" t="s">
        <v>261</v>
      </c>
      <c r="G1734" s="17" t="s">
        <v>282</v>
      </c>
      <c r="H1734" s="17" t="s">
        <v>283</v>
      </c>
      <c r="I1734" s="17" t="s">
        <v>284</v>
      </c>
      <c r="J1734" s="27" t="s">
        <v>29</v>
      </c>
      <c r="K1734" s="29">
        <v>7012</v>
      </c>
      <c r="L1734" s="31">
        <v>2445400.5500000361</v>
      </c>
      <c r="M1734" s="31">
        <v>627912.98000136903</v>
      </c>
      <c r="N1734" s="31">
        <v>490914.03000098799</v>
      </c>
      <c r="O1734" s="34">
        <f t="shared" si="232"/>
        <v>0.25677305912168857</v>
      </c>
      <c r="P1734" s="34">
        <f t="shared" si="233"/>
        <v>0.78181857301296376</v>
      </c>
      <c r="Q1734" s="34">
        <f t="shared" si="234"/>
        <v>0.74322694087831143</v>
      </c>
      <c r="R1734" s="46">
        <f t="shared" si="235"/>
        <v>70.010557615657163</v>
      </c>
    </row>
    <row r="1735" spans="2:18" ht="12.75" customHeight="1" x14ac:dyDescent="0.25">
      <c r="B1735" s="17" t="s">
        <v>0</v>
      </c>
      <c r="C1735" s="44" t="s">
        <v>170</v>
      </c>
      <c r="D1735" s="22" t="s">
        <v>2</v>
      </c>
      <c r="E1735" s="20">
        <v>1</v>
      </c>
      <c r="F1735" s="17" t="s">
        <v>261</v>
      </c>
      <c r="G1735" s="17" t="s">
        <v>282</v>
      </c>
      <c r="H1735" s="17" t="s">
        <v>283</v>
      </c>
      <c r="I1735" s="17" t="s">
        <v>284</v>
      </c>
      <c r="J1735" s="27" t="s">
        <v>171</v>
      </c>
      <c r="K1735" s="29">
        <v>1238</v>
      </c>
      <c r="L1735" s="31">
        <v>1959424.4600038498</v>
      </c>
      <c r="M1735" s="31">
        <v>545682.83000079985</v>
      </c>
      <c r="N1735" s="31">
        <v>429431.65999950393</v>
      </c>
      <c r="O1735" s="34">
        <f t="shared" si="232"/>
        <v>0.27849138414844926</v>
      </c>
      <c r="P1735" s="34">
        <f t="shared" si="233"/>
        <v>0.78696201601005933</v>
      </c>
      <c r="Q1735" s="34">
        <f t="shared" si="234"/>
        <v>0.72150861585155068</v>
      </c>
      <c r="R1735" s="46">
        <f t="shared" si="235"/>
        <v>346.87533117892076</v>
      </c>
    </row>
    <row r="1736" spans="2:18" ht="12.75" customHeight="1" x14ac:dyDescent="0.25">
      <c r="B1736" s="17" t="s">
        <v>0</v>
      </c>
      <c r="C1736" s="44" t="s">
        <v>24</v>
      </c>
      <c r="D1736" s="22" t="s">
        <v>9</v>
      </c>
      <c r="E1736" s="20">
        <v>2</v>
      </c>
      <c r="F1736" s="17" t="s">
        <v>261</v>
      </c>
      <c r="G1736" s="17" t="s">
        <v>282</v>
      </c>
      <c r="H1736" s="17" t="s">
        <v>283</v>
      </c>
      <c r="I1736" s="17" t="s">
        <v>284</v>
      </c>
      <c r="J1736" s="27" t="s">
        <v>25</v>
      </c>
      <c r="K1736" s="29">
        <v>1243</v>
      </c>
      <c r="L1736" s="31">
        <v>1022341.74</v>
      </c>
      <c r="M1736" s="31">
        <v>498430.76000517001</v>
      </c>
      <c r="N1736" s="31">
        <v>397019.67999757</v>
      </c>
      <c r="O1736" s="34">
        <f t="shared" si="232"/>
        <v>0.4875383059339532</v>
      </c>
      <c r="P1736" s="34">
        <f t="shared" si="233"/>
        <v>0.7965392825945411</v>
      </c>
      <c r="Q1736" s="34">
        <f t="shared" si="234"/>
        <v>0.5124616940660468</v>
      </c>
      <c r="R1736" s="46">
        <f t="shared" si="235"/>
        <v>319.40440868670152</v>
      </c>
    </row>
    <row r="1737" spans="2:18" ht="12.75" customHeight="1" x14ac:dyDescent="0.25">
      <c r="B1737" s="17" t="s">
        <v>0</v>
      </c>
      <c r="C1737" s="44" t="s">
        <v>176</v>
      </c>
      <c r="D1737" s="22" t="s">
        <v>2</v>
      </c>
      <c r="E1737" s="20">
        <v>1</v>
      </c>
      <c r="F1737" s="17" t="s">
        <v>261</v>
      </c>
      <c r="G1737" s="17" t="s">
        <v>282</v>
      </c>
      <c r="H1737" s="17" t="s">
        <v>283</v>
      </c>
      <c r="I1737" s="17" t="s">
        <v>284</v>
      </c>
      <c r="J1737" s="27" t="s">
        <v>177</v>
      </c>
      <c r="K1737" s="29">
        <v>1421</v>
      </c>
      <c r="L1737" s="31">
        <v>2183254.6800000397</v>
      </c>
      <c r="M1737" s="31">
        <v>451203.5899987939</v>
      </c>
      <c r="N1737" s="31">
        <v>359319.19000157795</v>
      </c>
      <c r="O1737" s="34">
        <f t="shared" si="232"/>
        <v>0.20666557783299275</v>
      </c>
      <c r="P1737" s="34">
        <f t="shared" si="233"/>
        <v>0.79635711675640353</v>
      </c>
      <c r="Q1737" s="34">
        <f t="shared" si="234"/>
        <v>0.79333442216700722</v>
      </c>
      <c r="R1737" s="46">
        <f t="shared" si="235"/>
        <v>252.86361013481911</v>
      </c>
    </row>
    <row r="1738" spans="2:18" ht="12.75" customHeight="1" x14ac:dyDescent="0.25">
      <c r="B1738" s="17" t="s">
        <v>0</v>
      </c>
      <c r="C1738" s="44" t="s">
        <v>28</v>
      </c>
      <c r="D1738" s="22" t="s">
        <v>2</v>
      </c>
      <c r="E1738" s="20">
        <v>1</v>
      </c>
      <c r="F1738" s="17" t="s">
        <v>261</v>
      </c>
      <c r="G1738" s="17" t="s">
        <v>282</v>
      </c>
      <c r="H1738" s="17" t="s">
        <v>283</v>
      </c>
      <c r="I1738" s="17" t="s">
        <v>284</v>
      </c>
      <c r="J1738" s="27" t="s">
        <v>29</v>
      </c>
      <c r="K1738" s="29">
        <v>7394</v>
      </c>
      <c r="L1738" s="31">
        <v>1380945.5400001304</v>
      </c>
      <c r="M1738" s="31">
        <v>411188.52999895398</v>
      </c>
      <c r="N1738" s="31">
        <v>320647.04999768292</v>
      </c>
      <c r="O1738" s="34">
        <f t="shared" si="232"/>
        <v>0.29775868641345199</v>
      </c>
      <c r="P1738" s="34">
        <f t="shared" si="233"/>
        <v>0.77980543377145906</v>
      </c>
      <c r="Q1738" s="34">
        <f t="shared" si="234"/>
        <v>0.70224131358654795</v>
      </c>
      <c r="R1738" s="46">
        <f t="shared" si="235"/>
        <v>43.365843927195421</v>
      </c>
    </row>
    <row r="1739" spans="2:18" ht="12.75" customHeight="1" x14ac:dyDescent="0.25">
      <c r="B1739" s="17" t="s">
        <v>0</v>
      </c>
      <c r="C1739" s="44" t="s">
        <v>70</v>
      </c>
      <c r="D1739" s="22" t="s">
        <v>2</v>
      </c>
      <c r="E1739" s="20">
        <v>1</v>
      </c>
      <c r="F1739" s="17" t="s">
        <v>261</v>
      </c>
      <c r="G1739" s="17" t="s">
        <v>282</v>
      </c>
      <c r="H1739" s="17" t="s">
        <v>283</v>
      </c>
      <c r="I1739" s="17" t="s">
        <v>284</v>
      </c>
      <c r="J1739" s="27" t="s">
        <v>71</v>
      </c>
      <c r="K1739" s="29">
        <v>4297</v>
      </c>
      <c r="L1739" s="31">
        <v>1521520.8199970552</v>
      </c>
      <c r="M1739" s="31">
        <v>355579.42999578791</v>
      </c>
      <c r="N1739" s="31">
        <v>280568.12999805313</v>
      </c>
      <c r="O1739" s="34">
        <f t="shared" si="232"/>
        <v>0.2337000094395528</v>
      </c>
      <c r="P1739" s="34">
        <f t="shared" si="233"/>
        <v>0.78904488373069459</v>
      </c>
      <c r="Q1739" s="34">
        <f t="shared" si="234"/>
        <v>0.76629999056044718</v>
      </c>
      <c r="R1739" s="46">
        <f t="shared" si="235"/>
        <v>65.293956248092428</v>
      </c>
    </row>
    <row r="1740" spans="2:18" ht="12.75" customHeight="1" x14ac:dyDescent="0.25">
      <c r="B1740" s="17" t="s">
        <v>0</v>
      </c>
      <c r="C1740" s="44" t="s">
        <v>110</v>
      </c>
      <c r="D1740" s="22" t="s">
        <v>9</v>
      </c>
      <c r="E1740" s="20">
        <v>2</v>
      </c>
      <c r="F1740" s="17" t="s">
        <v>261</v>
      </c>
      <c r="G1740" s="17" t="s">
        <v>282</v>
      </c>
      <c r="H1740" s="17" t="s">
        <v>283</v>
      </c>
      <c r="I1740" s="17" t="s">
        <v>284</v>
      </c>
      <c r="J1740" s="27" t="s">
        <v>111</v>
      </c>
      <c r="K1740" s="29">
        <v>1969</v>
      </c>
      <c r="L1740" s="31">
        <v>553003.65000184998</v>
      </c>
      <c r="M1740" s="31">
        <v>304572.14999934408</v>
      </c>
      <c r="N1740" s="31">
        <v>244619.93000105594</v>
      </c>
      <c r="O1740" s="34">
        <f t="shared" si="232"/>
        <v>0.55075974633860947</v>
      </c>
      <c r="P1740" s="34">
        <f t="shared" si="233"/>
        <v>0.80315921860085615</v>
      </c>
      <c r="Q1740" s="34">
        <f t="shared" si="234"/>
        <v>0.44924025366139053</v>
      </c>
      <c r="R1740" s="46">
        <f t="shared" si="235"/>
        <v>124.23561706503602</v>
      </c>
    </row>
    <row r="1741" spans="2:18" ht="12.75" customHeight="1" x14ac:dyDescent="0.25">
      <c r="B1741" s="17" t="s">
        <v>0</v>
      </c>
      <c r="C1741" s="44" t="s">
        <v>68</v>
      </c>
      <c r="D1741" s="22" t="s">
        <v>9</v>
      </c>
      <c r="E1741" s="20">
        <v>2</v>
      </c>
      <c r="F1741" s="17" t="s">
        <v>261</v>
      </c>
      <c r="G1741" s="17" t="s">
        <v>282</v>
      </c>
      <c r="H1741" s="17" t="s">
        <v>283</v>
      </c>
      <c r="I1741" s="17" t="s">
        <v>284</v>
      </c>
      <c r="J1741" s="27" t="s">
        <v>69</v>
      </c>
      <c r="K1741" s="29">
        <v>1829</v>
      </c>
      <c r="L1741" s="31">
        <v>653000.69999893999</v>
      </c>
      <c r="M1741" s="31">
        <v>301739.53000235395</v>
      </c>
      <c r="N1741" s="31">
        <v>240356.37000146203</v>
      </c>
      <c r="O1741" s="34">
        <f t="shared" si="232"/>
        <v>0.46208148016203315</v>
      </c>
      <c r="P1741" s="34">
        <f t="shared" si="233"/>
        <v>0.79656904748140533</v>
      </c>
      <c r="Q1741" s="34">
        <f t="shared" si="234"/>
        <v>0.53791851983796679</v>
      </c>
      <c r="R1741" s="46">
        <f t="shared" si="235"/>
        <v>131.41408966728378</v>
      </c>
    </row>
    <row r="1742" spans="2:18" ht="12.75" customHeight="1" x14ac:dyDescent="0.25">
      <c r="B1742" s="17" t="s">
        <v>0</v>
      </c>
      <c r="C1742" s="44" t="s">
        <v>60</v>
      </c>
      <c r="D1742" s="22" t="s">
        <v>9</v>
      </c>
      <c r="E1742" s="20">
        <v>2</v>
      </c>
      <c r="F1742" s="17" t="s">
        <v>261</v>
      </c>
      <c r="G1742" s="17" t="s">
        <v>282</v>
      </c>
      <c r="H1742" s="17" t="s">
        <v>283</v>
      </c>
      <c r="I1742" s="17" t="s">
        <v>284</v>
      </c>
      <c r="J1742" s="27" t="s">
        <v>61</v>
      </c>
      <c r="K1742" s="29">
        <v>715</v>
      </c>
      <c r="L1742" s="31">
        <v>640788.0000002</v>
      </c>
      <c r="M1742" s="31">
        <v>267262.01999938837</v>
      </c>
      <c r="N1742" s="31">
        <v>211162.21999981781</v>
      </c>
      <c r="O1742" s="34">
        <f t="shared" ref="O1742:O1773" si="236">IFERROR(M1742/L1742,0)</f>
        <v>0.41708337234671211</v>
      </c>
      <c r="P1742" s="34">
        <f t="shared" ref="P1742:P1773" si="237">IFERROR(N1742/M1742,0)</f>
        <v>0.79009438004060983</v>
      </c>
      <c r="Q1742" s="34">
        <f t="shared" ref="Q1742:Q1773" si="238">IFERROR(1-(M1742/L1742),0)</f>
        <v>0.58291662765328789</v>
      </c>
      <c r="R1742" s="46">
        <f t="shared" ref="R1742:R1773" si="239">IFERROR(N1742/K1742,0)</f>
        <v>295.33177622352139</v>
      </c>
    </row>
    <row r="1743" spans="2:18" ht="12.75" customHeight="1" x14ac:dyDescent="0.25">
      <c r="B1743" s="17" t="s">
        <v>0</v>
      </c>
      <c r="C1743" s="44" t="s">
        <v>191</v>
      </c>
      <c r="D1743" s="22" t="s">
        <v>9</v>
      </c>
      <c r="E1743" s="20">
        <v>2</v>
      </c>
      <c r="F1743" s="17" t="s">
        <v>261</v>
      </c>
      <c r="G1743" s="17" t="s">
        <v>282</v>
      </c>
      <c r="H1743" s="17" t="s">
        <v>283</v>
      </c>
      <c r="I1743" s="17" t="s">
        <v>284</v>
      </c>
      <c r="J1743" s="27" t="s">
        <v>192</v>
      </c>
      <c r="K1743" s="29">
        <v>1996</v>
      </c>
      <c r="L1743" s="31">
        <v>644194</v>
      </c>
      <c r="M1743" s="31">
        <v>206192.869996083</v>
      </c>
      <c r="N1743" s="31">
        <v>163480.03999945801</v>
      </c>
      <c r="O1743" s="34">
        <f t="shared" si="236"/>
        <v>0.32007884270279297</v>
      </c>
      <c r="P1743" s="34">
        <f t="shared" si="237"/>
        <v>0.79285011165790364</v>
      </c>
      <c r="Q1743" s="34">
        <f t="shared" si="238"/>
        <v>0.67992115729720703</v>
      </c>
      <c r="R1743" s="46">
        <f t="shared" si="239"/>
        <v>81.90382765503908</v>
      </c>
    </row>
    <row r="1744" spans="2:18" ht="12.75" customHeight="1" x14ac:dyDescent="0.25">
      <c r="B1744" s="17" t="s">
        <v>0</v>
      </c>
      <c r="C1744" s="44" t="s">
        <v>56</v>
      </c>
      <c r="D1744" s="22" t="s">
        <v>9</v>
      </c>
      <c r="E1744" s="20">
        <v>2</v>
      </c>
      <c r="F1744" s="17" t="s">
        <v>261</v>
      </c>
      <c r="G1744" s="17" t="s">
        <v>282</v>
      </c>
      <c r="H1744" s="17" t="s">
        <v>283</v>
      </c>
      <c r="I1744" s="17" t="s">
        <v>284</v>
      </c>
      <c r="J1744" s="27" t="s">
        <v>57</v>
      </c>
      <c r="K1744" s="29">
        <v>2144</v>
      </c>
      <c r="L1744" s="31">
        <v>538168.29999814997</v>
      </c>
      <c r="M1744" s="31">
        <v>187586.32000033403</v>
      </c>
      <c r="N1744" s="31">
        <v>145774.10999986099</v>
      </c>
      <c r="O1744" s="34">
        <f t="shared" si="236"/>
        <v>0.34856441748980549</v>
      </c>
      <c r="P1744" s="34">
        <f t="shared" si="237"/>
        <v>0.7771041619644834</v>
      </c>
      <c r="Q1744" s="34">
        <f t="shared" si="238"/>
        <v>0.65143558251019451</v>
      </c>
      <c r="R1744" s="46">
        <f t="shared" si="239"/>
        <v>67.991655783517245</v>
      </c>
    </row>
    <row r="1745" spans="2:18" ht="12.75" customHeight="1" x14ac:dyDescent="0.25">
      <c r="B1745" s="17" t="s">
        <v>0</v>
      </c>
      <c r="C1745" s="44" t="s">
        <v>50</v>
      </c>
      <c r="D1745" s="22" t="s">
        <v>2</v>
      </c>
      <c r="E1745" s="20">
        <v>1</v>
      </c>
      <c r="F1745" s="17" t="s">
        <v>261</v>
      </c>
      <c r="G1745" s="17" t="s">
        <v>282</v>
      </c>
      <c r="H1745" s="17" t="s">
        <v>283</v>
      </c>
      <c r="I1745" s="17" t="s">
        <v>284</v>
      </c>
      <c r="J1745" s="27" t="s">
        <v>51</v>
      </c>
      <c r="K1745" s="29">
        <v>5660</v>
      </c>
      <c r="L1745" s="31">
        <v>1405623.1699989759</v>
      </c>
      <c r="M1745" s="31">
        <v>187995.48999971515</v>
      </c>
      <c r="N1745" s="31">
        <v>143326.15000034316</v>
      </c>
      <c r="O1745" s="34">
        <f t="shared" si="236"/>
        <v>0.13374529817963382</v>
      </c>
      <c r="P1745" s="34">
        <f t="shared" si="237"/>
        <v>0.76239142758456768</v>
      </c>
      <c r="Q1745" s="34">
        <f t="shared" si="238"/>
        <v>0.86625470182036612</v>
      </c>
      <c r="R1745" s="46">
        <f t="shared" si="239"/>
        <v>25.322641342816812</v>
      </c>
    </row>
    <row r="1746" spans="2:18" ht="12.75" customHeight="1" x14ac:dyDescent="0.25">
      <c r="B1746" s="17" t="s">
        <v>0</v>
      </c>
      <c r="C1746" s="44" t="s">
        <v>66</v>
      </c>
      <c r="D1746" s="22" t="s">
        <v>9</v>
      </c>
      <c r="E1746" s="20">
        <v>2</v>
      </c>
      <c r="F1746" s="17" t="s">
        <v>261</v>
      </c>
      <c r="G1746" s="17" t="s">
        <v>282</v>
      </c>
      <c r="H1746" s="17" t="s">
        <v>283</v>
      </c>
      <c r="I1746" s="17" t="s">
        <v>284</v>
      </c>
      <c r="J1746" s="27" t="s">
        <v>67</v>
      </c>
      <c r="K1746" s="29">
        <v>2134</v>
      </c>
      <c r="L1746" s="31">
        <v>422436.82999800408</v>
      </c>
      <c r="M1746" s="31">
        <v>168417.38999947201</v>
      </c>
      <c r="N1746" s="31">
        <v>132066.149999869</v>
      </c>
      <c r="O1746" s="34">
        <f t="shared" si="236"/>
        <v>0.39868065007558112</v>
      </c>
      <c r="P1746" s="34">
        <f t="shared" si="237"/>
        <v>0.78415981865223672</v>
      </c>
      <c r="Q1746" s="34">
        <f t="shared" si="238"/>
        <v>0.60131934992441893</v>
      </c>
      <c r="R1746" s="46">
        <f t="shared" si="239"/>
        <v>61.886668228617147</v>
      </c>
    </row>
    <row r="1747" spans="2:18" ht="12.75" customHeight="1" x14ac:dyDescent="0.25">
      <c r="B1747" s="17" t="s">
        <v>0</v>
      </c>
      <c r="C1747" s="44" t="s">
        <v>180</v>
      </c>
      <c r="D1747" s="22" t="s">
        <v>9</v>
      </c>
      <c r="E1747" s="20">
        <v>2</v>
      </c>
      <c r="F1747" s="17" t="s">
        <v>261</v>
      </c>
      <c r="G1747" s="17" t="s">
        <v>282</v>
      </c>
      <c r="H1747" s="17" t="s">
        <v>283</v>
      </c>
      <c r="I1747" s="17" t="s">
        <v>284</v>
      </c>
      <c r="J1747" s="27" t="s">
        <v>181</v>
      </c>
      <c r="K1747" s="29">
        <v>2840</v>
      </c>
      <c r="L1747" s="31">
        <v>357743.96999858605</v>
      </c>
      <c r="M1747" s="31">
        <v>167674.63000022486</v>
      </c>
      <c r="N1747" s="31">
        <v>126134.35999992753</v>
      </c>
      <c r="O1747" s="34">
        <f t="shared" si="236"/>
        <v>0.46870008738620411</v>
      </c>
      <c r="P1747" s="34">
        <f t="shared" si="237"/>
        <v>0.75225667711184674</v>
      </c>
      <c r="Q1747" s="34">
        <f t="shared" si="238"/>
        <v>0.53129991261379583</v>
      </c>
      <c r="R1747" s="46">
        <f t="shared" si="239"/>
        <v>44.413507042228005</v>
      </c>
    </row>
    <row r="1748" spans="2:18" ht="12.75" customHeight="1" x14ac:dyDescent="0.25">
      <c r="B1748" s="17" t="s">
        <v>0</v>
      </c>
      <c r="C1748" s="44" t="s">
        <v>62</v>
      </c>
      <c r="D1748" s="22" t="s">
        <v>9</v>
      </c>
      <c r="E1748" s="20">
        <v>2</v>
      </c>
      <c r="F1748" s="17" t="s">
        <v>261</v>
      </c>
      <c r="G1748" s="17" t="s">
        <v>282</v>
      </c>
      <c r="H1748" s="17" t="s">
        <v>283</v>
      </c>
      <c r="I1748" s="17" t="s">
        <v>284</v>
      </c>
      <c r="J1748" s="27" t="s">
        <v>63</v>
      </c>
      <c r="K1748" s="29">
        <v>664</v>
      </c>
      <c r="L1748" s="31">
        <v>277574</v>
      </c>
      <c r="M1748" s="31">
        <v>123824.91000089899</v>
      </c>
      <c r="N1748" s="31">
        <v>97444.750000320986</v>
      </c>
      <c r="O1748" s="34">
        <f t="shared" si="236"/>
        <v>0.44609693271307466</v>
      </c>
      <c r="P1748" s="34">
        <f t="shared" si="237"/>
        <v>0.78695595255925099</v>
      </c>
      <c r="Q1748" s="34">
        <f t="shared" si="238"/>
        <v>0.5539030672869254</v>
      </c>
      <c r="R1748" s="46">
        <f t="shared" si="239"/>
        <v>146.75414156674847</v>
      </c>
    </row>
    <row r="1749" spans="2:18" ht="12.75" customHeight="1" x14ac:dyDescent="0.25">
      <c r="B1749" s="17" t="s">
        <v>0</v>
      </c>
      <c r="C1749" s="44" t="s">
        <v>114</v>
      </c>
      <c r="D1749" s="22" t="s">
        <v>9</v>
      </c>
      <c r="E1749" s="20">
        <v>2</v>
      </c>
      <c r="F1749" s="17" t="s">
        <v>261</v>
      </c>
      <c r="G1749" s="17" t="s">
        <v>282</v>
      </c>
      <c r="H1749" s="17" t="s">
        <v>283</v>
      </c>
      <c r="I1749" s="17" t="s">
        <v>284</v>
      </c>
      <c r="J1749" s="27" t="s">
        <v>118</v>
      </c>
      <c r="K1749" s="29">
        <v>331</v>
      </c>
      <c r="L1749" s="31">
        <v>241507.06</v>
      </c>
      <c r="M1749" s="31">
        <v>112953.850000142</v>
      </c>
      <c r="N1749" s="31">
        <v>90545.200000192403</v>
      </c>
      <c r="O1749" s="34">
        <f t="shared" si="236"/>
        <v>0.46770413254230336</v>
      </c>
      <c r="P1749" s="34">
        <f t="shared" si="237"/>
        <v>0.80161233990765757</v>
      </c>
      <c r="Q1749" s="34">
        <f t="shared" si="238"/>
        <v>0.53229586745769664</v>
      </c>
      <c r="R1749" s="46">
        <f t="shared" si="239"/>
        <v>273.55045317278672</v>
      </c>
    </row>
    <row r="1750" spans="2:18" ht="12.75" customHeight="1" x14ac:dyDescent="0.25">
      <c r="B1750" s="17" t="s">
        <v>0</v>
      </c>
      <c r="C1750" s="44" t="s">
        <v>68</v>
      </c>
      <c r="D1750" s="22" t="s">
        <v>2</v>
      </c>
      <c r="E1750" s="20">
        <v>1</v>
      </c>
      <c r="F1750" s="17" t="s">
        <v>261</v>
      </c>
      <c r="G1750" s="17" t="s">
        <v>282</v>
      </c>
      <c r="H1750" s="17" t="s">
        <v>283</v>
      </c>
      <c r="I1750" s="17" t="s">
        <v>284</v>
      </c>
      <c r="J1750" s="27" t="s">
        <v>69</v>
      </c>
      <c r="K1750" s="29">
        <v>702</v>
      </c>
      <c r="L1750" s="31">
        <v>588538.16000029992</v>
      </c>
      <c r="M1750" s="31">
        <v>112723.80000033602</v>
      </c>
      <c r="N1750" s="31">
        <v>90172.530001594991</v>
      </c>
      <c r="O1750" s="34">
        <f t="shared" si="236"/>
        <v>0.19153184561605754</v>
      </c>
      <c r="P1750" s="34">
        <f t="shared" si="237"/>
        <v>0.7999422482326376</v>
      </c>
      <c r="Q1750" s="34">
        <f t="shared" si="238"/>
        <v>0.80846815438394248</v>
      </c>
      <c r="R1750" s="46">
        <f t="shared" si="239"/>
        <v>128.45089743816951</v>
      </c>
    </row>
    <row r="1751" spans="2:18" ht="12.75" customHeight="1" x14ac:dyDescent="0.25">
      <c r="B1751" s="17" t="s">
        <v>0</v>
      </c>
      <c r="C1751" s="44" t="s">
        <v>90</v>
      </c>
      <c r="D1751" s="22" t="s">
        <v>9</v>
      </c>
      <c r="E1751" s="20">
        <v>2</v>
      </c>
      <c r="F1751" s="17" t="s">
        <v>261</v>
      </c>
      <c r="G1751" s="17" t="s">
        <v>282</v>
      </c>
      <c r="H1751" s="17" t="s">
        <v>283</v>
      </c>
      <c r="I1751" s="17" t="s">
        <v>284</v>
      </c>
      <c r="J1751" s="27" t="s">
        <v>91</v>
      </c>
      <c r="K1751" s="29">
        <v>1167</v>
      </c>
      <c r="L1751" s="31">
        <v>208782.13000002399</v>
      </c>
      <c r="M1751" s="31">
        <v>114830.37000009191</v>
      </c>
      <c r="N1751" s="31">
        <v>89840.009999230184</v>
      </c>
      <c r="O1751" s="34">
        <f t="shared" si="236"/>
        <v>0.55000095075224453</v>
      </c>
      <c r="P1751" s="34">
        <f t="shared" si="237"/>
        <v>0.78237151024731766</v>
      </c>
      <c r="Q1751" s="34">
        <f t="shared" si="238"/>
        <v>0.44999904924775547</v>
      </c>
      <c r="R1751" s="46">
        <f t="shared" si="239"/>
        <v>76.983727505767078</v>
      </c>
    </row>
    <row r="1752" spans="2:18" ht="12.75" customHeight="1" x14ac:dyDescent="0.25">
      <c r="B1752" s="17" t="s">
        <v>0</v>
      </c>
      <c r="C1752" s="44" t="s">
        <v>135</v>
      </c>
      <c r="D1752" s="22" t="s">
        <v>9</v>
      </c>
      <c r="E1752" s="20">
        <v>2</v>
      </c>
      <c r="F1752" s="17" t="s">
        <v>261</v>
      </c>
      <c r="G1752" s="17" t="s">
        <v>282</v>
      </c>
      <c r="H1752" s="17" t="s">
        <v>283</v>
      </c>
      <c r="I1752" s="17" t="s">
        <v>284</v>
      </c>
      <c r="J1752" s="27" t="s">
        <v>136</v>
      </c>
      <c r="K1752" s="29">
        <v>644</v>
      </c>
      <c r="L1752" s="31">
        <v>156017.99999956001</v>
      </c>
      <c r="M1752" s="31">
        <v>87535.760000094015</v>
      </c>
      <c r="N1752" s="31">
        <v>69506.179999935004</v>
      </c>
      <c r="O1752" s="34">
        <f t="shared" si="236"/>
        <v>0.56106192875399552</v>
      </c>
      <c r="P1752" s="34">
        <f t="shared" si="237"/>
        <v>0.79403183338855288</v>
      </c>
      <c r="Q1752" s="34">
        <f t="shared" si="238"/>
        <v>0.43893807124600448</v>
      </c>
      <c r="R1752" s="46">
        <f t="shared" si="239"/>
        <v>107.92885093157609</v>
      </c>
    </row>
    <row r="1753" spans="2:18" ht="12.75" customHeight="1" x14ac:dyDescent="0.25">
      <c r="B1753" s="17" t="s">
        <v>0</v>
      </c>
      <c r="C1753" s="44" t="s">
        <v>40</v>
      </c>
      <c r="D1753" s="22" t="s">
        <v>2</v>
      </c>
      <c r="E1753" s="20">
        <v>1</v>
      </c>
      <c r="F1753" s="17" t="s">
        <v>261</v>
      </c>
      <c r="G1753" s="17" t="s">
        <v>282</v>
      </c>
      <c r="H1753" s="17" t="s">
        <v>283</v>
      </c>
      <c r="I1753" s="17" t="s">
        <v>284</v>
      </c>
      <c r="J1753" s="27" t="s">
        <v>41</v>
      </c>
      <c r="K1753" s="29">
        <v>1639</v>
      </c>
      <c r="L1753" s="31">
        <v>314997.76999980898</v>
      </c>
      <c r="M1753" s="31">
        <v>88907.880000138</v>
      </c>
      <c r="N1753" s="31">
        <v>68755.289999789005</v>
      </c>
      <c r="O1753" s="34">
        <f t="shared" si="236"/>
        <v>0.28224923624123405</v>
      </c>
      <c r="P1753" s="34">
        <f t="shared" si="237"/>
        <v>0.77333179015945819</v>
      </c>
      <c r="Q1753" s="34">
        <f t="shared" si="238"/>
        <v>0.7177507637587659</v>
      </c>
      <c r="R1753" s="46">
        <f t="shared" si="239"/>
        <v>41.94953630249482</v>
      </c>
    </row>
    <row r="1754" spans="2:18" ht="12.75" customHeight="1" x14ac:dyDescent="0.25">
      <c r="B1754" s="17" t="s">
        <v>0</v>
      </c>
      <c r="C1754" s="44" t="s">
        <v>12</v>
      </c>
      <c r="D1754" s="22" t="s">
        <v>9</v>
      </c>
      <c r="E1754" s="20">
        <v>2</v>
      </c>
      <c r="F1754" s="17" t="s">
        <v>261</v>
      </c>
      <c r="G1754" s="17" t="s">
        <v>282</v>
      </c>
      <c r="H1754" s="17" t="s">
        <v>283</v>
      </c>
      <c r="I1754" s="17" t="s">
        <v>284</v>
      </c>
      <c r="J1754" s="27" t="s">
        <v>13</v>
      </c>
      <c r="K1754" s="29">
        <v>161</v>
      </c>
      <c r="L1754" s="31">
        <v>161225.4</v>
      </c>
      <c r="M1754" s="31">
        <v>63960.570000319996</v>
      </c>
      <c r="N1754" s="31">
        <v>50961.079999200003</v>
      </c>
      <c r="O1754" s="34">
        <f t="shared" si="236"/>
        <v>0.39671521981226282</v>
      </c>
      <c r="P1754" s="34">
        <f t="shared" si="237"/>
        <v>0.79675775245506797</v>
      </c>
      <c r="Q1754" s="34">
        <f t="shared" si="238"/>
        <v>0.60328478018773724</v>
      </c>
      <c r="R1754" s="46">
        <f t="shared" si="239"/>
        <v>316.52844720000002</v>
      </c>
    </row>
    <row r="1755" spans="2:18" ht="12.75" customHeight="1" x14ac:dyDescent="0.25">
      <c r="B1755" s="17" t="s">
        <v>0</v>
      </c>
      <c r="C1755" s="44" t="s">
        <v>105</v>
      </c>
      <c r="D1755" s="22" t="s">
        <v>9</v>
      </c>
      <c r="E1755" s="20">
        <v>2</v>
      </c>
      <c r="F1755" s="17" t="s">
        <v>261</v>
      </c>
      <c r="G1755" s="17" t="s">
        <v>282</v>
      </c>
      <c r="H1755" s="17" t="s">
        <v>283</v>
      </c>
      <c r="I1755" s="17" t="s">
        <v>284</v>
      </c>
      <c r="J1755" s="27" t="s">
        <v>106</v>
      </c>
      <c r="K1755" s="29">
        <v>419</v>
      </c>
      <c r="L1755" s="31">
        <v>176230.69999999998</v>
      </c>
      <c r="M1755" s="31">
        <v>63420.949999897995</v>
      </c>
      <c r="N1755" s="31">
        <v>50437.680000660999</v>
      </c>
      <c r="O1755" s="34">
        <f t="shared" si="236"/>
        <v>0.35987458484757767</v>
      </c>
      <c r="P1755" s="34">
        <f t="shared" si="237"/>
        <v>0.79528420814797196</v>
      </c>
      <c r="Q1755" s="34">
        <f t="shared" si="238"/>
        <v>0.64012541515242227</v>
      </c>
      <c r="R1755" s="46">
        <f t="shared" si="239"/>
        <v>120.37632458391647</v>
      </c>
    </row>
    <row r="1756" spans="2:18" ht="12.75" customHeight="1" x14ac:dyDescent="0.25">
      <c r="B1756" s="17" t="s">
        <v>0</v>
      </c>
      <c r="C1756" s="44" t="s">
        <v>137</v>
      </c>
      <c r="D1756" s="22" t="s">
        <v>2</v>
      </c>
      <c r="E1756" s="20">
        <v>1</v>
      </c>
      <c r="F1756" s="17" t="s">
        <v>261</v>
      </c>
      <c r="G1756" s="17" t="s">
        <v>282</v>
      </c>
      <c r="H1756" s="17" t="s">
        <v>283</v>
      </c>
      <c r="I1756" s="17" t="s">
        <v>284</v>
      </c>
      <c r="J1756" s="27" t="s">
        <v>138</v>
      </c>
      <c r="K1756" s="29">
        <v>1024</v>
      </c>
      <c r="L1756" s="31">
        <v>208739.99999929999</v>
      </c>
      <c r="M1756" s="31">
        <v>60767.13999987</v>
      </c>
      <c r="N1756" s="31">
        <v>46388.379999518002</v>
      </c>
      <c r="O1756" s="34">
        <f t="shared" si="236"/>
        <v>0.29111401743831455</v>
      </c>
      <c r="P1756" s="34">
        <f t="shared" si="237"/>
        <v>0.76337935271624169</v>
      </c>
      <c r="Q1756" s="34">
        <f t="shared" si="238"/>
        <v>0.70888598256168545</v>
      </c>
      <c r="R1756" s="46">
        <f t="shared" si="239"/>
        <v>45.301152343279298</v>
      </c>
    </row>
    <row r="1757" spans="2:18" ht="12.75" customHeight="1" x14ac:dyDescent="0.25">
      <c r="B1757" s="17" t="s">
        <v>0</v>
      </c>
      <c r="C1757" s="44" t="s">
        <v>22</v>
      </c>
      <c r="D1757" s="22" t="s">
        <v>2</v>
      </c>
      <c r="E1757" s="20">
        <v>1</v>
      </c>
      <c r="F1757" s="17" t="s">
        <v>261</v>
      </c>
      <c r="G1757" s="17" t="s">
        <v>282</v>
      </c>
      <c r="H1757" s="17" t="s">
        <v>283</v>
      </c>
      <c r="I1757" s="17" t="s">
        <v>284</v>
      </c>
      <c r="J1757" s="27" t="s">
        <v>23</v>
      </c>
      <c r="K1757" s="29">
        <v>564</v>
      </c>
      <c r="L1757" s="31">
        <v>339208.93999839999</v>
      </c>
      <c r="M1757" s="31">
        <v>55030.859999806002</v>
      </c>
      <c r="N1757" s="31">
        <v>43707.060000083991</v>
      </c>
      <c r="O1757" s="34">
        <f t="shared" si="236"/>
        <v>0.16223292935635947</v>
      </c>
      <c r="P1757" s="34">
        <f t="shared" si="237"/>
        <v>0.79422818397237605</v>
      </c>
      <c r="Q1757" s="34">
        <f t="shared" si="238"/>
        <v>0.83776707064364053</v>
      </c>
      <c r="R1757" s="46">
        <f t="shared" si="239"/>
        <v>77.494787234191477</v>
      </c>
    </row>
    <row r="1758" spans="2:18" ht="12.75" customHeight="1" x14ac:dyDescent="0.25">
      <c r="B1758" s="17" t="s">
        <v>0</v>
      </c>
      <c r="C1758" s="44" t="s">
        <v>145</v>
      </c>
      <c r="D1758" s="22" t="s">
        <v>9</v>
      </c>
      <c r="E1758" s="20">
        <v>2</v>
      </c>
      <c r="F1758" s="17" t="s">
        <v>261</v>
      </c>
      <c r="G1758" s="17" t="s">
        <v>282</v>
      </c>
      <c r="H1758" s="17" t="s">
        <v>283</v>
      </c>
      <c r="I1758" s="17" t="s">
        <v>284</v>
      </c>
      <c r="J1758" s="27" t="s">
        <v>146</v>
      </c>
      <c r="K1758" s="29">
        <v>462</v>
      </c>
      <c r="L1758" s="31">
        <v>88470</v>
      </c>
      <c r="M1758" s="31">
        <v>48313.630000833</v>
      </c>
      <c r="N1758" s="31">
        <v>36656.449999527002</v>
      </c>
      <c r="O1758" s="34">
        <f t="shared" si="236"/>
        <v>0.54610184244187865</v>
      </c>
      <c r="P1758" s="34">
        <f t="shared" si="237"/>
        <v>0.75871860588606133</v>
      </c>
      <c r="Q1758" s="34">
        <f t="shared" si="238"/>
        <v>0.45389815755812135</v>
      </c>
      <c r="R1758" s="46">
        <f t="shared" si="239"/>
        <v>79.342965366941556</v>
      </c>
    </row>
    <row r="1759" spans="2:18" ht="12.75" customHeight="1" x14ac:dyDescent="0.25">
      <c r="B1759" s="17" t="s">
        <v>0</v>
      </c>
      <c r="C1759" s="44" t="s">
        <v>180</v>
      </c>
      <c r="D1759" s="22" t="s">
        <v>2</v>
      </c>
      <c r="E1759" s="20">
        <v>1</v>
      </c>
      <c r="F1759" s="17" t="s">
        <v>261</v>
      </c>
      <c r="G1759" s="17" t="s">
        <v>282</v>
      </c>
      <c r="H1759" s="17" t="s">
        <v>283</v>
      </c>
      <c r="I1759" s="17" t="s">
        <v>284</v>
      </c>
      <c r="J1759" s="27" t="s">
        <v>181</v>
      </c>
      <c r="K1759" s="29">
        <v>854</v>
      </c>
      <c r="L1759" s="31">
        <v>151389.93000235799</v>
      </c>
      <c r="M1759" s="31">
        <v>43874.590000197997</v>
      </c>
      <c r="N1759" s="31">
        <v>34013.500000152002</v>
      </c>
      <c r="O1759" s="34">
        <f t="shared" si="236"/>
        <v>0.28981181244693505</v>
      </c>
      <c r="P1759" s="34">
        <f t="shared" si="237"/>
        <v>0.775243711679095</v>
      </c>
      <c r="Q1759" s="34">
        <f t="shared" si="238"/>
        <v>0.7101881875530649</v>
      </c>
      <c r="R1759" s="46">
        <f t="shared" si="239"/>
        <v>39.828454332730679</v>
      </c>
    </row>
    <row r="1760" spans="2:18" ht="12.75" customHeight="1" x14ac:dyDescent="0.25">
      <c r="B1760" s="17" t="s">
        <v>0</v>
      </c>
      <c r="C1760" s="44" t="s">
        <v>196</v>
      </c>
      <c r="D1760" s="22" t="s">
        <v>9</v>
      </c>
      <c r="E1760" s="20">
        <v>2</v>
      </c>
      <c r="F1760" s="17" t="s">
        <v>261</v>
      </c>
      <c r="G1760" s="17" t="s">
        <v>282</v>
      </c>
      <c r="H1760" s="17" t="s">
        <v>283</v>
      </c>
      <c r="I1760" s="17" t="s">
        <v>284</v>
      </c>
      <c r="J1760" s="27" t="s">
        <v>197</v>
      </c>
      <c r="K1760" s="29">
        <v>133</v>
      </c>
      <c r="L1760" s="31">
        <v>131081.98000000001</v>
      </c>
      <c r="M1760" s="31">
        <v>40618.709999719998</v>
      </c>
      <c r="N1760" s="31">
        <v>32249.62999994</v>
      </c>
      <c r="O1760" s="34">
        <f t="shared" si="236"/>
        <v>0.30987256982019951</v>
      </c>
      <c r="P1760" s="34">
        <f t="shared" si="237"/>
        <v>0.79395997559160081</v>
      </c>
      <c r="Q1760" s="34">
        <f t="shared" si="238"/>
        <v>0.69012743017980049</v>
      </c>
      <c r="R1760" s="46">
        <f t="shared" si="239"/>
        <v>242.47842105218044</v>
      </c>
    </row>
    <row r="1761" spans="2:18" ht="12.75" customHeight="1" x14ac:dyDescent="0.25">
      <c r="B1761" s="17" t="s">
        <v>0</v>
      </c>
      <c r="C1761" s="44" t="s">
        <v>110</v>
      </c>
      <c r="D1761" s="22" t="s">
        <v>2</v>
      </c>
      <c r="E1761" s="20">
        <v>1</v>
      </c>
      <c r="F1761" s="17" t="s">
        <v>261</v>
      </c>
      <c r="G1761" s="17" t="s">
        <v>282</v>
      </c>
      <c r="H1761" s="17" t="s">
        <v>283</v>
      </c>
      <c r="I1761" s="17" t="s">
        <v>284</v>
      </c>
      <c r="J1761" s="27" t="s">
        <v>111</v>
      </c>
      <c r="K1761" s="29">
        <v>376</v>
      </c>
      <c r="L1761" s="31">
        <v>159421.56000000003</v>
      </c>
      <c r="M1761" s="31">
        <v>39970.910000246004</v>
      </c>
      <c r="N1761" s="31">
        <v>31847.18000018</v>
      </c>
      <c r="O1761" s="34">
        <f t="shared" si="236"/>
        <v>0.25072461968284587</v>
      </c>
      <c r="P1761" s="34">
        <f t="shared" si="237"/>
        <v>0.79675894294085359</v>
      </c>
      <c r="Q1761" s="34">
        <f t="shared" si="238"/>
        <v>0.74927538031715413</v>
      </c>
      <c r="R1761" s="46">
        <f t="shared" si="239"/>
        <v>84.699946808989367</v>
      </c>
    </row>
    <row r="1762" spans="2:18" ht="12.75" customHeight="1" x14ac:dyDescent="0.25">
      <c r="B1762" s="17" t="s">
        <v>0</v>
      </c>
      <c r="C1762" s="44" t="s">
        <v>151</v>
      </c>
      <c r="D1762" s="22" t="s">
        <v>9</v>
      </c>
      <c r="E1762" s="20">
        <v>2</v>
      </c>
      <c r="F1762" s="17" t="s">
        <v>261</v>
      </c>
      <c r="G1762" s="17" t="s">
        <v>282</v>
      </c>
      <c r="H1762" s="17" t="s">
        <v>283</v>
      </c>
      <c r="I1762" s="17" t="s">
        <v>284</v>
      </c>
      <c r="J1762" s="27" t="s">
        <v>152</v>
      </c>
      <c r="K1762" s="29">
        <v>367</v>
      </c>
      <c r="L1762" s="31">
        <v>120715</v>
      </c>
      <c r="M1762" s="31">
        <v>38962.189998941998</v>
      </c>
      <c r="N1762" s="31">
        <v>30794.450000093999</v>
      </c>
      <c r="O1762" s="34">
        <f t="shared" si="236"/>
        <v>0.32276179430014496</v>
      </c>
      <c r="P1762" s="34">
        <f t="shared" si="237"/>
        <v>0.79036753326571763</v>
      </c>
      <c r="Q1762" s="34">
        <f t="shared" si="238"/>
        <v>0.67723820569985504</v>
      </c>
      <c r="R1762" s="46">
        <f t="shared" si="239"/>
        <v>83.908583106523153</v>
      </c>
    </row>
    <row r="1763" spans="2:18" ht="12.75" customHeight="1" x14ac:dyDescent="0.25">
      <c r="B1763" s="17" t="s">
        <v>0</v>
      </c>
      <c r="C1763" s="44" t="s">
        <v>42</v>
      </c>
      <c r="D1763" s="22" t="s">
        <v>2</v>
      </c>
      <c r="E1763" s="20">
        <v>1</v>
      </c>
      <c r="F1763" s="17" t="s">
        <v>261</v>
      </c>
      <c r="G1763" s="17" t="s">
        <v>282</v>
      </c>
      <c r="H1763" s="17" t="s">
        <v>283</v>
      </c>
      <c r="I1763" s="17" t="s">
        <v>284</v>
      </c>
      <c r="J1763" s="27" t="s">
        <v>43</v>
      </c>
      <c r="K1763" s="29">
        <v>405</v>
      </c>
      <c r="L1763" s="31">
        <v>220715.61</v>
      </c>
      <c r="M1763" s="31">
        <v>36898.490000102996</v>
      </c>
      <c r="N1763" s="31">
        <v>29023.829999796999</v>
      </c>
      <c r="O1763" s="34">
        <f t="shared" si="236"/>
        <v>0.16717662153620669</v>
      </c>
      <c r="P1763" s="34">
        <f t="shared" si="237"/>
        <v>0.78658584673020449</v>
      </c>
      <c r="Q1763" s="34">
        <f t="shared" si="238"/>
        <v>0.83282337846379328</v>
      </c>
      <c r="R1763" s="46">
        <f t="shared" si="239"/>
        <v>71.663777777276536</v>
      </c>
    </row>
    <row r="1764" spans="2:18" ht="12.75" customHeight="1" x14ac:dyDescent="0.25">
      <c r="B1764" s="17" t="s">
        <v>0</v>
      </c>
      <c r="C1764" s="44" t="s">
        <v>184</v>
      </c>
      <c r="D1764" s="22" t="s">
        <v>2</v>
      </c>
      <c r="E1764" s="20">
        <v>1</v>
      </c>
      <c r="F1764" s="17" t="s">
        <v>261</v>
      </c>
      <c r="G1764" s="17" t="s">
        <v>282</v>
      </c>
      <c r="H1764" s="17" t="s">
        <v>283</v>
      </c>
      <c r="I1764" s="17" t="s">
        <v>284</v>
      </c>
      <c r="J1764" s="27" t="s">
        <v>185</v>
      </c>
      <c r="K1764" s="29">
        <v>687</v>
      </c>
      <c r="L1764" s="31">
        <v>123498.65999999999</v>
      </c>
      <c r="M1764" s="31">
        <v>33939.119999975999</v>
      </c>
      <c r="N1764" s="31">
        <v>26043.140000051997</v>
      </c>
      <c r="O1764" s="34">
        <f t="shared" si="236"/>
        <v>0.27481367004286528</v>
      </c>
      <c r="P1764" s="34">
        <f t="shared" si="237"/>
        <v>0.76734871145953143</v>
      </c>
      <c r="Q1764" s="34">
        <f t="shared" si="238"/>
        <v>0.72518632995713472</v>
      </c>
      <c r="R1764" s="46">
        <f t="shared" si="239"/>
        <v>37.908500727877723</v>
      </c>
    </row>
    <row r="1765" spans="2:18" ht="12.75" customHeight="1" x14ac:dyDescent="0.25">
      <c r="B1765" s="17" t="s">
        <v>0</v>
      </c>
      <c r="C1765" s="44" t="s">
        <v>40</v>
      </c>
      <c r="D1765" s="22" t="s">
        <v>9</v>
      </c>
      <c r="E1765" s="20">
        <v>2</v>
      </c>
      <c r="F1765" s="17" t="s">
        <v>261</v>
      </c>
      <c r="G1765" s="17" t="s">
        <v>282</v>
      </c>
      <c r="H1765" s="17" t="s">
        <v>283</v>
      </c>
      <c r="I1765" s="17" t="s">
        <v>284</v>
      </c>
      <c r="J1765" s="27" t="s">
        <v>41</v>
      </c>
      <c r="K1765" s="29">
        <v>248</v>
      </c>
      <c r="L1765" s="31">
        <v>104539.9999996</v>
      </c>
      <c r="M1765" s="31">
        <v>33247.750000223001</v>
      </c>
      <c r="N1765" s="31">
        <v>25370.570000066997</v>
      </c>
      <c r="O1765" s="34">
        <f t="shared" si="236"/>
        <v>0.31803854984073288</v>
      </c>
      <c r="P1765" s="34">
        <f t="shared" si="237"/>
        <v>0.76307629839302904</v>
      </c>
      <c r="Q1765" s="34">
        <f t="shared" si="238"/>
        <v>0.68196145015926712</v>
      </c>
      <c r="R1765" s="46">
        <f t="shared" si="239"/>
        <v>102.30068548414111</v>
      </c>
    </row>
    <row r="1766" spans="2:18" ht="12.75" customHeight="1" x14ac:dyDescent="0.25">
      <c r="B1766" s="17" t="s">
        <v>0</v>
      </c>
      <c r="C1766" s="44" t="s">
        <v>22</v>
      </c>
      <c r="D1766" s="22" t="s">
        <v>9</v>
      </c>
      <c r="E1766" s="20">
        <v>2</v>
      </c>
      <c r="F1766" s="17" t="s">
        <v>261</v>
      </c>
      <c r="G1766" s="17" t="s">
        <v>282</v>
      </c>
      <c r="H1766" s="17" t="s">
        <v>283</v>
      </c>
      <c r="I1766" s="17" t="s">
        <v>284</v>
      </c>
      <c r="J1766" s="27" t="s">
        <v>23</v>
      </c>
      <c r="K1766" s="29">
        <v>461</v>
      </c>
      <c r="L1766" s="31">
        <v>103444.14</v>
      </c>
      <c r="M1766" s="31">
        <v>30317.129999831996</v>
      </c>
      <c r="N1766" s="31">
        <v>22904.299999891999</v>
      </c>
      <c r="O1766" s="34">
        <f t="shared" si="236"/>
        <v>0.29307730722911896</v>
      </c>
      <c r="P1766" s="34">
        <f t="shared" si="237"/>
        <v>0.75549037788269946</v>
      </c>
      <c r="Q1766" s="34">
        <f t="shared" si="238"/>
        <v>0.70692269277088104</v>
      </c>
      <c r="R1766" s="46">
        <f t="shared" si="239"/>
        <v>49.683947939028194</v>
      </c>
    </row>
    <row r="1767" spans="2:18" ht="12.75" customHeight="1" x14ac:dyDescent="0.25">
      <c r="B1767" s="17" t="s">
        <v>0</v>
      </c>
      <c r="C1767" s="44" t="s">
        <v>58</v>
      </c>
      <c r="D1767" s="22" t="s">
        <v>2</v>
      </c>
      <c r="E1767" s="20">
        <v>1</v>
      </c>
      <c r="F1767" s="17" t="s">
        <v>261</v>
      </c>
      <c r="G1767" s="17" t="s">
        <v>282</v>
      </c>
      <c r="H1767" s="17" t="s">
        <v>283</v>
      </c>
      <c r="I1767" s="17" t="s">
        <v>284</v>
      </c>
      <c r="J1767" s="27" t="s">
        <v>59</v>
      </c>
      <c r="K1767" s="29">
        <v>595</v>
      </c>
      <c r="L1767" s="31">
        <v>216975.68000043</v>
      </c>
      <c r="M1767" s="31">
        <v>28886.069999999996</v>
      </c>
      <c r="N1767" s="31">
        <v>22301.469999982997</v>
      </c>
      <c r="O1767" s="34">
        <f t="shared" si="236"/>
        <v>0.13313045038016588</v>
      </c>
      <c r="P1767" s="34">
        <f t="shared" si="237"/>
        <v>0.77204929573261438</v>
      </c>
      <c r="Q1767" s="34">
        <f t="shared" si="238"/>
        <v>0.86686954961983409</v>
      </c>
      <c r="R1767" s="46">
        <f t="shared" si="239"/>
        <v>37.481462184845377</v>
      </c>
    </row>
    <row r="1768" spans="2:18" ht="12.75" customHeight="1" x14ac:dyDescent="0.25">
      <c r="B1768" s="17" t="s">
        <v>0</v>
      </c>
      <c r="C1768" s="44" t="s">
        <v>64</v>
      </c>
      <c r="D1768" s="22" t="s">
        <v>9</v>
      </c>
      <c r="E1768" s="20">
        <v>2</v>
      </c>
      <c r="F1768" s="17" t="s">
        <v>261</v>
      </c>
      <c r="G1768" s="17" t="s">
        <v>282</v>
      </c>
      <c r="H1768" s="17" t="s">
        <v>283</v>
      </c>
      <c r="I1768" s="17" t="s">
        <v>284</v>
      </c>
      <c r="J1768" s="27" t="s">
        <v>65</v>
      </c>
      <c r="K1768" s="29">
        <v>207</v>
      </c>
      <c r="L1768" s="31">
        <v>29420.009999189999</v>
      </c>
      <c r="M1768" s="31">
        <v>27251.519999489999</v>
      </c>
      <c r="N1768" s="31">
        <v>22054.070000790001</v>
      </c>
      <c r="O1768" s="34">
        <f t="shared" si="236"/>
        <v>0.9262920033079628</v>
      </c>
      <c r="P1768" s="34">
        <f t="shared" si="237"/>
        <v>0.80927852836108716</v>
      </c>
      <c r="Q1768" s="34">
        <f t="shared" si="238"/>
        <v>7.3707996692037203E-2</v>
      </c>
      <c r="R1768" s="46">
        <f t="shared" si="239"/>
        <v>106.54140097000001</v>
      </c>
    </row>
    <row r="1769" spans="2:18" ht="12.75" customHeight="1" x14ac:dyDescent="0.25">
      <c r="B1769" s="17" t="s">
        <v>0</v>
      </c>
      <c r="C1769" s="44" t="s">
        <v>76</v>
      </c>
      <c r="D1769" s="22" t="s">
        <v>9</v>
      </c>
      <c r="E1769" s="20">
        <v>2</v>
      </c>
      <c r="F1769" s="17" t="s">
        <v>261</v>
      </c>
      <c r="G1769" s="17" t="s">
        <v>282</v>
      </c>
      <c r="H1769" s="17" t="s">
        <v>283</v>
      </c>
      <c r="I1769" s="17" t="s">
        <v>284</v>
      </c>
      <c r="J1769" s="27" t="s">
        <v>77</v>
      </c>
      <c r="K1769" s="29">
        <v>716</v>
      </c>
      <c r="L1769" s="31">
        <v>80359.280000047991</v>
      </c>
      <c r="M1769" s="31">
        <v>29464.400000200705</v>
      </c>
      <c r="N1769" s="31">
        <v>19592.620000049203</v>
      </c>
      <c r="O1769" s="34">
        <f t="shared" si="236"/>
        <v>0.36665833740898512</v>
      </c>
      <c r="P1769" s="34">
        <f t="shared" si="237"/>
        <v>0.66495906924681114</v>
      </c>
      <c r="Q1769" s="34">
        <f t="shared" si="238"/>
        <v>0.63334166259101488</v>
      </c>
      <c r="R1769" s="46">
        <f t="shared" si="239"/>
        <v>27.36399441347654</v>
      </c>
    </row>
    <row r="1770" spans="2:18" ht="12.75" customHeight="1" x14ac:dyDescent="0.25">
      <c r="B1770" s="17" t="s">
        <v>0</v>
      </c>
      <c r="C1770" s="44" t="s">
        <v>60</v>
      </c>
      <c r="D1770" s="22" t="s">
        <v>2</v>
      </c>
      <c r="E1770" s="20">
        <v>1</v>
      </c>
      <c r="F1770" s="17" t="s">
        <v>261</v>
      </c>
      <c r="G1770" s="17" t="s">
        <v>282</v>
      </c>
      <c r="H1770" s="17" t="s">
        <v>283</v>
      </c>
      <c r="I1770" s="17" t="s">
        <v>284</v>
      </c>
      <c r="J1770" s="27" t="s">
        <v>61</v>
      </c>
      <c r="K1770" s="29">
        <v>59</v>
      </c>
      <c r="L1770" s="31">
        <v>178660</v>
      </c>
      <c r="M1770" s="31">
        <v>23656.749999979998</v>
      </c>
      <c r="N1770" s="31">
        <v>18657.289999839999</v>
      </c>
      <c r="O1770" s="34">
        <f t="shared" si="236"/>
        <v>0.13241212358658905</v>
      </c>
      <c r="P1770" s="34">
        <f t="shared" si="237"/>
        <v>0.78866665961536453</v>
      </c>
      <c r="Q1770" s="34">
        <f t="shared" si="238"/>
        <v>0.86758787641341095</v>
      </c>
      <c r="R1770" s="46">
        <f t="shared" si="239"/>
        <v>316.22525423457625</v>
      </c>
    </row>
    <row r="1771" spans="2:18" ht="12.75" customHeight="1" x14ac:dyDescent="0.25">
      <c r="B1771" s="17" t="s">
        <v>0</v>
      </c>
      <c r="C1771" s="44" t="s">
        <v>151</v>
      </c>
      <c r="D1771" s="22" t="s">
        <v>2</v>
      </c>
      <c r="E1771" s="20">
        <v>1</v>
      </c>
      <c r="F1771" s="17" t="s">
        <v>261</v>
      </c>
      <c r="G1771" s="17" t="s">
        <v>282</v>
      </c>
      <c r="H1771" s="17" t="s">
        <v>283</v>
      </c>
      <c r="I1771" s="17" t="s">
        <v>284</v>
      </c>
      <c r="J1771" s="27" t="s">
        <v>152</v>
      </c>
      <c r="K1771" s="29">
        <v>268</v>
      </c>
      <c r="L1771" s="31">
        <v>81516.999999839987</v>
      </c>
      <c r="M1771" s="31">
        <v>19865.449999922999</v>
      </c>
      <c r="N1771" s="31">
        <v>15166.479999927</v>
      </c>
      <c r="O1771" s="34">
        <f t="shared" si="236"/>
        <v>0.24369702025297782</v>
      </c>
      <c r="P1771" s="34">
        <f t="shared" si="237"/>
        <v>0.76346017834913316</v>
      </c>
      <c r="Q1771" s="34">
        <f t="shared" si="238"/>
        <v>0.75630297974702221</v>
      </c>
      <c r="R1771" s="46">
        <f t="shared" si="239"/>
        <v>56.591343283309698</v>
      </c>
    </row>
    <row r="1772" spans="2:18" ht="12.75" customHeight="1" x14ac:dyDescent="0.25">
      <c r="B1772" s="17" t="s">
        <v>0</v>
      </c>
      <c r="C1772" s="44" t="s">
        <v>182</v>
      </c>
      <c r="D1772" s="22" t="s">
        <v>2</v>
      </c>
      <c r="E1772" s="20">
        <v>1</v>
      </c>
      <c r="F1772" s="17" t="s">
        <v>261</v>
      </c>
      <c r="G1772" s="17" t="s">
        <v>282</v>
      </c>
      <c r="H1772" s="17" t="s">
        <v>283</v>
      </c>
      <c r="I1772" s="17" t="s">
        <v>284</v>
      </c>
      <c r="J1772" s="27" t="s">
        <v>183</v>
      </c>
      <c r="K1772" s="29">
        <v>147</v>
      </c>
      <c r="L1772" s="31">
        <v>46472.63999982</v>
      </c>
      <c r="M1772" s="31">
        <v>14412.130000121</v>
      </c>
      <c r="N1772" s="31">
        <v>11492.820000248001</v>
      </c>
      <c r="O1772" s="34">
        <f t="shared" si="236"/>
        <v>0.31012075062180289</v>
      </c>
      <c r="P1772" s="34">
        <f t="shared" si="237"/>
        <v>0.7974407669200535</v>
      </c>
      <c r="Q1772" s="34">
        <f t="shared" si="238"/>
        <v>0.68987924937819711</v>
      </c>
      <c r="R1772" s="46">
        <f t="shared" si="239"/>
        <v>78.18244898127891</v>
      </c>
    </row>
    <row r="1773" spans="2:18" ht="12.75" customHeight="1" x14ac:dyDescent="0.25">
      <c r="B1773" s="17" t="s">
        <v>0</v>
      </c>
      <c r="C1773" s="44" t="s">
        <v>174</v>
      </c>
      <c r="D1773" s="22" t="s">
        <v>2</v>
      </c>
      <c r="E1773" s="20">
        <v>1</v>
      </c>
      <c r="F1773" s="17" t="s">
        <v>261</v>
      </c>
      <c r="G1773" s="17" t="s">
        <v>282</v>
      </c>
      <c r="H1773" s="17" t="s">
        <v>283</v>
      </c>
      <c r="I1773" s="17" t="s">
        <v>284</v>
      </c>
      <c r="J1773" s="27" t="s">
        <v>175</v>
      </c>
      <c r="K1773" s="29">
        <v>107</v>
      </c>
      <c r="L1773" s="31">
        <v>118078</v>
      </c>
      <c r="M1773" s="31">
        <v>13014.509999879001</v>
      </c>
      <c r="N1773" s="31">
        <v>10212.379999934001</v>
      </c>
      <c r="O1773" s="34">
        <f t="shared" si="236"/>
        <v>0.11021960060196651</v>
      </c>
      <c r="P1773" s="34">
        <f t="shared" si="237"/>
        <v>0.78469185547738241</v>
      </c>
      <c r="Q1773" s="34">
        <f t="shared" si="238"/>
        <v>0.88978039939803355</v>
      </c>
      <c r="R1773" s="46">
        <f t="shared" si="239"/>
        <v>95.442803737700942</v>
      </c>
    </row>
    <row r="1774" spans="2:18" ht="12.75" customHeight="1" x14ac:dyDescent="0.25">
      <c r="B1774" s="17" t="s">
        <v>0</v>
      </c>
      <c r="C1774" s="44" t="s">
        <v>105</v>
      </c>
      <c r="D1774" s="22" t="s">
        <v>2</v>
      </c>
      <c r="E1774" s="20">
        <v>1</v>
      </c>
      <c r="F1774" s="17" t="s">
        <v>261</v>
      </c>
      <c r="G1774" s="17" t="s">
        <v>282</v>
      </c>
      <c r="H1774" s="17" t="s">
        <v>283</v>
      </c>
      <c r="I1774" s="17" t="s">
        <v>284</v>
      </c>
      <c r="J1774" s="27" t="s">
        <v>106</v>
      </c>
      <c r="K1774" s="29">
        <v>130</v>
      </c>
      <c r="L1774" s="31">
        <v>59732.28</v>
      </c>
      <c r="M1774" s="31">
        <v>12456.070000285999</v>
      </c>
      <c r="N1774" s="31">
        <v>9924.6599998019992</v>
      </c>
      <c r="O1774" s="34">
        <f t="shared" ref="O1774:O1795" si="240">IFERROR(M1774/L1774,0)</f>
        <v>0.20853163482602707</v>
      </c>
      <c r="P1774" s="34">
        <f t="shared" ref="P1774:P1795" si="241">IFERROR(N1774/M1774,0)</f>
        <v>0.79677297892305698</v>
      </c>
      <c r="Q1774" s="34">
        <f t="shared" ref="Q1774:Q1795" si="242">IFERROR(1-(M1774/L1774),0)</f>
        <v>0.7914683651739729</v>
      </c>
      <c r="R1774" s="46">
        <f t="shared" ref="R1774:R1795" si="243">IFERROR(N1774/K1774,0)</f>
        <v>76.343538460015381</v>
      </c>
    </row>
    <row r="1775" spans="2:18" ht="12.75" customHeight="1" x14ac:dyDescent="0.25">
      <c r="B1775" s="17" t="s">
        <v>0</v>
      </c>
      <c r="C1775" s="44" t="s">
        <v>64</v>
      </c>
      <c r="D1775" s="22" t="s">
        <v>2</v>
      </c>
      <c r="E1775" s="20">
        <v>1</v>
      </c>
      <c r="F1775" s="17" t="s">
        <v>261</v>
      </c>
      <c r="G1775" s="17" t="s">
        <v>282</v>
      </c>
      <c r="H1775" s="17" t="s">
        <v>283</v>
      </c>
      <c r="I1775" s="17" t="s">
        <v>284</v>
      </c>
      <c r="J1775" s="27" t="s">
        <v>65</v>
      </c>
      <c r="K1775" s="29">
        <v>83</v>
      </c>
      <c r="L1775" s="31">
        <v>40493</v>
      </c>
      <c r="M1775" s="31">
        <v>11757.069999906</v>
      </c>
      <c r="N1775" s="31">
        <v>9378.9400001350004</v>
      </c>
      <c r="O1775" s="34">
        <f t="shared" si="240"/>
        <v>0.29034820832998298</v>
      </c>
      <c r="P1775" s="34">
        <f t="shared" si="241"/>
        <v>0.79772766515892024</v>
      </c>
      <c r="Q1775" s="34">
        <f t="shared" si="242"/>
        <v>0.70965179167001702</v>
      </c>
      <c r="R1775" s="46">
        <f t="shared" si="243"/>
        <v>112.99927711006025</v>
      </c>
    </row>
    <row r="1776" spans="2:18" ht="12.75" customHeight="1" x14ac:dyDescent="0.25">
      <c r="B1776" s="17" t="s">
        <v>0</v>
      </c>
      <c r="C1776" s="44" t="s">
        <v>96</v>
      </c>
      <c r="D1776" s="22" t="s">
        <v>9</v>
      </c>
      <c r="E1776" s="20">
        <v>2</v>
      </c>
      <c r="F1776" s="17" t="s">
        <v>261</v>
      </c>
      <c r="G1776" s="17" t="s">
        <v>282</v>
      </c>
      <c r="H1776" s="17" t="s">
        <v>283</v>
      </c>
      <c r="I1776" s="17" t="s">
        <v>284</v>
      </c>
      <c r="J1776" s="27" t="s">
        <v>97</v>
      </c>
      <c r="K1776" s="29">
        <v>370</v>
      </c>
      <c r="L1776" s="31">
        <v>11695.000000095</v>
      </c>
      <c r="M1776" s="31">
        <v>11010.679999881999</v>
      </c>
      <c r="N1776" s="31">
        <v>8432.9400001530012</v>
      </c>
      <c r="O1776" s="34">
        <f t="shared" si="240"/>
        <v>0.9414861051554132</v>
      </c>
      <c r="P1776" s="34">
        <f t="shared" si="241"/>
        <v>0.76588730216874679</v>
      </c>
      <c r="Q1776" s="34">
        <f t="shared" si="242"/>
        <v>5.85138948445868E-2</v>
      </c>
      <c r="R1776" s="46">
        <f t="shared" si="243"/>
        <v>22.791729730143246</v>
      </c>
    </row>
    <row r="1777" spans="2:18" ht="12.75" customHeight="1" x14ac:dyDescent="0.25">
      <c r="B1777" s="17" t="s">
        <v>0</v>
      </c>
      <c r="C1777" s="44" t="s">
        <v>143</v>
      </c>
      <c r="D1777" s="22" t="s">
        <v>9</v>
      </c>
      <c r="E1777" s="20">
        <v>2</v>
      </c>
      <c r="F1777" s="17" t="s">
        <v>261</v>
      </c>
      <c r="G1777" s="17" t="s">
        <v>282</v>
      </c>
      <c r="H1777" s="17" t="s">
        <v>283</v>
      </c>
      <c r="I1777" s="17" t="s">
        <v>284</v>
      </c>
      <c r="J1777" s="27" t="s">
        <v>144</v>
      </c>
      <c r="K1777" s="29">
        <v>1205</v>
      </c>
      <c r="L1777" s="31">
        <v>33107.979999989999</v>
      </c>
      <c r="M1777" s="31">
        <v>10437.209999999301</v>
      </c>
      <c r="N1777" s="31">
        <v>8122.0800000062991</v>
      </c>
      <c r="O1777" s="34">
        <f t="shared" si="240"/>
        <v>0.31524756267227577</v>
      </c>
      <c r="P1777" s="34">
        <f t="shared" si="241"/>
        <v>0.77818497472091142</v>
      </c>
      <c r="Q1777" s="34">
        <f t="shared" si="242"/>
        <v>0.68475243732772428</v>
      </c>
      <c r="R1777" s="46">
        <f t="shared" si="243"/>
        <v>6.7403153527023232</v>
      </c>
    </row>
    <row r="1778" spans="2:18" ht="12.75" customHeight="1" x14ac:dyDescent="0.25">
      <c r="B1778" s="17" t="s">
        <v>0</v>
      </c>
      <c r="C1778" s="44" t="s">
        <v>7</v>
      </c>
      <c r="D1778" s="22" t="s">
        <v>9</v>
      </c>
      <c r="E1778" s="20">
        <v>2</v>
      </c>
      <c r="F1778" s="17" t="s">
        <v>261</v>
      </c>
      <c r="G1778" s="17" t="s">
        <v>282</v>
      </c>
      <c r="H1778" s="17" t="s">
        <v>283</v>
      </c>
      <c r="I1778" s="17" t="s">
        <v>284</v>
      </c>
      <c r="J1778" s="27" t="s">
        <v>8</v>
      </c>
      <c r="K1778" s="29">
        <v>1140</v>
      </c>
      <c r="L1778" s="31">
        <v>36303.319999904998</v>
      </c>
      <c r="M1778" s="31">
        <v>10192.720000003001</v>
      </c>
      <c r="N1778" s="31">
        <v>8068.1899999960997</v>
      </c>
      <c r="O1778" s="34">
        <f t="shared" si="240"/>
        <v>0.2807655057451956</v>
      </c>
      <c r="P1778" s="34">
        <f t="shared" si="241"/>
        <v>0.79156397899615849</v>
      </c>
      <c r="Q1778" s="34">
        <f t="shared" si="242"/>
        <v>0.71923449425480435</v>
      </c>
      <c r="R1778" s="46">
        <f t="shared" si="243"/>
        <v>7.0773596491193853</v>
      </c>
    </row>
    <row r="1779" spans="2:18" ht="12.75" customHeight="1" x14ac:dyDescent="0.25">
      <c r="B1779" s="17" t="s">
        <v>0</v>
      </c>
      <c r="C1779" s="44" t="s">
        <v>18</v>
      </c>
      <c r="D1779" s="22" t="s">
        <v>9</v>
      </c>
      <c r="E1779" s="20">
        <v>2</v>
      </c>
      <c r="F1779" s="17" t="s">
        <v>261</v>
      </c>
      <c r="G1779" s="17" t="s">
        <v>282</v>
      </c>
      <c r="H1779" s="17" t="s">
        <v>283</v>
      </c>
      <c r="I1779" s="17" t="s">
        <v>284</v>
      </c>
      <c r="J1779" s="27" t="s">
        <v>19</v>
      </c>
      <c r="K1779" s="29">
        <v>114</v>
      </c>
      <c r="L1779" s="31">
        <v>38136.839999974007</v>
      </c>
      <c r="M1779" s="31">
        <v>10006.690000100001</v>
      </c>
      <c r="N1779" s="31">
        <v>7982.7399999789995</v>
      </c>
      <c r="O1779" s="34">
        <f t="shared" si="240"/>
        <v>0.26238907051834454</v>
      </c>
      <c r="P1779" s="34">
        <f t="shared" si="241"/>
        <v>0.79774031172138082</v>
      </c>
      <c r="Q1779" s="34">
        <f t="shared" si="242"/>
        <v>0.73761092948165552</v>
      </c>
      <c r="R1779" s="46">
        <f t="shared" si="243"/>
        <v>70.024035087535083</v>
      </c>
    </row>
    <row r="1780" spans="2:18" ht="12.75" customHeight="1" x14ac:dyDescent="0.25">
      <c r="B1780" s="17" t="s">
        <v>0</v>
      </c>
      <c r="C1780" s="44" t="s">
        <v>62</v>
      </c>
      <c r="D1780" s="22" t="s">
        <v>2</v>
      </c>
      <c r="E1780" s="20">
        <v>1</v>
      </c>
      <c r="F1780" s="17" t="s">
        <v>261</v>
      </c>
      <c r="G1780" s="17" t="s">
        <v>282</v>
      </c>
      <c r="H1780" s="17" t="s">
        <v>283</v>
      </c>
      <c r="I1780" s="17" t="s">
        <v>284</v>
      </c>
      <c r="J1780" s="27" t="s">
        <v>63</v>
      </c>
      <c r="K1780" s="29">
        <v>137</v>
      </c>
      <c r="L1780" s="31">
        <v>34250</v>
      </c>
      <c r="M1780" s="31">
        <v>7772.4299999979994</v>
      </c>
      <c r="N1780" s="31">
        <v>6146.3400000109996</v>
      </c>
      <c r="O1780" s="34">
        <f t="shared" si="240"/>
        <v>0.22693226277366421</v>
      </c>
      <c r="P1780" s="34">
        <f t="shared" si="241"/>
        <v>0.79078743713517929</v>
      </c>
      <c r="Q1780" s="34">
        <f t="shared" si="242"/>
        <v>0.77306773722633582</v>
      </c>
      <c r="R1780" s="46">
        <f t="shared" si="243"/>
        <v>44.863795620518246</v>
      </c>
    </row>
    <row r="1781" spans="2:18" ht="12.75" customHeight="1" x14ac:dyDescent="0.25">
      <c r="B1781" s="17" t="s">
        <v>0</v>
      </c>
      <c r="C1781" s="44" t="s">
        <v>176</v>
      </c>
      <c r="D1781" s="22" t="s">
        <v>9</v>
      </c>
      <c r="E1781" s="20">
        <v>2</v>
      </c>
      <c r="F1781" s="17" t="s">
        <v>261</v>
      </c>
      <c r="G1781" s="17" t="s">
        <v>282</v>
      </c>
      <c r="H1781" s="17" t="s">
        <v>283</v>
      </c>
      <c r="I1781" s="17" t="s">
        <v>284</v>
      </c>
      <c r="J1781" s="27" t="s">
        <v>177</v>
      </c>
      <c r="K1781" s="29">
        <v>102</v>
      </c>
      <c r="L1781" s="31">
        <v>45496</v>
      </c>
      <c r="M1781" s="31">
        <v>7597.5299999820008</v>
      </c>
      <c r="N1781" s="31">
        <v>5804.6600000279996</v>
      </c>
      <c r="O1781" s="34">
        <f t="shared" si="240"/>
        <v>0.16699336205341131</v>
      </c>
      <c r="P1781" s="34">
        <f t="shared" si="241"/>
        <v>0.76401935892872441</v>
      </c>
      <c r="Q1781" s="34">
        <f t="shared" si="242"/>
        <v>0.83300663794658869</v>
      </c>
      <c r="R1781" s="46">
        <f t="shared" si="243"/>
        <v>56.908431372823522</v>
      </c>
    </row>
    <row r="1782" spans="2:18" ht="12.75" customHeight="1" x14ac:dyDescent="0.25">
      <c r="B1782" s="17" t="s">
        <v>0</v>
      </c>
      <c r="C1782" s="44" t="s">
        <v>172</v>
      </c>
      <c r="D1782" s="22" t="s">
        <v>2</v>
      </c>
      <c r="E1782" s="20">
        <v>1</v>
      </c>
      <c r="F1782" s="17" t="s">
        <v>261</v>
      </c>
      <c r="G1782" s="17" t="s">
        <v>282</v>
      </c>
      <c r="H1782" s="17" t="s">
        <v>283</v>
      </c>
      <c r="I1782" s="17" t="s">
        <v>284</v>
      </c>
      <c r="J1782" s="27" t="s">
        <v>173</v>
      </c>
      <c r="K1782" s="29">
        <v>33</v>
      </c>
      <c r="L1782" s="31">
        <v>20139.57</v>
      </c>
      <c r="M1782" s="31">
        <v>6530.1099999300004</v>
      </c>
      <c r="N1782" s="31">
        <v>5211.2800000799998</v>
      </c>
      <c r="O1782" s="34">
        <f t="shared" si="240"/>
        <v>0.32424277181340022</v>
      </c>
      <c r="P1782" s="34">
        <f t="shared" si="241"/>
        <v>0.7980386241787446</v>
      </c>
      <c r="Q1782" s="34">
        <f t="shared" si="242"/>
        <v>0.67575722818659978</v>
      </c>
      <c r="R1782" s="46">
        <f t="shared" si="243"/>
        <v>157.91757576000001</v>
      </c>
    </row>
    <row r="1783" spans="2:18" ht="12.75" customHeight="1" x14ac:dyDescent="0.25">
      <c r="B1783" s="17" t="s">
        <v>0</v>
      </c>
      <c r="C1783" s="44" t="s">
        <v>20</v>
      </c>
      <c r="D1783" s="22" t="s">
        <v>9</v>
      </c>
      <c r="E1783" s="20">
        <v>2</v>
      </c>
      <c r="F1783" s="17" t="s">
        <v>261</v>
      </c>
      <c r="G1783" s="17" t="s">
        <v>282</v>
      </c>
      <c r="H1783" s="17" t="s">
        <v>283</v>
      </c>
      <c r="I1783" s="17" t="s">
        <v>284</v>
      </c>
      <c r="J1783" s="27" t="s">
        <v>21</v>
      </c>
      <c r="K1783" s="29">
        <v>776</v>
      </c>
      <c r="L1783" s="31">
        <v>60450.719999993998</v>
      </c>
      <c r="M1783" s="31">
        <v>6614.8099999872002</v>
      </c>
      <c r="N1783" s="31">
        <v>5045.3399999945996</v>
      </c>
      <c r="O1783" s="34">
        <f t="shared" si="240"/>
        <v>0.10942483398027116</v>
      </c>
      <c r="P1783" s="34">
        <f t="shared" si="241"/>
        <v>0.76273392584282274</v>
      </c>
      <c r="Q1783" s="34">
        <f t="shared" si="242"/>
        <v>0.89057516601972886</v>
      </c>
      <c r="R1783" s="46">
        <f t="shared" si="243"/>
        <v>6.5017268041167524</v>
      </c>
    </row>
    <row r="1784" spans="2:18" ht="12.75" customHeight="1" x14ac:dyDescent="0.25">
      <c r="B1784" s="17" t="s">
        <v>0</v>
      </c>
      <c r="C1784" s="44" t="s">
        <v>135</v>
      </c>
      <c r="D1784" s="22" t="s">
        <v>2</v>
      </c>
      <c r="E1784" s="20">
        <v>1</v>
      </c>
      <c r="F1784" s="17" t="s">
        <v>261</v>
      </c>
      <c r="G1784" s="17" t="s">
        <v>282</v>
      </c>
      <c r="H1784" s="17" t="s">
        <v>283</v>
      </c>
      <c r="I1784" s="17" t="s">
        <v>284</v>
      </c>
      <c r="J1784" s="27" t="s">
        <v>136</v>
      </c>
      <c r="K1784" s="29">
        <v>86</v>
      </c>
      <c r="L1784" s="31">
        <v>728995.8</v>
      </c>
      <c r="M1784" s="31">
        <v>4878.7700000999994</v>
      </c>
      <c r="N1784" s="31">
        <v>3887.0800000059999</v>
      </c>
      <c r="O1784" s="34">
        <f t="shared" si="240"/>
        <v>6.6924528235965137E-3</v>
      </c>
      <c r="P1784" s="34">
        <f t="shared" si="241"/>
        <v>0.79673360292170503</v>
      </c>
      <c r="Q1784" s="34">
        <f t="shared" si="242"/>
        <v>0.99330754717640346</v>
      </c>
      <c r="R1784" s="46">
        <f t="shared" si="243"/>
        <v>45.198604651232557</v>
      </c>
    </row>
    <row r="1785" spans="2:18" ht="12.75" customHeight="1" x14ac:dyDescent="0.25">
      <c r="B1785" s="17" t="s">
        <v>0</v>
      </c>
      <c r="C1785" s="44" t="s">
        <v>26</v>
      </c>
      <c r="D1785" s="22" t="s">
        <v>2</v>
      </c>
      <c r="E1785" s="20">
        <v>1</v>
      </c>
      <c r="F1785" s="17" t="s">
        <v>261</v>
      </c>
      <c r="G1785" s="17" t="s">
        <v>282</v>
      </c>
      <c r="H1785" s="17" t="s">
        <v>283</v>
      </c>
      <c r="I1785" s="17" t="s">
        <v>284</v>
      </c>
      <c r="J1785" s="27" t="s">
        <v>27</v>
      </c>
      <c r="K1785" s="29">
        <v>53</v>
      </c>
      <c r="L1785" s="31">
        <v>20246</v>
      </c>
      <c r="M1785" s="31">
        <v>4487.8999999970001</v>
      </c>
      <c r="N1785" s="31">
        <v>3600.8299999870005</v>
      </c>
      <c r="O1785" s="34">
        <f t="shared" si="240"/>
        <v>0.22166847772384668</v>
      </c>
      <c r="P1785" s="34">
        <f t="shared" si="241"/>
        <v>0.802341852534461</v>
      </c>
      <c r="Q1785" s="34">
        <f t="shared" si="242"/>
        <v>0.77833152227615332</v>
      </c>
      <c r="R1785" s="46">
        <f t="shared" si="243"/>
        <v>67.940188679000016</v>
      </c>
    </row>
    <row r="1786" spans="2:18" ht="12.75" customHeight="1" x14ac:dyDescent="0.25">
      <c r="B1786" s="17" t="s">
        <v>0</v>
      </c>
      <c r="C1786" s="44" t="s">
        <v>18</v>
      </c>
      <c r="D1786" s="22" t="s">
        <v>2</v>
      </c>
      <c r="E1786" s="20">
        <v>1</v>
      </c>
      <c r="F1786" s="17" t="s">
        <v>261</v>
      </c>
      <c r="G1786" s="17" t="s">
        <v>282</v>
      </c>
      <c r="H1786" s="17" t="s">
        <v>283</v>
      </c>
      <c r="I1786" s="17" t="s">
        <v>284</v>
      </c>
      <c r="J1786" s="27" t="s">
        <v>19</v>
      </c>
      <c r="K1786" s="29">
        <v>65</v>
      </c>
      <c r="L1786" s="31">
        <v>57026</v>
      </c>
      <c r="M1786" s="31">
        <v>4463.4499999929994</v>
      </c>
      <c r="N1786" s="31">
        <v>3464.8600000019997</v>
      </c>
      <c r="O1786" s="34">
        <f t="shared" si="240"/>
        <v>7.8270438045680901E-2</v>
      </c>
      <c r="P1786" s="34">
        <f t="shared" si="241"/>
        <v>0.77627395848669389</v>
      </c>
      <c r="Q1786" s="34">
        <f t="shared" si="242"/>
        <v>0.9217295619543191</v>
      </c>
      <c r="R1786" s="46">
        <f t="shared" si="243"/>
        <v>53.305538461569228</v>
      </c>
    </row>
    <row r="1787" spans="2:18" ht="12.75" customHeight="1" x14ac:dyDescent="0.25">
      <c r="B1787" s="17" t="s">
        <v>0</v>
      </c>
      <c r="C1787" s="44" t="s">
        <v>58</v>
      </c>
      <c r="D1787" s="22" t="s">
        <v>9</v>
      </c>
      <c r="E1787" s="20">
        <v>2</v>
      </c>
      <c r="F1787" s="17" t="s">
        <v>261</v>
      </c>
      <c r="G1787" s="17" t="s">
        <v>282</v>
      </c>
      <c r="H1787" s="17" t="s">
        <v>283</v>
      </c>
      <c r="I1787" s="17" t="s">
        <v>284</v>
      </c>
      <c r="J1787" s="27" t="s">
        <v>59</v>
      </c>
      <c r="K1787" s="29">
        <v>248</v>
      </c>
      <c r="L1787" s="31">
        <v>15852.4</v>
      </c>
      <c r="M1787" s="31">
        <v>4164.2000000115995</v>
      </c>
      <c r="N1787" s="31">
        <v>3282.4300000116004</v>
      </c>
      <c r="O1787" s="34">
        <f t="shared" si="240"/>
        <v>0.26268577628697232</v>
      </c>
      <c r="P1787" s="34">
        <f t="shared" si="241"/>
        <v>0.78824984390818331</v>
      </c>
      <c r="Q1787" s="34">
        <f t="shared" si="242"/>
        <v>0.73731422371302768</v>
      </c>
      <c r="R1787" s="46">
        <f t="shared" si="243"/>
        <v>13.235604838756453</v>
      </c>
    </row>
    <row r="1788" spans="2:18" ht="12.75" customHeight="1" x14ac:dyDescent="0.25">
      <c r="B1788" s="17" t="s">
        <v>0</v>
      </c>
      <c r="C1788" s="44" t="s">
        <v>191</v>
      </c>
      <c r="D1788" s="22" t="s">
        <v>2</v>
      </c>
      <c r="E1788" s="20">
        <v>1</v>
      </c>
      <c r="F1788" s="17" t="s">
        <v>261</v>
      </c>
      <c r="G1788" s="17" t="s">
        <v>282</v>
      </c>
      <c r="H1788" s="17" t="s">
        <v>283</v>
      </c>
      <c r="I1788" s="17" t="s">
        <v>284</v>
      </c>
      <c r="J1788" s="27" t="s">
        <v>192</v>
      </c>
      <c r="K1788" s="29">
        <v>163</v>
      </c>
      <c r="L1788" s="31">
        <v>26288.000000200002</v>
      </c>
      <c r="M1788" s="31">
        <v>7607.4799999690003</v>
      </c>
      <c r="N1788" s="31">
        <v>2953.2100000629998</v>
      </c>
      <c r="O1788" s="34">
        <f t="shared" si="240"/>
        <v>0.28938983566308285</v>
      </c>
      <c r="P1788" s="34">
        <f t="shared" si="241"/>
        <v>0.3881981944185241</v>
      </c>
      <c r="Q1788" s="34">
        <f t="shared" si="242"/>
        <v>0.71061016433691715</v>
      </c>
      <c r="R1788" s="46">
        <f t="shared" si="243"/>
        <v>18.117852761122698</v>
      </c>
    </row>
    <row r="1789" spans="2:18" ht="12.75" customHeight="1" x14ac:dyDescent="0.25">
      <c r="B1789" s="17" t="s">
        <v>0</v>
      </c>
      <c r="C1789" s="44" t="s">
        <v>94</v>
      </c>
      <c r="D1789" s="22" t="s">
        <v>9</v>
      </c>
      <c r="E1789" s="20">
        <v>2</v>
      </c>
      <c r="F1789" s="17" t="s">
        <v>261</v>
      </c>
      <c r="G1789" s="17" t="s">
        <v>282</v>
      </c>
      <c r="H1789" s="17" t="s">
        <v>283</v>
      </c>
      <c r="I1789" s="17" t="s">
        <v>284</v>
      </c>
      <c r="J1789" s="27" t="s">
        <v>95</v>
      </c>
      <c r="K1789" s="29">
        <v>44</v>
      </c>
      <c r="L1789" s="31">
        <v>3760</v>
      </c>
      <c r="M1789" s="31">
        <v>3102.3200000080001</v>
      </c>
      <c r="N1789" s="31">
        <v>2496.3000000000002</v>
      </c>
      <c r="O1789" s="34">
        <f t="shared" si="240"/>
        <v>0.82508510638510646</v>
      </c>
      <c r="P1789" s="34">
        <f t="shared" si="241"/>
        <v>0.80465587044326914</v>
      </c>
      <c r="Q1789" s="34">
        <f t="shared" si="242"/>
        <v>0.17491489361489354</v>
      </c>
      <c r="R1789" s="46">
        <f t="shared" si="243"/>
        <v>56.734090909090916</v>
      </c>
    </row>
    <row r="1790" spans="2:18" ht="12.75" customHeight="1" x14ac:dyDescent="0.25">
      <c r="B1790" s="17" t="s">
        <v>0</v>
      </c>
      <c r="C1790" s="44" t="s">
        <v>182</v>
      </c>
      <c r="D1790" s="22" t="s">
        <v>9</v>
      </c>
      <c r="E1790" s="20">
        <v>2</v>
      </c>
      <c r="F1790" s="17" t="s">
        <v>261</v>
      </c>
      <c r="G1790" s="17" t="s">
        <v>282</v>
      </c>
      <c r="H1790" s="17" t="s">
        <v>283</v>
      </c>
      <c r="I1790" s="17" t="s">
        <v>284</v>
      </c>
      <c r="J1790" s="27" t="s">
        <v>183</v>
      </c>
      <c r="K1790" s="29">
        <v>342</v>
      </c>
      <c r="L1790" s="31">
        <v>25650</v>
      </c>
      <c r="M1790" s="31">
        <v>3030.2400000023999</v>
      </c>
      <c r="N1790" s="31">
        <v>2323.2800000105999</v>
      </c>
      <c r="O1790" s="34">
        <f t="shared" si="240"/>
        <v>0.11813801169599999</v>
      </c>
      <c r="P1790" s="34">
        <f t="shared" si="241"/>
        <v>0.76669834732851516</v>
      </c>
      <c r="Q1790" s="34">
        <f t="shared" si="242"/>
        <v>0.88186198830399998</v>
      </c>
      <c r="R1790" s="46">
        <f t="shared" si="243"/>
        <v>6.7932163743</v>
      </c>
    </row>
    <row r="1791" spans="2:18" ht="12.75" customHeight="1" x14ac:dyDescent="0.25">
      <c r="B1791" s="17" t="s">
        <v>0</v>
      </c>
      <c r="C1791" s="44" t="s">
        <v>32</v>
      </c>
      <c r="D1791" s="22" t="s">
        <v>2</v>
      </c>
      <c r="E1791" s="20">
        <v>1</v>
      </c>
      <c r="F1791" s="17" t="s">
        <v>261</v>
      </c>
      <c r="G1791" s="17" t="s">
        <v>282</v>
      </c>
      <c r="H1791" s="17" t="s">
        <v>283</v>
      </c>
      <c r="I1791" s="17" t="s">
        <v>284</v>
      </c>
      <c r="J1791" s="27" t="s">
        <v>33</v>
      </c>
      <c r="K1791" s="29">
        <v>38</v>
      </c>
      <c r="L1791" s="31">
        <v>10890</v>
      </c>
      <c r="M1791" s="31">
        <v>1803.889999988</v>
      </c>
      <c r="N1791" s="31">
        <v>1439.020000001</v>
      </c>
      <c r="O1791" s="34">
        <f t="shared" si="240"/>
        <v>0.16564646464536273</v>
      </c>
      <c r="P1791" s="34">
        <f t="shared" si="241"/>
        <v>0.79773156900397069</v>
      </c>
      <c r="Q1791" s="34">
        <f t="shared" si="242"/>
        <v>0.8343535353546373</v>
      </c>
      <c r="R1791" s="46">
        <f t="shared" si="243"/>
        <v>37.868947368447365</v>
      </c>
    </row>
    <row r="1792" spans="2:18" ht="12.75" customHeight="1" x14ac:dyDescent="0.25">
      <c r="B1792" s="17" t="s">
        <v>0</v>
      </c>
      <c r="C1792" s="44" t="s">
        <v>26</v>
      </c>
      <c r="D1792" s="22" t="s">
        <v>9</v>
      </c>
      <c r="E1792" s="20">
        <v>2</v>
      </c>
      <c r="F1792" s="17" t="s">
        <v>261</v>
      </c>
      <c r="G1792" s="17" t="s">
        <v>282</v>
      </c>
      <c r="H1792" s="17" t="s">
        <v>283</v>
      </c>
      <c r="I1792" s="17" t="s">
        <v>284</v>
      </c>
      <c r="J1792" s="27" t="s">
        <v>27</v>
      </c>
      <c r="K1792" s="29">
        <v>16</v>
      </c>
      <c r="L1792" s="31">
        <v>4240</v>
      </c>
      <c r="M1792" s="31">
        <v>1766.14</v>
      </c>
      <c r="N1792" s="31">
        <v>1407.2</v>
      </c>
      <c r="O1792" s="34">
        <f t="shared" si="240"/>
        <v>0.4165424528301887</v>
      </c>
      <c r="P1792" s="34">
        <f t="shared" si="241"/>
        <v>0.79676582830353193</v>
      </c>
      <c r="Q1792" s="34">
        <f t="shared" si="242"/>
        <v>0.58345754716981135</v>
      </c>
      <c r="R1792" s="46">
        <f t="shared" si="243"/>
        <v>87.95</v>
      </c>
    </row>
    <row r="1793" spans="2:18" ht="12.75" customHeight="1" x14ac:dyDescent="0.25">
      <c r="B1793" s="17" t="s">
        <v>0</v>
      </c>
      <c r="C1793" s="44" t="s">
        <v>38</v>
      </c>
      <c r="D1793" s="22" t="s">
        <v>2</v>
      </c>
      <c r="E1793" s="20">
        <v>1</v>
      </c>
      <c r="F1793" s="17" t="s">
        <v>261</v>
      </c>
      <c r="G1793" s="17" t="s">
        <v>282</v>
      </c>
      <c r="H1793" s="17" t="s">
        <v>283</v>
      </c>
      <c r="I1793" s="17" t="s">
        <v>284</v>
      </c>
      <c r="J1793" s="27" t="s">
        <v>39</v>
      </c>
      <c r="K1793" s="29">
        <v>18</v>
      </c>
      <c r="L1793" s="31">
        <v>4392</v>
      </c>
      <c r="M1793" s="31">
        <v>1105.079999994</v>
      </c>
      <c r="N1793" s="31">
        <v>880.50000000600005</v>
      </c>
      <c r="O1793" s="34">
        <f t="shared" si="240"/>
        <v>0.2516120218565574</v>
      </c>
      <c r="P1793" s="34">
        <f t="shared" si="241"/>
        <v>0.79677489413506775</v>
      </c>
      <c r="Q1793" s="34">
        <f t="shared" si="242"/>
        <v>0.7483879781434426</v>
      </c>
      <c r="R1793" s="46">
        <f t="shared" si="243"/>
        <v>48.916666667000001</v>
      </c>
    </row>
    <row r="1794" spans="2:18" ht="12.75" customHeight="1" x14ac:dyDescent="0.25">
      <c r="B1794" s="17" t="s">
        <v>0</v>
      </c>
      <c r="C1794" s="44" t="s">
        <v>56</v>
      </c>
      <c r="D1794" s="22" t="s">
        <v>2</v>
      </c>
      <c r="E1794" s="20">
        <v>1</v>
      </c>
      <c r="F1794" s="17" t="s">
        <v>261</v>
      </c>
      <c r="G1794" s="17" t="s">
        <v>282</v>
      </c>
      <c r="H1794" s="17" t="s">
        <v>283</v>
      </c>
      <c r="I1794" s="17" t="s">
        <v>284</v>
      </c>
      <c r="J1794" s="27" t="s">
        <v>57</v>
      </c>
      <c r="K1794" s="29">
        <v>20</v>
      </c>
      <c r="L1794" s="31">
        <v>6000</v>
      </c>
      <c r="M1794" s="31">
        <v>1034.8399999999999</v>
      </c>
      <c r="N1794" s="31">
        <v>830.55000000000007</v>
      </c>
      <c r="O1794" s="34">
        <f t="shared" si="240"/>
        <v>0.17247333333333331</v>
      </c>
      <c r="P1794" s="34">
        <f t="shared" si="241"/>
        <v>0.80258783966603542</v>
      </c>
      <c r="Q1794" s="34">
        <f t="shared" si="242"/>
        <v>0.82752666666666674</v>
      </c>
      <c r="R1794" s="46">
        <f t="shared" si="243"/>
        <v>41.527500000000003</v>
      </c>
    </row>
    <row r="1795" spans="2:18" ht="12.75" customHeight="1" thickBot="1" x14ac:dyDescent="0.3">
      <c r="B1795" s="15" t="s">
        <v>0</v>
      </c>
      <c r="C1795" s="50" t="s">
        <v>44</v>
      </c>
      <c r="D1795" s="19" t="s">
        <v>2</v>
      </c>
      <c r="E1795" s="16">
        <v>1</v>
      </c>
      <c r="F1795" s="15" t="s">
        <v>261</v>
      </c>
      <c r="G1795" s="15" t="s">
        <v>282</v>
      </c>
      <c r="H1795" s="15" t="s">
        <v>283</v>
      </c>
      <c r="I1795" s="15" t="s">
        <v>284</v>
      </c>
      <c r="J1795" s="24" t="s">
        <v>45</v>
      </c>
      <c r="K1795" s="26">
        <v>18</v>
      </c>
      <c r="L1795" s="28">
        <v>5706</v>
      </c>
      <c r="M1795" s="28">
        <v>637.88000000399995</v>
      </c>
      <c r="N1795" s="28">
        <v>480.81999999600004</v>
      </c>
      <c r="O1795" s="32">
        <f t="shared" si="240"/>
        <v>0.11179109709148265</v>
      </c>
      <c r="P1795" s="32">
        <f t="shared" si="241"/>
        <v>0.75377814007804755</v>
      </c>
      <c r="Q1795" s="32">
        <f t="shared" si="242"/>
        <v>0.88820890290851739</v>
      </c>
      <c r="R1795" s="49">
        <f t="shared" si="243"/>
        <v>26.712222222000001</v>
      </c>
    </row>
    <row r="1796" spans="2:18" ht="17.25" customHeight="1" x14ac:dyDescent="0.25">
      <c r="B1796" s="48"/>
      <c r="C1796" s="58"/>
      <c r="D1796" s="51" t="s">
        <v>366</v>
      </c>
      <c r="E1796" s="52"/>
      <c r="F1796" s="52"/>
      <c r="G1796" s="53"/>
      <c r="H1796" s="53"/>
      <c r="I1796" s="53"/>
      <c r="J1796" s="54"/>
      <c r="K1796" s="55">
        <f>SUM(K1710:K1795)</f>
        <v>3586066</v>
      </c>
      <c r="L1796" s="56">
        <f>SUM(L1710:L1795)</f>
        <v>703248945.4399575</v>
      </c>
      <c r="M1796" s="56">
        <f>SUM(M1710:M1795)</f>
        <v>250414271.19011858</v>
      </c>
      <c r="N1796" s="56">
        <f>SUM(N1710:N1795)</f>
        <v>190814540.5699808</v>
      </c>
      <c r="O1796" s="57">
        <f>IFERROR(M1796/L1796,0)</f>
        <v>0.35608197184491708</v>
      </c>
      <c r="P1796" s="57">
        <f>IFERROR(N1796/M1796,0)</f>
        <v>0.76199547119705213</v>
      </c>
      <c r="Q1796" s="57">
        <f>IFERROR(1-(M1796/L1796),0)</f>
        <v>0.64391802815508292</v>
      </c>
      <c r="R1796" s="59">
        <f>IFERROR(N1796/K1796,0)</f>
        <v>53.209991274555684</v>
      </c>
    </row>
    <row r="1797" spans="2:18" ht="15.75" thickBot="1" x14ac:dyDescent="0.3">
      <c r="B1797" s="60"/>
      <c r="C1797" s="64"/>
      <c r="D1797" s="62" t="s">
        <v>284</v>
      </c>
      <c r="E1797" s="61"/>
      <c r="F1797" s="61"/>
      <c r="G1797" s="61"/>
      <c r="H1797" s="61"/>
      <c r="I1797" s="61"/>
      <c r="J1797" s="61"/>
      <c r="K1797" s="63"/>
      <c r="L1797" s="63"/>
      <c r="M1797" s="63"/>
      <c r="N1797" s="63"/>
      <c r="O1797" s="63"/>
      <c r="P1797" s="63"/>
      <c r="Q1797" s="63"/>
      <c r="R1797" s="65"/>
    </row>
    <row r="1798" spans="2:18" ht="15.75" thickBot="1" x14ac:dyDescent="0.3"/>
    <row r="1799" spans="2:18" ht="15.75" x14ac:dyDescent="0.25">
      <c r="B1799" s="1"/>
      <c r="C1799" s="7" t="s">
        <v>348</v>
      </c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9"/>
    </row>
    <row r="1800" spans="2:18" ht="18" x14ac:dyDescent="0.25">
      <c r="B1800" s="2"/>
      <c r="C1800" s="8" t="s">
        <v>287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10"/>
    </row>
    <row r="1801" spans="2:18" ht="15.75" thickBot="1" x14ac:dyDescent="0.3">
      <c r="B1801" s="3"/>
      <c r="C1801" s="11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12"/>
    </row>
    <row r="1802" spans="2:18" ht="17.25" customHeight="1" thickBot="1" x14ac:dyDescent="0.3">
      <c r="B1802" s="14" t="s">
        <v>349</v>
      </c>
      <c r="C1802" s="18" t="s">
        <v>350</v>
      </c>
      <c r="D1802" s="21" t="s">
        <v>351</v>
      </c>
      <c r="E1802" s="23" t="s">
        <v>352</v>
      </c>
      <c r="F1802" s="21" t="s">
        <v>353</v>
      </c>
      <c r="G1802" s="23" t="s">
        <v>354</v>
      </c>
      <c r="H1802" s="23" t="s">
        <v>355</v>
      </c>
      <c r="I1802" s="23" t="s">
        <v>356</v>
      </c>
      <c r="J1802" s="25" t="s">
        <v>357</v>
      </c>
      <c r="K1802" s="25" t="s">
        <v>358</v>
      </c>
      <c r="L1802" s="30" t="s">
        <v>359</v>
      </c>
      <c r="M1802" s="30" t="s">
        <v>360</v>
      </c>
      <c r="N1802" s="30" t="s">
        <v>361</v>
      </c>
      <c r="O1802" s="33" t="s">
        <v>362</v>
      </c>
      <c r="P1802" s="33" t="s">
        <v>363</v>
      </c>
      <c r="Q1802" s="33" t="s">
        <v>364</v>
      </c>
      <c r="R1802" s="35" t="s">
        <v>365</v>
      </c>
    </row>
    <row r="1803" spans="2:18" ht="12.75" customHeight="1" x14ac:dyDescent="0.25">
      <c r="B1803" s="17" t="s">
        <v>0</v>
      </c>
      <c r="C1803" s="43" t="s">
        <v>22</v>
      </c>
      <c r="D1803" s="37" t="s">
        <v>9</v>
      </c>
      <c r="E1803" s="36">
        <v>2</v>
      </c>
      <c r="F1803" s="38" t="s">
        <v>261</v>
      </c>
      <c r="G1803" s="38" t="s">
        <v>285</v>
      </c>
      <c r="H1803" s="38" t="s">
        <v>286</v>
      </c>
      <c r="I1803" s="38" t="s">
        <v>287</v>
      </c>
      <c r="J1803" s="39" t="s">
        <v>23</v>
      </c>
      <c r="K1803" s="40">
        <v>10296</v>
      </c>
      <c r="L1803" s="41">
        <v>81991138.170021281</v>
      </c>
      <c r="M1803" s="41">
        <v>23352405.829950936</v>
      </c>
      <c r="N1803" s="41">
        <v>18600977.380004186</v>
      </c>
      <c r="O1803" s="42">
        <f t="shared" ref="O1803:O1834" si="244">IFERROR(M1803/L1803,0)</f>
        <v>0.2848162173517596</v>
      </c>
      <c r="P1803" s="42">
        <f t="shared" ref="P1803:P1834" si="245">IFERROR(N1803/M1803,0)</f>
        <v>0.79653366404532322</v>
      </c>
      <c r="Q1803" s="42">
        <f t="shared" ref="Q1803:Q1834" si="246">IFERROR(1-(M1803/L1803),0)</f>
        <v>0.71518378264824034</v>
      </c>
      <c r="R1803" s="45">
        <f t="shared" ref="R1803:R1834" si="247">IFERROR(N1803/K1803,0)</f>
        <v>1806.6217346546412</v>
      </c>
    </row>
    <row r="1804" spans="2:18" ht="12.75" customHeight="1" x14ac:dyDescent="0.25">
      <c r="B1804" s="17" t="s">
        <v>0</v>
      </c>
      <c r="C1804" s="44" t="s">
        <v>98</v>
      </c>
      <c r="D1804" s="22" t="s">
        <v>2</v>
      </c>
      <c r="E1804" s="20">
        <v>1</v>
      </c>
      <c r="F1804" s="17" t="s">
        <v>261</v>
      </c>
      <c r="G1804" s="17" t="s">
        <v>285</v>
      </c>
      <c r="H1804" s="17" t="s">
        <v>286</v>
      </c>
      <c r="I1804" s="17" t="s">
        <v>287</v>
      </c>
      <c r="J1804" s="27" t="s">
        <v>102</v>
      </c>
      <c r="K1804" s="29">
        <v>7538</v>
      </c>
      <c r="L1804" s="31">
        <v>74120365.130289942</v>
      </c>
      <c r="M1804" s="31">
        <v>22606492.089952111</v>
      </c>
      <c r="N1804" s="31">
        <v>17983447.970028672</v>
      </c>
      <c r="O1804" s="34">
        <f t="shared" si="244"/>
        <v>0.30499704163915092</v>
      </c>
      <c r="P1804" s="34">
        <f t="shared" si="245"/>
        <v>0.79549927067285953</v>
      </c>
      <c r="Q1804" s="34">
        <f t="shared" si="246"/>
        <v>0.69500295836084902</v>
      </c>
      <c r="R1804" s="46">
        <f t="shared" si="247"/>
        <v>2385.7054881969584</v>
      </c>
    </row>
    <row r="1805" spans="2:18" ht="12.75" customHeight="1" x14ac:dyDescent="0.25">
      <c r="B1805" s="17" t="s">
        <v>0</v>
      </c>
      <c r="C1805" s="44" t="s">
        <v>14</v>
      </c>
      <c r="D1805" s="22" t="s">
        <v>9</v>
      </c>
      <c r="E1805" s="20">
        <v>2</v>
      </c>
      <c r="F1805" s="17" t="s">
        <v>261</v>
      </c>
      <c r="G1805" s="17" t="s">
        <v>285</v>
      </c>
      <c r="H1805" s="17" t="s">
        <v>286</v>
      </c>
      <c r="I1805" s="17" t="s">
        <v>287</v>
      </c>
      <c r="J1805" s="27" t="s">
        <v>15</v>
      </c>
      <c r="K1805" s="29">
        <v>6436</v>
      </c>
      <c r="L1805" s="31">
        <v>49878008.059937835</v>
      </c>
      <c r="M1805" s="31">
        <v>14337033.780011587</v>
      </c>
      <c r="N1805" s="31">
        <v>11399384.729974234</v>
      </c>
      <c r="O1805" s="34">
        <f t="shared" si="244"/>
        <v>0.28744198771496521</v>
      </c>
      <c r="P1805" s="34">
        <f t="shared" si="245"/>
        <v>0.79510063970603417</v>
      </c>
      <c r="Q1805" s="34">
        <f t="shared" si="246"/>
        <v>0.71255801228503479</v>
      </c>
      <c r="R1805" s="46">
        <f t="shared" si="247"/>
        <v>1771.1909151606951</v>
      </c>
    </row>
    <row r="1806" spans="2:18" ht="12.75" customHeight="1" x14ac:dyDescent="0.25">
      <c r="B1806" s="17" t="s">
        <v>0</v>
      </c>
      <c r="C1806" s="44" t="s">
        <v>18</v>
      </c>
      <c r="D1806" s="22" t="s">
        <v>9</v>
      </c>
      <c r="E1806" s="20">
        <v>2</v>
      </c>
      <c r="F1806" s="17" t="s">
        <v>261</v>
      </c>
      <c r="G1806" s="17" t="s">
        <v>285</v>
      </c>
      <c r="H1806" s="17" t="s">
        <v>286</v>
      </c>
      <c r="I1806" s="17" t="s">
        <v>287</v>
      </c>
      <c r="J1806" s="27" t="s">
        <v>19</v>
      </c>
      <c r="K1806" s="29">
        <v>9283</v>
      </c>
      <c r="L1806" s="31">
        <v>57276823.079946309</v>
      </c>
      <c r="M1806" s="31">
        <v>14098239.420010606</v>
      </c>
      <c r="N1806" s="31">
        <v>11230084.990003135</v>
      </c>
      <c r="O1806" s="34">
        <f t="shared" si="244"/>
        <v>0.24614213327321682</v>
      </c>
      <c r="P1806" s="34">
        <f t="shared" si="245"/>
        <v>0.79655938982448393</v>
      </c>
      <c r="Q1806" s="34">
        <f t="shared" si="246"/>
        <v>0.75385786672678323</v>
      </c>
      <c r="R1806" s="46">
        <f t="shared" si="247"/>
        <v>1209.7473866210423</v>
      </c>
    </row>
    <row r="1807" spans="2:18" ht="12.75" customHeight="1" x14ac:dyDescent="0.25">
      <c r="B1807" s="17" t="s">
        <v>0</v>
      </c>
      <c r="C1807" s="44" t="s">
        <v>26</v>
      </c>
      <c r="D1807" s="22" t="s">
        <v>9</v>
      </c>
      <c r="E1807" s="20">
        <v>2</v>
      </c>
      <c r="F1807" s="17" t="s">
        <v>261</v>
      </c>
      <c r="G1807" s="17" t="s">
        <v>285</v>
      </c>
      <c r="H1807" s="17" t="s">
        <v>286</v>
      </c>
      <c r="I1807" s="17" t="s">
        <v>287</v>
      </c>
      <c r="J1807" s="27" t="s">
        <v>27</v>
      </c>
      <c r="K1807" s="29">
        <v>6205</v>
      </c>
      <c r="L1807" s="31">
        <v>33392117.290063385</v>
      </c>
      <c r="M1807" s="31">
        <v>9606116.4900105726</v>
      </c>
      <c r="N1807" s="31">
        <v>7639401.0199951436</v>
      </c>
      <c r="O1807" s="34">
        <f t="shared" si="244"/>
        <v>0.28767617239021559</v>
      </c>
      <c r="P1807" s="34">
        <f t="shared" si="245"/>
        <v>0.79526424939145579</v>
      </c>
      <c r="Q1807" s="34">
        <f t="shared" si="246"/>
        <v>0.71232382760978441</v>
      </c>
      <c r="R1807" s="46">
        <f t="shared" si="247"/>
        <v>1231.1685769532867</v>
      </c>
    </row>
    <row r="1808" spans="2:18" ht="12.75" customHeight="1" x14ac:dyDescent="0.25">
      <c r="B1808" s="17" t="s">
        <v>0</v>
      </c>
      <c r="C1808" s="44" t="s">
        <v>36</v>
      </c>
      <c r="D1808" s="22" t="s">
        <v>9</v>
      </c>
      <c r="E1808" s="20">
        <v>2</v>
      </c>
      <c r="F1808" s="17" t="s">
        <v>261</v>
      </c>
      <c r="G1808" s="17" t="s">
        <v>285</v>
      </c>
      <c r="H1808" s="17" t="s">
        <v>286</v>
      </c>
      <c r="I1808" s="17" t="s">
        <v>287</v>
      </c>
      <c r="J1808" s="27" t="s">
        <v>37</v>
      </c>
      <c r="K1808" s="29">
        <v>6565</v>
      </c>
      <c r="L1808" s="31">
        <v>20219687.000000507</v>
      </c>
      <c r="M1808" s="31">
        <v>6014269.5300173461</v>
      </c>
      <c r="N1808" s="31">
        <v>4756706.5899992269</v>
      </c>
      <c r="O1808" s="34">
        <f t="shared" si="244"/>
        <v>0.29744622308036694</v>
      </c>
      <c r="P1808" s="34">
        <f t="shared" si="245"/>
        <v>0.79090346155229718</v>
      </c>
      <c r="Q1808" s="34">
        <f t="shared" si="246"/>
        <v>0.70255377691963306</v>
      </c>
      <c r="R1808" s="46">
        <f t="shared" si="247"/>
        <v>724.55545925349986</v>
      </c>
    </row>
    <row r="1809" spans="2:18" ht="12.75" customHeight="1" x14ac:dyDescent="0.25">
      <c r="B1809" s="17" t="s">
        <v>0</v>
      </c>
      <c r="C1809" s="44" t="s">
        <v>12</v>
      </c>
      <c r="D1809" s="22" t="s">
        <v>9</v>
      </c>
      <c r="E1809" s="20">
        <v>2</v>
      </c>
      <c r="F1809" s="17" t="s">
        <v>261</v>
      </c>
      <c r="G1809" s="17" t="s">
        <v>285</v>
      </c>
      <c r="H1809" s="17" t="s">
        <v>286</v>
      </c>
      <c r="I1809" s="17" t="s">
        <v>287</v>
      </c>
      <c r="J1809" s="27" t="s">
        <v>13</v>
      </c>
      <c r="K1809" s="29">
        <v>2852</v>
      </c>
      <c r="L1809" s="31">
        <v>21496090.99999788</v>
      </c>
      <c r="M1809" s="31">
        <v>5810918.2999857701</v>
      </c>
      <c r="N1809" s="31">
        <v>4628569.7100006454</v>
      </c>
      <c r="O1809" s="34">
        <f t="shared" si="244"/>
        <v>0.27032441851806188</v>
      </c>
      <c r="P1809" s="34">
        <f t="shared" si="245"/>
        <v>0.79652982042648579</v>
      </c>
      <c r="Q1809" s="34">
        <f t="shared" si="246"/>
        <v>0.72967558148193812</v>
      </c>
      <c r="R1809" s="46">
        <f t="shared" si="247"/>
        <v>1622.9206556804506</v>
      </c>
    </row>
    <row r="1810" spans="2:18" ht="12.75" customHeight="1" x14ac:dyDescent="0.25">
      <c r="B1810" s="17" t="s">
        <v>0</v>
      </c>
      <c r="C1810" s="44" t="s">
        <v>24</v>
      </c>
      <c r="D1810" s="22" t="s">
        <v>9</v>
      </c>
      <c r="E1810" s="20">
        <v>2</v>
      </c>
      <c r="F1810" s="17" t="s">
        <v>261</v>
      </c>
      <c r="G1810" s="17" t="s">
        <v>285</v>
      </c>
      <c r="H1810" s="17" t="s">
        <v>286</v>
      </c>
      <c r="I1810" s="17" t="s">
        <v>287</v>
      </c>
      <c r="J1810" s="27" t="s">
        <v>25</v>
      </c>
      <c r="K1810" s="29">
        <v>3655</v>
      </c>
      <c r="L1810" s="31">
        <v>11259059.02999156</v>
      </c>
      <c r="M1810" s="31">
        <v>3695626.9800009876</v>
      </c>
      <c r="N1810" s="31">
        <v>2922406.0700034034</v>
      </c>
      <c r="O1810" s="34">
        <f t="shared" si="244"/>
        <v>0.32823586501826502</v>
      </c>
      <c r="P1810" s="34">
        <f t="shared" si="245"/>
        <v>0.79077409214136174</v>
      </c>
      <c r="Q1810" s="34">
        <f t="shared" si="246"/>
        <v>0.67176413498173493</v>
      </c>
      <c r="R1810" s="46">
        <f t="shared" si="247"/>
        <v>799.56390424169717</v>
      </c>
    </row>
    <row r="1811" spans="2:18" ht="12.75" customHeight="1" x14ac:dyDescent="0.25">
      <c r="B1811" s="17" t="s">
        <v>0</v>
      </c>
      <c r="C1811" s="44" t="s">
        <v>30</v>
      </c>
      <c r="D1811" s="22" t="s">
        <v>9</v>
      </c>
      <c r="E1811" s="20">
        <v>2</v>
      </c>
      <c r="F1811" s="17" t="s">
        <v>261</v>
      </c>
      <c r="G1811" s="17" t="s">
        <v>285</v>
      </c>
      <c r="H1811" s="17" t="s">
        <v>286</v>
      </c>
      <c r="I1811" s="17" t="s">
        <v>287</v>
      </c>
      <c r="J1811" s="27" t="s">
        <v>31</v>
      </c>
      <c r="K1811" s="29">
        <v>4068</v>
      </c>
      <c r="L1811" s="31">
        <v>12431581.579999717</v>
      </c>
      <c r="M1811" s="31">
        <v>3566489.2399969809</v>
      </c>
      <c r="N1811" s="31">
        <v>2827237.8499909919</v>
      </c>
      <c r="O1811" s="34">
        <f t="shared" si="244"/>
        <v>0.28688942087102182</v>
      </c>
      <c r="P1811" s="34">
        <f t="shared" si="245"/>
        <v>0.7927229439765211</v>
      </c>
      <c r="Q1811" s="34">
        <f t="shared" si="246"/>
        <v>0.71311057912897824</v>
      </c>
      <c r="R1811" s="46">
        <f t="shared" si="247"/>
        <v>694.99455506169909</v>
      </c>
    </row>
    <row r="1812" spans="2:18" ht="12.75" customHeight="1" x14ac:dyDescent="0.25">
      <c r="B1812" s="17" t="s">
        <v>0</v>
      </c>
      <c r="C1812" s="44" t="s">
        <v>42</v>
      </c>
      <c r="D1812" s="22" t="s">
        <v>9</v>
      </c>
      <c r="E1812" s="20">
        <v>2</v>
      </c>
      <c r="F1812" s="17" t="s">
        <v>261</v>
      </c>
      <c r="G1812" s="17" t="s">
        <v>285</v>
      </c>
      <c r="H1812" s="17" t="s">
        <v>286</v>
      </c>
      <c r="I1812" s="17" t="s">
        <v>287</v>
      </c>
      <c r="J1812" s="27" t="s">
        <v>43</v>
      </c>
      <c r="K1812" s="29">
        <v>1269</v>
      </c>
      <c r="L1812" s="31">
        <v>13619798.409993699</v>
      </c>
      <c r="M1812" s="31">
        <v>3188084.0099937562</v>
      </c>
      <c r="N1812" s="31">
        <v>2520235.4200012581</v>
      </c>
      <c r="O1812" s="34">
        <f t="shared" si="244"/>
        <v>0.2340771804415592</v>
      </c>
      <c r="P1812" s="34">
        <f t="shared" si="245"/>
        <v>0.79051725490953861</v>
      </c>
      <c r="Q1812" s="34">
        <f t="shared" si="246"/>
        <v>0.76592281955844077</v>
      </c>
      <c r="R1812" s="46">
        <f t="shared" si="247"/>
        <v>1986.0011189923232</v>
      </c>
    </row>
    <row r="1813" spans="2:18" ht="12.75" customHeight="1" x14ac:dyDescent="0.25">
      <c r="B1813" s="17" t="s">
        <v>0</v>
      </c>
      <c r="C1813" s="44" t="s">
        <v>22</v>
      </c>
      <c r="D1813" s="22" t="s">
        <v>2</v>
      </c>
      <c r="E1813" s="20">
        <v>1</v>
      </c>
      <c r="F1813" s="17" t="s">
        <v>261</v>
      </c>
      <c r="G1813" s="17" t="s">
        <v>285</v>
      </c>
      <c r="H1813" s="17" t="s">
        <v>286</v>
      </c>
      <c r="I1813" s="17" t="s">
        <v>287</v>
      </c>
      <c r="J1813" s="27" t="s">
        <v>23</v>
      </c>
      <c r="K1813" s="29">
        <v>5854</v>
      </c>
      <c r="L1813" s="31">
        <v>15627114.450006418</v>
      </c>
      <c r="M1813" s="31">
        <v>2810514.1800026321</v>
      </c>
      <c r="N1813" s="31">
        <v>2232823.0100020878</v>
      </c>
      <c r="O1813" s="34">
        <f t="shared" si="244"/>
        <v>0.17984856954839015</v>
      </c>
      <c r="P1813" s="34">
        <f t="shared" si="245"/>
        <v>0.79445356507683473</v>
      </c>
      <c r="Q1813" s="34">
        <f t="shared" si="246"/>
        <v>0.82015143045160988</v>
      </c>
      <c r="R1813" s="46">
        <f t="shared" si="247"/>
        <v>381.41834813838193</v>
      </c>
    </row>
    <row r="1814" spans="2:18" ht="12.75" customHeight="1" x14ac:dyDescent="0.25">
      <c r="B1814" s="17" t="s">
        <v>0</v>
      </c>
      <c r="C1814" s="44" t="s">
        <v>18</v>
      </c>
      <c r="D1814" s="22" t="s">
        <v>2</v>
      </c>
      <c r="E1814" s="20">
        <v>1</v>
      </c>
      <c r="F1814" s="17" t="s">
        <v>261</v>
      </c>
      <c r="G1814" s="17" t="s">
        <v>285</v>
      </c>
      <c r="H1814" s="17" t="s">
        <v>286</v>
      </c>
      <c r="I1814" s="17" t="s">
        <v>287</v>
      </c>
      <c r="J1814" s="27" t="s">
        <v>19</v>
      </c>
      <c r="K1814" s="29">
        <v>6011</v>
      </c>
      <c r="L1814" s="31">
        <v>9491205.6299910191</v>
      </c>
      <c r="M1814" s="31">
        <v>1331373.099999229</v>
      </c>
      <c r="N1814" s="31">
        <v>1056588.0300017993</v>
      </c>
      <c r="O1814" s="34">
        <f t="shared" si="244"/>
        <v>0.14027439209537901</v>
      </c>
      <c r="P1814" s="34">
        <f t="shared" si="245"/>
        <v>0.79360776479741946</v>
      </c>
      <c r="Q1814" s="34">
        <f t="shared" si="246"/>
        <v>0.85972560790462094</v>
      </c>
      <c r="R1814" s="46">
        <f t="shared" si="247"/>
        <v>175.77574945962391</v>
      </c>
    </row>
    <row r="1815" spans="2:18" ht="12.75" customHeight="1" x14ac:dyDescent="0.25">
      <c r="B1815" s="17" t="s">
        <v>0</v>
      </c>
      <c r="C1815" s="44" t="s">
        <v>7</v>
      </c>
      <c r="D1815" s="22" t="s">
        <v>2</v>
      </c>
      <c r="E1815" s="20">
        <v>1</v>
      </c>
      <c r="F1815" s="17" t="s">
        <v>261</v>
      </c>
      <c r="G1815" s="17" t="s">
        <v>285</v>
      </c>
      <c r="H1815" s="17" t="s">
        <v>286</v>
      </c>
      <c r="I1815" s="17" t="s">
        <v>287</v>
      </c>
      <c r="J1815" s="27" t="s">
        <v>8</v>
      </c>
      <c r="K1815" s="29">
        <v>25437</v>
      </c>
      <c r="L1815" s="31">
        <v>18322309.200004194</v>
      </c>
      <c r="M1815" s="31">
        <v>1234877.2799996694</v>
      </c>
      <c r="N1815" s="31">
        <v>981700.82000006316</v>
      </c>
      <c r="O1815" s="34">
        <f t="shared" si="244"/>
        <v>6.7397469746847558E-2</v>
      </c>
      <c r="P1815" s="34">
        <f t="shared" si="245"/>
        <v>0.79497844514584148</v>
      </c>
      <c r="Q1815" s="34">
        <f t="shared" si="246"/>
        <v>0.93260253025315243</v>
      </c>
      <c r="R1815" s="46">
        <f t="shared" si="247"/>
        <v>38.593419821522318</v>
      </c>
    </row>
    <row r="1816" spans="2:18" ht="12.75" customHeight="1" x14ac:dyDescent="0.25">
      <c r="B1816" s="17" t="s">
        <v>0</v>
      </c>
      <c r="C1816" s="44" t="s">
        <v>54</v>
      </c>
      <c r="D1816" s="22" t="s">
        <v>9</v>
      </c>
      <c r="E1816" s="20">
        <v>2</v>
      </c>
      <c r="F1816" s="17" t="s">
        <v>261</v>
      </c>
      <c r="G1816" s="17" t="s">
        <v>285</v>
      </c>
      <c r="H1816" s="17" t="s">
        <v>286</v>
      </c>
      <c r="I1816" s="17" t="s">
        <v>287</v>
      </c>
      <c r="J1816" s="27" t="s">
        <v>55</v>
      </c>
      <c r="K1816" s="29">
        <v>2749</v>
      </c>
      <c r="L1816" s="31">
        <v>5974127.2099987175</v>
      </c>
      <c r="M1816" s="31">
        <v>1220392.2699967958</v>
      </c>
      <c r="N1816" s="31">
        <v>962081.09999303089</v>
      </c>
      <c r="O1816" s="34">
        <f t="shared" si="244"/>
        <v>0.20427959216440217</v>
      </c>
      <c r="P1816" s="34">
        <f t="shared" si="245"/>
        <v>0.78833758918807051</v>
      </c>
      <c r="Q1816" s="34">
        <f t="shared" si="246"/>
        <v>0.79572040783559783</v>
      </c>
      <c r="R1816" s="46">
        <f t="shared" si="247"/>
        <v>349.97493633795233</v>
      </c>
    </row>
    <row r="1817" spans="2:18" ht="12.75" customHeight="1" x14ac:dyDescent="0.25">
      <c r="B1817" s="17" t="s">
        <v>0</v>
      </c>
      <c r="C1817" s="44" t="s">
        <v>24</v>
      </c>
      <c r="D1817" s="22" t="s">
        <v>2</v>
      </c>
      <c r="E1817" s="20">
        <v>1</v>
      </c>
      <c r="F1817" s="17" t="s">
        <v>261</v>
      </c>
      <c r="G1817" s="17" t="s">
        <v>285</v>
      </c>
      <c r="H1817" s="17" t="s">
        <v>286</v>
      </c>
      <c r="I1817" s="17" t="s">
        <v>287</v>
      </c>
      <c r="J1817" s="27" t="s">
        <v>25</v>
      </c>
      <c r="K1817" s="29">
        <v>4889</v>
      </c>
      <c r="L1817" s="31">
        <v>4046424.1300024609</v>
      </c>
      <c r="M1817" s="31">
        <v>1150501.5400026187</v>
      </c>
      <c r="N1817" s="31">
        <v>906422.20000188728</v>
      </c>
      <c r="O1817" s="34">
        <f t="shared" si="244"/>
        <v>0.2843254940756591</v>
      </c>
      <c r="P1817" s="34">
        <f t="shared" si="245"/>
        <v>0.78784961904512019</v>
      </c>
      <c r="Q1817" s="34">
        <f t="shared" si="246"/>
        <v>0.7156745059243409</v>
      </c>
      <c r="R1817" s="46">
        <f t="shared" si="247"/>
        <v>185.40032726567546</v>
      </c>
    </row>
    <row r="1818" spans="2:18" ht="12.75" customHeight="1" x14ac:dyDescent="0.25">
      <c r="B1818" s="17" t="s">
        <v>0</v>
      </c>
      <c r="C1818" s="44" t="s">
        <v>26</v>
      </c>
      <c r="D1818" s="22" t="s">
        <v>2</v>
      </c>
      <c r="E1818" s="20">
        <v>1</v>
      </c>
      <c r="F1818" s="17" t="s">
        <v>261</v>
      </c>
      <c r="G1818" s="17" t="s">
        <v>285</v>
      </c>
      <c r="H1818" s="17" t="s">
        <v>286</v>
      </c>
      <c r="I1818" s="17" t="s">
        <v>287</v>
      </c>
      <c r="J1818" s="27" t="s">
        <v>27</v>
      </c>
      <c r="K1818" s="29">
        <v>3005</v>
      </c>
      <c r="L1818" s="31">
        <v>6484252.5099883303</v>
      </c>
      <c r="M1818" s="31">
        <v>789552.05999927677</v>
      </c>
      <c r="N1818" s="31">
        <v>629410.6999987982</v>
      </c>
      <c r="O1818" s="34">
        <f t="shared" si="244"/>
        <v>0.12176454553289716</v>
      </c>
      <c r="P1818" s="34">
        <f t="shared" si="245"/>
        <v>0.79717441304551184</v>
      </c>
      <c r="Q1818" s="34">
        <f t="shared" si="246"/>
        <v>0.87823545446710283</v>
      </c>
      <c r="R1818" s="46">
        <f t="shared" si="247"/>
        <v>209.45447587314416</v>
      </c>
    </row>
    <row r="1819" spans="2:18" ht="12.75" customHeight="1" x14ac:dyDescent="0.25">
      <c r="B1819" s="17" t="s">
        <v>0</v>
      </c>
      <c r="C1819" s="44" t="s">
        <v>221</v>
      </c>
      <c r="D1819" s="22" t="s">
        <v>9</v>
      </c>
      <c r="E1819" s="20">
        <v>2</v>
      </c>
      <c r="F1819" s="17" t="s">
        <v>261</v>
      </c>
      <c r="G1819" s="17" t="s">
        <v>285</v>
      </c>
      <c r="H1819" s="17" t="s">
        <v>286</v>
      </c>
      <c r="I1819" s="17" t="s">
        <v>287</v>
      </c>
      <c r="J1819" s="27" t="s">
        <v>222</v>
      </c>
      <c r="K1819" s="29">
        <v>835</v>
      </c>
      <c r="L1819" s="31">
        <v>2376937.2000000002</v>
      </c>
      <c r="M1819" s="31">
        <v>700640.95997382002</v>
      </c>
      <c r="N1819" s="31">
        <v>556925.68000435806</v>
      </c>
      <c r="O1819" s="34">
        <f t="shared" si="244"/>
        <v>0.29476628998604587</v>
      </c>
      <c r="P1819" s="34">
        <f t="shared" si="245"/>
        <v>0.79488027651875792</v>
      </c>
      <c r="Q1819" s="34">
        <f t="shared" si="246"/>
        <v>0.70523371001395407</v>
      </c>
      <c r="R1819" s="46">
        <f t="shared" si="247"/>
        <v>666.97686228066834</v>
      </c>
    </row>
    <row r="1820" spans="2:18" ht="12.75" customHeight="1" x14ac:dyDescent="0.25">
      <c r="B1820" s="17" t="s">
        <v>0</v>
      </c>
      <c r="C1820" s="44" t="s">
        <v>36</v>
      </c>
      <c r="D1820" s="22" t="s">
        <v>2</v>
      </c>
      <c r="E1820" s="20">
        <v>1</v>
      </c>
      <c r="F1820" s="17" t="s">
        <v>261</v>
      </c>
      <c r="G1820" s="17" t="s">
        <v>285</v>
      </c>
      <c r="H1820" s="17" t="s">
        <v>286</v>
      </c>
      <c r="I1820" s="17" t="s">
        <v>287</v>
      </c>
      <c r="J1820" s="27" t="s">
        <v>37</v>
      </c>
      <c r="K1820" s="29">
        <v>1647</v>
      </c>
      <c r="L1820" s="31">
        <v>3095120.1599996695</v>
      </c>
      <c r="M1820" s="31">
        <v>573559.45999876794</v>
      </c>
      <c r="N1820" s="31">
        <v>454480.53000042605</v>
      </c>
      <c r="O1820" s="34">
        <f t="shared" si="244"/>
        <v>0.18531088628198175</v>
      </c>
      <c r="P1820" s="34">
        <f t="shared" si="245"/>
        <v>0.79238607624291002</v>
      </c>
      <c r="Q1820" s="34">
        <f t="shared" si="246"/>
        <v>0.81468911371801822</v>
      </c>
      <c r="R1820" s="46">
        <f t="shared" si="247"/>
        <v>275.94446265963938</v>
      </c>
    </row>
    <row r="1821" spans="2:18" ht="12.75" customHeight="1" x14ac:dyDescent="0.25">
      <c r="B1821" s="17" t="s">
        <v>0</v>
      </c>
      <c r="C1821" s="44" t="s">
        <v>64</v>
      </c>
      <c r="D1821" s="22" t="s">
        <v>9</v>
      </c>
      <c r="E1821" s="20">
        <v>2</v>
      </c>
      <c r="F1821" s="17" t="s">
        <v>261</v>
      </c>
      <c r="G1821" s="17" t="s">
        <v>285</v>
      </c>
      <c r="H1821" s="17" t="s">
        <v>286</v>
      </c>
      <c r="I1821" s="17" t="s">
        <v>287</v>
      </c>
      <c r="J1821" s="27" t="s">
        <v>65</v>
      </c>
      <c r="K1821" s="29">
        <v>643</v>
      </c>
      <c r="L1821" s="31">
        <v>1926086</v>
      </c>
      <c r="M1821" s="31">
        <v>513970.83000279998</v>
      </c>
      <c r="N1821" s="31">
        <v>406448.09999951598</v>
      </c>
      <c r="O1821" s="34">
        <f t="shared" si="244"/>
        <v>0.26684729030936311</v>
      </c>
      <c r="P1821" s="34">
        <f t="shared" si="245"/>
        <v>0.79079993702619611</v>
      </c>
      <c r="Q1821" s="34">
        <f t="shared" si="246"/>
        <v>0.73315270969063695</v>
      </c>
      <c r="R1821" s="46">
        <f t="shared" si="247"/>
        <v>632.11213063688331</v>
      </c>
    </row>
    <row r="1822" spans="2:18" ht="12.75" customHeight="1" x14ac:dyDescent="0.25">
      <c r="B1822" s="17" t="s">
        <v>0</v>
      </c>
      <c r="C1822" s="44" t="s">
        <v>103</v>
      </c>
      <c r="D1822" s="22" t="s">
        <v>9</v>
      </c>
      <c r="E1822" s="20">
        <v>2</v>
      </c>
      <c r="F1822" s="17" t="s">
        <v>261</v>
      </c>
      <c r="G1822" s="17" t="s">
        <v>285</v>
      </c>
      <c r="H1822" s="17" t="s">
        <v>286</v>
      </c>
      <c r="I1822" s="17" t="s">
        <v>287</v>
      </c>
      <c r="J1822" s="27" t="s">
        <v>104</v>
      </c>
      <c r="K1822" s="29">
        <v>460</v>
      </c>
      <c r="L1822" s="31">
        <v>2015800.0000000601</v>
      </c>
      <c r="M1822" s="31">
        <v>459845.09000514995</v>
      </c>
      <c r="N1822" s="31">
        <v>364258.44000154996</v>
      </c>
      <c r="O1822" s="34">
        <f t="shared" si="244"/>
        <v>0.22812039389083055</v>
      </c>
      <c r="P1822" s="34">
        <f t="shared" si="245"/>
        <v>0.79213293328296819</v>
      </c>
      <c r="Q1822" s="34">
        <f t="shared" si="246"/>
        <v>0.7718796061091695</v>
      </c>
      <c r="R1822" s="46">
        <f t="shared" si="247"/>
        <v>791.866173916413</v>
      </c>
    </row>
    <row r="1823" spans="2:18" ht="12.75" customHeight="1" x14ac:dyDescent="0.25">
      <c r="B1823" s="17" t="s">
        <v>0</v>
      </c>
      <c r="C1823" s="44" t="s">
        <v>42</v>
      </c>
      <c r="D1823" s="22" t="s">
        <v>2</v>
      </c>
      <c r="E1823" s="20">
        <v>1</v>
      </c>
      <c r="F1823" s="17" t="s">
        <v>261</v>
      </c>
      <c r="G1823" s="17" t="s">
        <v>285</v>
      </c>
      <c r="H1823" s="17" t="s">
        <v>286</v>
      </c>
      <c r="I1823" s="17" t="s">
        <v>287</v>
      </c>
      <c r="J1823" s="27" t="s">
        <v>43</v>
      </c>
      <c r="K1823" s="29">
        <v>631</v>
      </c>
      <c r="L1823" s="31">
        <v>2338321.1999998298</v>
      </c>
      <c r="M1823" s="31">
        <v>426712.209998985</v>
      </c>
      <c r="N1823" s="31">
        <v>339232.63999975001</v>
      </c>
      <c r="O1823" s="34">
        <f t="shared" si="244"/>
        <v>0.18248656771320212</v>
      </c>
      <c r="P1823" s="34">
        <f t="shared" si="245"/>
        <v>0.79499164085451623</v>
      </c>
      <c r="Q1823" s="34">
        <f t="shared" si="246"/>
        <v>0.81751343228679785</v>
      </c>
      <c r="R1823" s="46">
        <f t="shared" si="247"/>
        <v>537.61115689342319</v>
      </c>
    </row>
    <row r="1824" spans="2:18" ht="12.75" customHeight="1" x14ac:dyDescent="0.25">
      <c r="B1824" s="17" t="s">
        <v>0</v>
      </c>
      <c r="C1824" s="44" t="s">
        <v>46</v>
      </c>
      <c r="D1824" s="22" t="s">
        <v>9</v>
      </c>
      <c r="E1824" s="20">
        <v>2</v>
      </c>
      <c r="F1824" s="17" t="s">
        <v>261</v>
      </c>
      <c r="G1824" s="17" t="s">
        <v>285</v>
      </c>
      <c r="H1824" s="17" t="s">
        <v>286</v>
      </c>
      <c r="I1824" s="17" t="s">
        <v>287</v>
      </c>
      <c r="J1824" s="27" t="s">
        <v>47</v>
      </c>
      <c r="K1824" s="29">
        <v>899</v>
      </c>
      <c r="L1824" s="31">
        <v>1879381.0199998801</v>
      </c>
      <c r="M1824" s="31">
        <v>423802.54999380012</v>
      </c>
      <c r="N1824" s="31">
        <v>335660.58999955206</v>
      </c>
      <c r="O1824" s="34">
        <f t="shared" si="244"/>
        <v>0.22550113334326807</v>
      </c>
      <c r="P1824" s="34">
        <f t="shared" si="245"/>
        <v>0.79202116647118448</v>
      </c>
      <c r="Q1824" s="34">
        <f t="shared" si="246"/>
        <v>0.77449886665673195</v>
      </c>
      <c r="R1824" s="46">
        <f t="shared" si="247"/>
        <v>373.3710678526719</v>
      </c>
    </row>
    <row r="1825" spans="2:18" ht="12.75" customHeight="1" x14ac:dyDescent="0.25">
      <c r="B1825" s="17" t="s">
        <v>0</v>
      </c>
      <c r="C1825" s="44" t="s">
        <v>28</v>
      </c>
      <c r="D1825" s="22" t="s">
        <v>9</v>
      </c>
      <c r="E1825" s="20">
        <v>2</v>
      </c>
      <c r="F1825" s="17" t="s">
        <v>261</v>
      </c>
      <c r="G1825" s="17" t="s">
        <v>285</v>
      </c>
      <c r="H1825" s="17" t="s">
        <v>286</v>
      </c>
      <c r="I1825" s="17" t="s">
        <v>287</v>
      </c>
      <c r="J1825" s="27" t="s">
        <v>29</v>
      </c>
      <c r="K1825" s="29">
        <v>594</v>
      </c>
      <c r="L1825" s="31">
        <v>1718170.26000216</v>
      </c>
      <c r="M1825" s="31">
        <v>406741.85000467999</v>
      </c>
      <c r="N1825" s="31">
        <v>322810.47000031598</v>
      </c>
      <c r="O1825" s="34">
        <f t="shared" si="244"/>
        <v>0.23672965332560736</v>
      </c>
      <c r="P1825" s="34">
        <f t="shared" si="245"/>
        <v>0.79364951011704776</v>
      </c>
      <c r="Q1825" s="34">
        <f t="shared" si="246"/>
        <v>0.76327034667439264</v>
      </c>
      <c r="R1825" s="46">
        <f t="shared" si="247"/>
        <v>543.45196969750168</v>
      </c>
    </row>
    <row r="1826" spans="2:18" ht="12.75" customHeight="1" x14ac:dyDescent="0.25">
      <c r="B1826" s="17" t="s">
        <v>0</v>
      </c>
      <c r="C1826" s="44" t="s">
        <v>184</v>
      </c>
      <c r="D1826" s="22" t="s">
        <v>9</v>
      </c>
      <c r="E1826" s="20">
        <v>2</v>
      </c>
      <c r="F1826" s="17" t="s">
        <v>261</v>
      </c>
      <c r="G1826" s="17" t="s">
        <v>285</v>
      </c>
      <c r="H1826" s="17" t="s">
        <v>286</v>
      </c>
      <c r="I1826" s="17" t="s">
        <v>287</v>
      </c>
      <c r="J1826" s="27" t="s">
        <v>185</v>
      </c>
      <c r="K1826" s="29">
        <v>294</v>
      </c>
      <c r="L1826" s="31">
        <v>355611.74000879994</v>
      </c>
      <c r="M1826" s="31">
        <v>320691.48999139998</v>
      </c>
      <c r="N1826" s="31">
        <v>255430.66000081002</v>
      </c>
      <c r="O1826" s="34">
        <f t="shared" si="244"/>
        <v>0.90180231390410281</v>
      </c>
      <c r="P1826" s="34">
        <f t="shared" si="245"/>
        <v>0.79649965144899837</v>
      </c>
      <c r="Q1826" s="34">
        <f t="shared" si="246"/>
        <v>9.8197686095897185E-2</v>
      </c>
      <c r="R1826" s="46">
        <f t="shared" si="247"/>
        <v>868.8117687102382</v>
      </c>
    </row>
    <row r="1827" spans="2:18" ht="12.75" customHeight="1" x14ac:dyDescent="0.25">
      <c r="B1827" s="17" t="s">
        <v>0</v>
      </c>
      <c r="C1827" s="44" t="s">
        <v>64</v>
      </c>
      <c r="D1827" s="22" t="s">
        <v>2</v>
      </c>
      <c r="E1827" s="20">
        <v>1</v>
      </c>
      <c r="F1827" s="17" t="s">
        <v>261</v>
      </c>
      <c r="G1827" s="17" t="s">
        <v>285</v>
      </c>
      <c r="H1827" s="17" t="s">
        <v>286</v>
      </c>
      <c r="I1827" s="17" t="s">
        <v>287</v>
      </c>
      <c r="J1827" s="27" t="s">
        <v>65</v>
      </c>
      <c r="K1827" s="29">
        <v>879</v>
      </c>
      <c r="L1827" s="31">
        <v>963748.61</v>
      </c>
      <c r="M1827" s="31">
        <v>298337.13999953598</v>
      </c>
      <c r="N1827" s="31">
        <v>236713.44000014305</v>
      </c>
      <c r="O1827" s="34">
        <f t="shared" si="244"/>
        <v>0.30955908719757946</v>
      </c>
      <c r="P1827" s="34">
        <f t="shared" si="245"/>
        <v>0.79344274735794285</v>
      </c>
      <c r="Q1827" s="34">
        <f t="shared" si="246"/>
        <v>0.69044091280242048</v>
      </c>
      <c r="R1827" s="46">
        <f t="shared" si="247"/>
        <v>269.29856655306378</v>
      </c>
    </row>
    <row r="1828" spans="2:18" ht="12.75" customHeight="1" x14ac:dyDescent="0.25">
      <c r="B1828" s="17" t="s">
        <v>0</v>
      </c>
      <c r="C1828" s="44" t="s">
        <v>50</v>
      </c>
      <c r="D1828" s="22" t="s">
        <v>9</v>
      </c>
      <c r="E1828" s="20">
        <v>2</v>
      </c>
      <c r="F1828" s="17" t="s">
        <v>261</v>
      </c>
      <c r="G1828" s="17" t="s">
        <v>285</v>
      </c>
      <c r="H1828" s="17" t="s">
        <v>286</v>
      </c>
      <c r="I1828" s="17" t="s">
        <v>287</v>
      </c>
      <c r="J1828" s="27" t="s">
        <v>51</v>
      </c>
      <c r="K1828" s="29">
        <v>407</v>
      </c>
      <c r="L1828" s="31">
        <v>835826.69000220008</v>
      </c>
      <c r="M1828" s="31">
        <v>268446.67999768793</v>
      </c>
      <c r="N1828" s="31">
        <v>212537.11999982005</v>
      </c>
      <c r="O1828" s="34">
        <f t="shared" si="244"/>
        <v>0.32117505125013573</v>
      </c>
      <c r="P1828" s="34">
        <f t="shared" si="245"/>
        <v>0.79172936689569262</v>
      </c>
      <c r="Q1828" s="34">
        <f t="shared" si="246"/>
        <v>0.67882494874986432</v>
      </c>
      <c r="R1828" s="46">
        <f t="shared" si="247"/>
        <v>522.20422604378393</v>
      </c>
    </row>
    <row r="1829" spans="2:18" ht="12.75" customHeight="1" x14ac:dyDescent="0.25">
      <c r="B1829" s="17" t="s">
        <v>0</v>
      </c>
      <c r="C1829" s="44" t="s">
        <v>50</v>
      </c>
      <c r="D1829" s="22" t="s">
        <v>2</v>
      </c>
      <c r="E1829" s="20">
        <v>1</v>
      </c>
      <c r="F1829" s="17" t="s">
        <v>261</v>
      </c>
      <c r="G1829" s="17" t="s">
        <v>285</v>
      </c>
      <c r="H1829" s="17" t="s">
        <v>286</v>
      </c>
      <c r="I1829" s="17" t="s">
        <v>287</v>
      </c>
      <c r="J1829" s="27" t="s">
        <v>51</v>
      </c>
      <c r="K1829" s="29">
        <v>1938</v>
      </c>
      <c r="L1829" s="31">
        <v>2679318.9600000991</v>
      </c>
      <c r="M1829" s="31">
        <v>257480.37000023303</v>
      </c>
      <c r="N1829" s="31">
        <v>203655.80000020194</v>
      </c>
      <c r="O1829" s="34">
        <f t="shared" si="244"/>
        <v>9.6099185593126801E-2</v>
      </c>
      <c r="P1829" s="34">
        <f t="shared" si="245"/>
        <v>0.7909566076824327</v>
      </c>
      <c r="Q1829" s="34">
        <f t="shared" si="246"/>
        <v>0.9039008144068732</v>
      </c>
      <c r="R1829" s="46">
        <f t="shared" si="247"/>
        <v>105.08555211568728</v>
      </c>
    </row>
    <row r="1830" spans="2:18" ht="12.75" customHeight="1" x14ac:dyDescent="0.25">
      <c r="B1830" s="17" t="s">
        <v>0</v>
      </c>
      <c r="C1830" s="44" t="s">
        <v>46</v>
      </c>
      <c r="D1830" s="22" t="s">
        <v>2</v>
      </c>
      <c r="E1830" s="20">
        <v>1</v>
      </c>
      <c r="F1830" s="17" t="s">
        <v>261</v>
      </c>
      <c r="G1830" s="17" t="s">
        <v>285</v>
      </c>
      <c r="H1830" s="17" t="s">
        <v>286</v>
      </c>
      <c r="I1830" s="17" t="s">
        <v>287</v>
      </c>
      <c r="J1830" s="27" t="s">
        <v>47</v>
      </c>
      <c r="K1830" s="29">
        <v>2728</v>
      </c>
      <c r="L1830" s="31">
        <v>1743720.1299985775</v>
      </c>
      <c r="M1830" s="31">
        <v>196333.7100003419</v>
      </c>
      <c r="N1830" s="31">
        <v>154984.18000072593</v>
      </c>
      <c r="O1830" s="34">
        <f t="shared" si="244"/>
        <v>0.11259473732203922</v>
      </c>
      <c r="P1830" s="34">
        <f t="shared" si="245"/>
        <v>0.78939159251081248</v>
      </c>
      <c r="Q1830" s="34">
        <f t="shared" si="246"/>
        <v>0.88740526267796083</v>
      </c>
      <c r="R1830" s="46">
        <f t="shared" si="247"/>
        <v>56.81238269821332</v>
      </c>
    </row>
    <row r="1831" spans="2:18" ht="12.75" customHeight="1" x14ac:dyDescent="0.25">
      <c r="B1831" s="17" t="s">
        <v>0</v>
      </c>
      <c r="C1831" s="44" t="s">
        <v>176</v>
      </c>
      <c r="D1831" s="22" t="s">
        <v>2</v>
      </c>
      <c r="E1831" s="20">
        <v>1</v>
      </c>
      <c r="F1831" s="17" t="s">
        <v>261</v>
      </c>
      <c r="G1831" s="17" t="s">
        <v>285</v>
      </c>
      <c r="H1831" s="17" t="s">
        <v>286</v>
      </c>
      <c r="I1831" s="17" t="s">
        <v>287</v>
      </c>
      <c r="J1831" s="27" t="s">
        <v>177</v>
      </c>
      <c r="K1831" s="29">
        <v>660</v>
      </c>
      <c r="L1831" s="31">
        <v>2009927.1200023</v>
      </c>
      <c r="M1831" s="31">
        <v>188992.46999983003</v>
      </c>
      <c r="N1831" s="31">
        <v>149926.24000016999</v>
      </c>
      <c r="O1831" s="34">
        <f t="shared" si="244"/>
        <v>9.4029513865962353E-2</v>
      </c>
      <c r="P1831" s="34">
        <f t="shared" si="245"/>
        <v>0.79329213486815009</v>
      </c>
      <c r="Q1831" s="34">
        <f t="shared" si="246"/>
        <v>0.90597048613403763</v>
      </c>
      <c r="R1831" s="46">
        <f t="shared" si="247"/>
        <v>227.16096969722724</v>
      </c>
    </row>
    <row r="1832" spans="2:18" ht="12.75" customHeight="1" x14ac:dyDescent="0.25">
      <c r="B1832" s="17" t="s">
        <v>0</v>
      </c>
      <c r="C1832" s="44" t="s">
        <v>30</v>
      </c>
      <c r="D1832" s="22" t="s">
        <v>2</v>
      </c>
      <c r="E1832" s="20">
        <v>1</v>
      </c>
      <c r="F1832" s="17" t="s">
        <v>261</v>
      </c>
      <c r="G1832" s="17" t="s">
        <v>285</v>
      </c>
      <c r="H1832" s="17" t="s">
        <v>286</v>
      </c>
      <c r="I1832" s="17" t="s">
        <v>287</v>
      </c>
      <c r="J1832" s="27" t="s">
        <v>31</v>
      </c>
      <c r="K1832" s="29">
        <v>1346</v>
      </c>
      <c r="L1832" s="31">
        <v>1235306.0100000699</v>
      </c>
      <c r="M1832" s="31">
        <v>189044.38000032899</v>
      </c>
      <c r="N1832" s="31">
        <v>149844.29000033703</v>
      </c>
      <c r="O1832" s="34">
        <f t="shared" si="244"/>
        <v>0.15303445338237956</v>
      </c>
      <c r="P1832" s="34">
        <f t="shared" si="245"/>
        <v>0.79264080741292731</v>
      </c>
      <c r="Q1832" s="34">
        <f t="shared" si="246"/>
        <v>0.84696554661762047</v>
      </c>
      <c r="R1832" s="46">
        <f t="shared" si="247"/>
        <v>111.32562407157283</v>
      </c>
    </row>
    <row r="1833" spans="2:18" ht="12.75" customHeight="1" x14ac:dyDescent="0.25">
      <c r="B1833" s="17" t="s">
        <v>0</v>
      </c>
      <c r="C1833" s="44" t="s">
        <v>12</v>
      </c>
      <c r="D1833" s="22" t="s">
        <v>2</v>
      </c>
      <c r="E1833" s="20">
        <v>1</v>
      </c>
      <c r="F1833" s="17" t="s">
        <v>261</v>
      </c>
      <c r="G1833" s="17" t="s">
        <v>285</v>
      </c>
      <c r="H1833" s="17" t="s">
        <v>286</v>
      </c>
      <c r="I1833" s="17" t="s">
        <v>287</v>
      </c>
      <c r="J1833" s="27" t="s">
        <v>13</v>
      </c>
      <c r="K1833" s="29">
        <v>626</v>
      </c>
      <c r="L1833" s="31">
        <v>2044013.1799970004</v>
      </c>
      <c r="M1833" s="31">
        <v>180279.83000017196</v>
      </c>
      <c r="N1833" s="31">
        <v>142968.33999991699</v>
      </c>
      <c r="O1833" s="34">
        <f t="shared" si="244"/>
        <v>8.819895672122649E-2</v>
      </c>
      <c r="P1833" s="34">
        <f t="shared" si="245"/>
        <v>0.79303569345378577</v>
      </c>
      <c r="Q1833" s="34">
        <f t="shared" si="246"/>
        <v>0.91180104327877354</v>
      </c>
      <c r="R1833" s="46">
        <f t="shared" si="247"/>
        <v>228.38392971232747</v>
      </c>
    </row>
    <row r="1834" spans="2:18" ht="12.75" customHeight="1" x14ac:dyDescent="0.25">
      <c r="B1834" s="17" t="s">
        <v>0</v>
      </c>
      <c r="C1834" s="44" t="s">
        <v>7</v>
      </c>
      <c r="D1834" s="22" t="s">
        <v>9</v>
      </c>
      <c r="E1834" s="20">
        <v>2</v>
      </c>
      <c r="F1834" s="17" t="s">
        <v>261</v>
      </c>
      <c r="G1834" s="17" t="s">
        <v>285</v>
      </c>
      <c r="H1834" s="17" t="s">
        <v>286</v>
      </c>
      <c r="I1834" s="17" t="s">
        <v>287</v>
      </c>
      <c r="J1834" s="27" t="s">
        <v>8</v>
      </c>
      <c r="K1834" s="29">
        <v>221</v>
      </c>
      <c r="L1834" s="31">
        <v>544281.48000000103</v>
      </c>
      <c r="M1834" s="31">
        <v>169392.499998243</v>
      </c>
      <c r="N1834" s="31">
        <v>135125.72999855501</v>
      </c>
      <c r="O1834" s="34">
        <f t="shared" si="244"/>
        <v>0.31122223743171029</v>
      </c>
      <c r="P1834" s="34">
        <f t="shared" si="245"/>
        <v>0.79770786782151848</v>
      </c>
      <c r="Q1834" s="34">
        <f t="shared" si="246"/>
        <v>0.68877776256828971</v>
      </c>
      <c r="R1834" s="46">
        <f t="shared" si="247"/>
        <v>611.42864252739821</v>
      </c>
    </row>
    <row r="1835" spans="2:18" ht="12.75" customHeight="1" x14ac:dyDescent="0.25">
      <c r="B1835" s="17" t="s">
        <v>0</v>
      </c>
      <c r="C1835" s="44" t="s">
        <v>44</v>
      </c>
      <c r="D1835" s="22" t="s">
        <v>2</v>
      </c>
      <c r="E1835" s="20">
        <v>1</v>
      </c>
      <c r="F1835" s="17" t="s">
        <v>261</v>
      </c>
      <c r="G1835" s="17" t="s">
        <v>285</v>
      </c>
      <c r="H1835" s="17" t="s">
        <v>286</v>
      </c>
      <c r="I1835" s="17" t="s">
        <v>287</v>
      </c>
      <c r="J1835" s="27" t="s">
        <v>45</v>
      </c>
      <c r="K1835" s="29">
        <v>2101</v>
      </c>
      <c r="L1835" s="31">
        <v>739140.83000019693</v>
      </c>
      <c r="M1835" s="31">
        <v>141354.55999991993</v>
      </c>
      <c r="N1835" s="31">
        <v>112322.94000004396</v>
      </c>
      <c r="O1835" s="34">
        <f t="shared" ref="O1835:O1865" si="248">IFERROR(M1835/L1835,0)</f>
        <v>0.19124171505974344</v>
      </c>
      <c r="P1835" s="34">
        <f t="shared" ref="P1835:P1865" si="249">IFERROR(N1835/M1835,0)</f>
        <v>0.79461844032557272</v>
      </c>
      <c r="Q1835" s="34">
        <f t="shared" ref="Q1835:Q1865" si="250">IFERROR(1-(M1835/L1835),0)</f>
        <v>0.80875828494025659</v>
      </c>
      <c r="R1835" s="46">
        <f t="shared" ref="R1835:R1865" si="251">IFERROR(N1835/K1835,0)</f>
        <v>53.461656354138015</v>
      </c>
    </row>
    <row r="1836" spans="2:18" ht="12.75" customHeight="1" x14ac:dyDescent="0.25">
      <c r="B1836" s="17" t="s">
        <v>0</v>
      </c>
      <c r="C1836" s="44" t="s">
        <v>38</v>
      </c>
      <c r="D1836" s="22" t="s">
        <v>2</v>
      </c>
      <c r="E1836" s="20">
        <v>1</v>
      </c>
      <c r="F1836" s="17" t="s">
        <v>261</v>
      </c>
      <c r="G1836" s="17" t="s">
        <v>285</v>
      </c>
      <c r="H1836" s="17" t="s">
        <v>286</v>
      </c>
      <c r="I1836" s="17" t="s">
        <v>287</v>
      </c>
      <c r="J1836" s="27" t="s">
        <v>39</v>
      </c>
      <c r="K1836" s="29">
        <v>1906</v>
      </c>
      <c r="L1836" s="31">
        <v>811330.81000158982</v>
      </c>
      <c r="M1836" s="31">
        <v>128421.44000014002</v>
      </c>
      <c r="N1836" s="31">
        <v>101458.16999993201</v>
      </c>
      <c r="O1836" s="34">
        <f t="shared" si="248"/>
        <v>0.15828492942341038</v>
      </c>
      <c r="P1836" s="34">
        <f t="shared" si="249"/>
        <v>0.79004074397406998</v>
      </c>
      <c r="Q1836" s="34">
        <f t="shared" si="250"/>
        <v>0.84171507057658967</v>
      </c>
      <c r="R1836" s="46">
        <f t="shared" si="251"/>
        <v>53.230939139523613</v>
      </c>
    </row>
    <row r="1837" spans="2:18" ht="12.75" customHeight="1" x14ac:dyDescent="0.25">
      <c r="B1837" s="17" t="s">
        <v>0</v>
      </c>
      <c r="C1837" s="44" t="s">
        <v>20</v>
      </c>
      <c r="D1837" s="22" t="s">
        <v>9</v>
      </c>
      <c r="E1837" s="20">
        <v>2</v>
      </c>
      <c r="F1837" s="17" t="s">
        <v>261</v>
      </c>
      <c r="G1837" s="17" t="s">
        <v>285</v>
      </c>
      <c r="H1837" s="17" t="s">
        <v>286</v>
      </c>
      <c r="I1837" s="17" t="s">
        <v>287</v>
      </c>
      <c r="J1837" s="27" t="s">
        <v>21</v>
      </c>
      <c r="K1837" s="29">
        <v>108</v>
      </c>
      <c r="L1837" s="31">
        <v>813600</v>
      </c>
      <c r="M1837" s="31">
        <v>118822.05999963</v>
      </c>
      <c r="N1837" s="31">
        <v>95824.079999130015</v>
      </c>
      <c r="O1837" s="34">
        <f t="shared" si="248"/>
        <v>0.1460448131755531</v>
      </c>
      <c r="P1837" s="34">
        <f t="shared" si="249"/>
        <v>0.80645025005818283</v>
      </c>
      <c r="Q1837" s="34">
        <f t="shared" si="250"/>
        <v>0.85395518682444693</v>
      </c>
      <c r="R1837" s="46">
        <f t="shared" si="251"/>
        <v>887.2599999919446</v>
      </c>
    </row>
    <row r="1838" spans="2:18" ht="12.75" customHeight="1" x14ac:dyDescent="0.25">
      <c r="B1838" s="17" t="s">
        <v>0</v>
      </c>
      <c r="C1838" s="44" t="s">
        <v>174</v>
      </c>
      <c r="D1838" s="22" t="s">
        <v>9</v>
      </c>
      <c r="E1838" s="20">
        <v>2</v>
      </c>
      <c r="F1838" s="17" t="s">
        <v>261</v>
      </c>
      <c r="G1838" s="17" t="s">
        <v>285</v>
      </c>
      <c r="H1838" s="17" t="s">
        <v>286</v>
      </c>
      <c r="I1838" s="17" t="s">
        <v>287</v>
      </c>
      <c r="J1838" s="27" t="s">
        <v>175</v>
      </c>
      <c r="K1838" s="29">
        <v>201</v>
      </c>
      <c r="L1838" s="31">
        <v>226585.82000319997</v>
      </c>
      <c r="M1838" s="31">
        <v>117504.87000043999</v>
      </c>
      <c r="N1838" s="31">
        <v>93914.980000440002</v>
      </c>
      <c r="O1838" s="34">
        <f t="shared" si="248"/>
        <v>0.51858880665515839</v>
      </c>
      <c r="P1838" s="34">
        <f t="shared" si="249"/>
        <v>0.79924329944868111</v>
      </c>
      <c r="Q1838" s="34">
        <f t="shared" si="250"/>
        <v>0.48141119334484161</v>
      </c>
      <c r="R1838" s="46">
        <f t="shared" si="251"/>
        <v>467.23870646985074</v>
      </c>
    </row>
    <row r="1839" spans="2:18" ht="12.75" customHeight="1" x14ac:dyDescent="0.25">
      <c r="B1839" s="17" t="s">
        <v>0</v>
      </c>
      <c r="C1839" s="44" t="s">
        <v>82</v>
      </c>
      <c r="D1839" s="22" t="s">
        <v>9</v>
      </c>
      <c r="E1839" s="20">
        <v>2</v>
      </c>
      <c r="F1839" s="17" t="s">
        <v>261</v>
      </c>
      <c r="G1839" s="17" t="s">
        <v>285</v>
      </c>
      <c r="H1839" s="17" t="s">
        <v>286</v>
      </c>
      <c r="I1839" s="17" t="s">
        <v>287</v>
      </c>
      <c r="J1839" s="27" t="s">
        <v>83</v>
      </c>
      <c r="K1839" s="29">
        <v>115</v>
      </c>
      <c r="L1839" s="31">
        <v>387858.23999879998</v>
      </c>
      <c r="M1839" s="31">
        <v>117539.6699987</v>
      </c>
      <c r="N1839" s="31">
        <v>93016.350000060003</v>
      </c>
      <c r="O1839" s="34">
        <f t="shared" si="248"/>
        <v>0.30304801568496692</v>
      </c>
      <c r="P1839" s="34">
        <f t="shared" si="249"/>
        <v>0.7913613335913634</v>
      </c>
      <c r="Q1839" s="34">
        <f t="shared" si="250"/>
        <v>0.69695198431503314</v>
      </c>
      <c r="R1839" s="46">
        <f t="shared" si="251"/>
        <v>808.83782608747833</v>
      </c>
    </row>
    <row r="1840" spans="2:18" ht="12.75" customHeight="1" x14ac:dyDescent="0.25">
      <c r="B1840" s="17" t="s">
        <v>0</v>
      </c>
      <c r="C1840" s="44" t="s">
        <v>14</v>
      </c>
      <c r="D1840" s="22" t="s">
        <v>2</v>
      </c>
      <c r="E1840" s="20">
        <v>1</v>
      </c>
      <c r="F1840" s="17" t="s">
        <v>261</v>
      </c>
      <c r="G1840" s="17" t="s">
        <v>285</v>
      </c>
      <c r="H1840" s="17" t="s">
        <v>286</v>
      </c>
      <c r="I1840" s="17" t="s">
        <v>287</v>
      </c>
      <c r="J1840" s="27" t="s">
        <v>15</v>
      </c>
      <c r="K1840" s="29">
        <v>430</v>
      </c>
      <c r="L1840" s="31">
        <v>709927.31000002997</v>
      </c>
      <c r="M1840" s="31">
        <v>112035.700000018</v>
      </c>
      <c r="N1840" s="31">
        <v>88943.6</v>
      </c>
      <c r="O1840" s="34">
        <f t="shared" si="248"/>
        <v>0.15781291749434639</v>
      </c>
      <c r="P1840" s="34">
        <f t="shared" si="249"/>
        <v>0.79388623447691864</v>
      </c>
      <c r="Q1840" s="34">
        <f t="shared" si="250"/>
        <v>0.84218708250565366</v>
      </c>
      <c r="R1840" s="46">
        <f t="shared" si="251"/>
        <v>206.84558139534886</v>
      </c>
    </row>
    <row r="1841" spans="2:18" ht="12.75" customHeight="1" x14ac:dyDescent="0.25">
      <c r="B1841" s="17" t="s">
        <v>0</v>
      </c>
      <c r="C1841" s="44" t="s">
        <v>32</v>
      </c>
      <c r="D1841" s="22" t="s">
        <v>9</v>
      </c>
      <c r="E1841" s="20">
        <v>2</v>
      </c>
      <c r="F1841" s="17" t="s">
        <v>261</v>
      </c>
      <c r="G1841" s="17" t="s">
        <v>285</v>
      </c>
      <c r="H1841" s="17" t="s">
        <v>286</v>
      </c>
      <c r="I1841" s="17" t="s">
        <v>287</v>
      </c>
      <c r="J1841" s="27" t="s">
        <v>33</v>
      </c>
      <c r="K1841" s="29">
        <v>98</v>
      </c>
      <c r="L1841" s="31">
        <v>370460</v>
      </c>
      <c r="M1841" s="31">
        <v>111233.60000189999</v>
      </c>
      <c r="N1841" s="31">
        <v>87949.800000229996</v>
      </c>
      <c r="O1841" s="34">
        <f t="shared" si="248"/>
        <v>0.30025805755520163</v>
      </c>
      <c r="P1841" s="34">
        <f t="shared" si="249"/>
        <v>0.79067655815084392</v>
      </c>
      <c r="Q1841" s="34">
        <f t="shared" si="250"/>
        <v>0.69974194244479837</v>
      </c>
      <c r="R1841" s="46">
        <f t="shared" si="251"/>
        <v>897.4469387778571</v>
      </c>
    </row>
    <row r="1842" spans="2:18" ht="12.75" customHeight="1" x14ac:dyDescent="0.25">
      <c r="B1842" s="17" t="s">
        <v>0</v>
      </c>
      <c r="C1842" s="44" t="s">
        <v>151</v>
      </c>
      <c r="D1842" s="22" t="s">
        <v>9</v>
      </c>
      <c r="E1842" s="20">
        <v>2</v>
      </c>
      <c r="F1842" s="17" t="s">
        <v>261</v>
      </c>
      <c r="G1842" s="17" t="s">
        <v>285</v>
      </c>
      <c r="H1842" s="17" t="s">
        <v>286</v>
      </c>
      <c r="I1842" s="17" t="s">
        <v>287</v>
      </c>
      <c r="J1842" s="27" t="s">
        <v>152</v>
      </c>
      <c r="K1842" s="29">
        <v>699</v>
      </c>
      <c r="L1842" s="31">
        <v>227918.999999928</v>
      </c>
      <c r="M1842" s="31">
        <v>93181.120000046998</v>
      </c>
      <c r="N1842" s="31">
        <v>73445.719999989989</v>
      </c>
      <c r="O1842" s="34">
        <f t="shared" si="248"/>
        <v>0.40883436659548539</v>
      </c>
      <c r="P1842" s="34">
        <f t="shared" si="249"/>
        <v>0.78820387649293056</v>
      </c>
      <c r="Q1842" s="34">
        <f t="shared" si="250"/>
        <v>0.59116563340451456</v>
      </c>
      <c r="R1842" s="46">
        <f t="shared" si="251"/>
        <v>105.07256080113017</v>
      </c>
    </row>
    <row r="1843" spans="2:18" ht="12.75" customHeight="1" x14ac:dyDescent="0.25">
      <c r="B1843" s="17" t="s">
        <v>0</v>
      </c>
      <c r="C1843" s="44" t="s">
        <v>1</v>
      </c>
      <c r="D1843" s="22" t="s">
        <v>2</v>
      </c>
      <c r="E1843" s="20">
        <v>1</v>
      </c>
      <c r="F1843" s="17" t="s">
        <v>261</v>
      </c>
      <c r="G1843" s="17" t="s">
        <v>285</v>
      </c>
      <c r="H1843" s="17" t="s">
        <v>286</v>
      </c>
      <c r="I1843" s="17" t="s">
        <v>287</v>
      </c>
      <c r="J1843" s="27" t="s">
        <v>6</v>
      </c>
      <c r="K1843" s="29">
        <v>1894</v>
      </c>
      <c r="L1843" s="31">
        <v>1235678.9999999299</v>
      </c>
      <c r="M1843" s="31">
        <v>82642.620000012976</v>
      </c>
      <c r="N1843" s="31">
        <v>65710.46999993801</v>
      </c>
      <c r="O1843" s="34">
        <f t="shared" si="248"/>
        <v>6.6880330571303437E-2</v>
      </c>
      <c r="P1843" s="34">
        <f t="shared" si="249"/>
        <v>0.79511600672785654</v>
      </c>
      <c r="Q1843" s="34">
        <f t="shared" si="250"/>
        <v>0.93311966942869651</v>
      </c>
      <c r="R1843" s="46">
        <f t="shared" si="251"/>
        <v>34.694017951392823</v>
      </c>
    </row>
    <row r="1844" spans="2:18" ht="12.75" customHeight="1" x14ac:dyDescent="0.25">
      <c r="B1844" s="17" t="s">
        <v>0</v>
      </c>
      <c r="C1844" s="44" t="s">
        <v>62</v>
      </c>
      <c r="D1844" s="22" t="s">
        <v>9</v>
      </c>
      <c r="E1844" s="20">
        <v>2</v>
      </c>
      <c r="F1844" s="17" t="s">
        <v>261</v>
      </c>
      <c r="G1844" s="17" t="s">
        <v>285</v>
      </c>
      <c r="H1844" s="17" t="s">
        <v>286</v>
      </c>
      <c r="I1844" s="17" t="s">
        <v>287</v>
      </c>
      <c r="J1844" s="27" t="s">
        <v>63</v>
      </c>
      <c r="K1844" s="29">
        <v>83</v>
      </c>
      <c r="L1844" s="31">
        <v>216100</v>
      </c>
      <c r="M1844" s="31">
        <v>74488.83000124</v>
      </c>
      <c r="N1844" s="31">
        <v>58569.170000040001</v>
      </c>
      <c r="O1844" s="34">
        <f t="shared" si="248"/>
        <v>0.3446961129164276</v>
      </c>
      <c r="P1844" s="34">
        <f t="shared" si="249"/>
        <v>0.78628124510836073</v>
      </c>
      <c r="Q1844" s="34">
        <f t="shared" si="250"/>
        <v>0.65530388708357235</v>
      </c>
      <c r="R1844" s="46">
        <f t="shared" si="251"/>
        <v>705.65265060289164</v>
      </c>
    </row>
    <row r="1845" spans="2:18" ht="12.75" customHeight="1" x14ac:dyDescent="0.25">
      <c r="B1845" s="17" t="s">
        <v>0</v>
      </c>
      <c r="C1845" s="44" t="s">
        <v>28</v>
      </c>
      <c r="D1845" s="22" t="s">
        <v>2</v>
      </c>
      <c r="E1845" s="20">
        <v>1</v>
      </c>
      <c r="F1845" s="17" t="s">
        <v>261</v>
      </c>
      <c r="G1845" s="17" t="s">
        <v>285</v>
      </c>
      <c r="H1845" s="17" t="s">
        <v>286</v>
      </c>
      <c r="I1845" s="17" t="s">
        <v>287</v>
      </c>
      <c r="J1845" s="27" t="s">
        <v>29</v>
      </c>
      <c r="K1845" s="29">
        <v>664</v>
      </c>
      <c r="L1845" s="31">
        <v>543105.45999999903</v>
      </c>
      <c r="M1845" s="31">
        <v>46084.200000004006</v>
      </c>
      <c r="N1845" s="31">
        <v>36500.099999970997</v>
      </c>
      <c r="O1845" s="34">
        <f t="shared" si="248"/>
        <v>8.4853133312274356E-2</v>
      </c>
      <c r="P1845" s="34">
        <f t="shared" si="249"/>
        <v>0.79203067428680163</v>
      </c>
      <c r="Q1845" s="34">
        <f t="shared" si="250"/>
        <v>0.9151468666877256</v>
      </c>
      <c r="R1845" s="46">
        <f t="shared" si="251"/>
        <v>54.970030120438246</v>
      </c>
    </row>
    <row r="1846" spans="2:18" ht="12.75" customHeight="1" x14ac:dyDescent="0.25">
      <c r="B1846" s="17" t="s">
        <v>0</v>
      </c>
      <c r="C1846" s="44" t="s">
        <v>182</v>
      </c>
      <c r="D1846" s="22" t="s">
        <v>2</v>
      </c>
      <c r="E1846" s="20">
        <v>1</v>
      </c>
      <c r="F1846" s="17" t="s">
        <v>261</v>
      </c>
      <c r="G1846" s="17" t="s">
        <v>285</v>
      </c>
      <c r="H1846" s="17" t="s">
        <v>286</v>
      </c>
      <c r="I1846" s="17" t="s">
        <v>287</v>
      </c>
      <c r="J1846" s="27" t="s">
        <v>183</v>
      </c>
      <c r="K1846" s="29">
        <v>124</v>
      </c>
      <c r="L1846" s="31">
        <v>421031.99999829999</v>
      </c>
      <c r="M1846" s="31">
        <v>35954.6099999</v>
      </c>
      <c r="N1846" s="31">
        <v>28680.82000009</v>
      </c>
      <c r="O1846" s="34">
        <f t="shared" si="248"/>
        <v>8.5396383172882756E-2</v>
      </c>
      <c r="P1846" s="34">
        <f t="shared" si="249"/>
        <v>0.79769520515365822</v>
      </c>
      <c r="Q1846" s="34">
        <f t="shared" si="250"/>
        <v>0.91460361682711722</v>
      </c>
      <c r="R1846" s="46">
        <f t="shared" si="251"/>
        <v>231.29693548459676</v>
      </c>
    </row>
    <row r="1847" spans="2:18" ht="12.75" customHeight="1" x14ac:dyDescent="0.25">
      <c r="B1847" s="17" t="s">
        <v>0</v>
      </c>
      <c r="C1847" s="44" t="s">
        <v>90</v>
      </c>
      <c r="D1847" s="22" t="s">
        <v>2</v>
      </c>
      <c r="E1847" s="20">
        <v>1</v>
      </c>
      <c r="F1847" s="17" t="s">
        <v>261</v>
      </c>
      <c r="G1847" s="17" t="s">
        <v>285</v>
      </c>
      <c r="H1847" s="17" t="s">
        <v>286</v>
      </c>
      <c r="I1847" s="17" t="s">
        <v>287</v>
      </c>
      <c r="J1847" s="27" t="s">
        <v>91</v>
      </c>
      <c r="K1847" s="29">
        <v>397</v>
      </c>
      <c r="L1847" s="31">
        <v>150595.00000090001</v>
      </c>
      <c r="M1847" s="31">
        <v>18709.680000132001</v>
      </c>
      <c r="N1847" s="31">
        <v>14820.820000015003</v>
      </c>
      <c r="O1847" s="34">
        <f t="shared" si="248"/>
        <v>0.12423838772881028</v>
      </c>
      <c r="P1847" s="34">
        <f t="shared" si="249"/>
        <v>0.79214716659560391</v>
      </c>
      <c r="Q1847" s="34">
        <f t="shared" si="250"/>
        <v>0.87576161227118976</v>
      </c>
      <c r="R1847" s="46">
        <f t="shared" si="251"/>
        <v>37.33204030230479</v>
      </c>
    </row>
    <row r="1848" spans="2:18" ht="12.75" customHeight="1" x14ac:dyDescent="0.25">
      <c r="B1848" s="17" t="s">
        <v>0</v>
      </c>
      <c r="C1848" s="44" t="s">
        <v>62</v>
      </c>
      <c r="D1848" s="22" t="s">
        <v>2</v>
      </c>
      <c r="E1848" s="20">
        <v>1</v>
      </c>
      <c r="F1848" s="17" t="s">
        <v>261</v>
      </c>
      <c r="G1848" s="17" t="s">
        <v>285</v>
      </c>
      <c r="H1848" s="17" t="s">
        <v>286</v>
      </c>
      <c r="I1848" s="17" t="s">
        <v>287</v>
      </c>
      <c r="J1848" s="27" t="s">
        <v>63</v>
      </c>
      <c r="K1848" s="29">
        <v>160</v>
      </c>
      <c r="L1848" s="31">
        <v>66856</v>
      </c>
      <c r="M1848" s="31">
        <v>11288.460000015999</v>
      </c>
      <c r="N1848" s="31">
        <v>8915.49</v>
      </c>
      <c r="O1848" s="34">
        <f t="shared" si="248"/>
        <v>0.16884737345961467</v>
      </c>
      <c r="P1848" s="34">
        <f t="shared" si="249"/>
        <v>0.78978797816419277</v>
      </c>
      <c r="Q1848" s="34">
        <f t="shared" si="250"/>
        <v>0.83115262654038535</v>
      </c>
      <c r="R1848" s="46">
        <f t="shared" si="251"/>
        <v>55.721812499999999</v>
      </c>
    </row>
    <row r="1849" spans="2:18" ht="12.75" customHeight="1" x14ac:dyDescent="0.25">
      <c r="B1849" s="17" t="s">
        <v>0</v>
      </c>
      <c r="C1849" s="44" t="s">
        <v>145</v>
      </c>
      <c r="D1849" s="22" t="s">
        <v>9</v>
      </c>
      <c r="E1849" s="20">
        <v>2</v>
      </c>
      <c r="F1849" s="17" t="s">
        <v>261</v>
      </c>
      <c r="G1849" s="17" t="s">
        <v>285</v>
      </c>
      <c r="H1849" s="17" t="s">
        <v>286</v>
      </c>
      <c r="I1849" s="17" t="s">
        <v>287</v>
      </c>
      <c r="J1849" s="27" t="s">
        <v>146</v>
      </c>
      <c r="K1849" s="29">
        <v>283</v>
      </c>
      <c r="L1849" s="31">
        <v>17403.639999953</v>
      </c>
      <c r="M1849" s="31">
        <v>7554.3500000409995</v>
      </c>
      <c r="N1849" s="31">
        <v>5911.1699999450002</v>
      </c>
      <c r="O1849" s="34">
        <f t="shared" si="248"/>
        <v>0.43406724110941164</v>
      </c>
      <c r="P1849" s="34">
        <f t="shared" si="249"/>
        <v>0.78248558776240429</v>
      </c>
      <c r="Q1849" s="34">
        <f t="shared" si="250"/>
        <v>0.56593275889058836</v>
      </c>
      <c r="R1849" s="46">
        <f t="shared" si="251"/>
        <v>20.887526501572438</v>
      </c>
    </row>
    <row r="1850" spans="2:18" ht="12.75" customHeight="1" x14ac:dyDescent="0.25">
      <c r="B1850" s="17" t="s">
        <v>0</v>
      </c>
      <c r="C1850" s="44" t="s">
        <v>54</v>
      </c>
      <c r="D1850" s="22" t="s">
        <v>2</v>
      </c>
      <c r="E1850" s="20">
        <v>1</v>
      </c>
      <c r="F1850" s="17" t="s">
        <v>261</v>
      </c>
      <c r="G1850" s="17" t="s">
        <v>285</v>
      </c>
      <c r="H1850" s="17" t="s">
        <v>286</v>
      </c>
      <c r="I1850" s="17" t="s">
        <v>287</v>
      </c>
      <c r="J1850" s="27" t="s">
        <v>55</v>
      </c>
      <c r="K1850" s="29">
        <v>71</v>
      </c>
      <c r="L1850" s="31">
        <v>88490.999999799998</v>
      </c>
      <c r="M1850" s="31">
        <v>5677.3100000160002</v>
      </c>
      <c r="N1850" s="31">
        <v>4524.0200000000004</v>
      </c>
      <c r="O1850" s="34">
        <f t="shared" si="248"/>
        <v>6.4156919913085309E-2</v>
      </c>
      <c r="P1850" s="34">
        <f t="shared" si="249"/>
        <v>0.79685978042193406</v>
      </c>
      <c r="Q1850" s="34">
        <f t="shared" si="250"/>
        <v>0.93584308008691464</v>
      </c>
      <c r="R1850" s="46">
        <f t="shared" si="251"/>
        <v>63.71859154929578</v>
      </c>
    </row>
    <row r="1851" spans="2:18" ht="12.75" customHeight="1" x14ac:dyDescent="0.25">
      <c r="B1851" s="17" t="s">
        <v>0</v>
      </c>
      <c r="C1851" s="44" t="s">
        <v>70</v>
      </c>
      <c r="D1851" s="22" t="s">
        <v>2</v>
      </c>
      <c r="E1851" s="20">
        <v>1</v>
      </c>
      <c r="F1851" s="17" t="s">
        <v>261</v>
      </c>
      <c r="G1851" s="17" t="s">
        <v>285</v>
      </c>
      <c r="H1851" s="17" t="s">
        <v>286</v>
      </c>
      <c r="I1851" s="17" t="s">
        <v>287</v>
      </c>
      <c r="J1851" s="27" t="s">
        <v>71</v>
      </c>
      <c r="K1851" s="29">
        <v>26</v>
      </c>
      <c r="L1851" s="31">
        <v>38336</v>
      </c>
      <c r="M1851" s="31">
        <v>5210.7399999600002</v>
      </c>
      <c r="N1851" s="31">
        <v>4095.7000000399998</v>
      </c>
      <c r="O1851" s="34">
        <f t="shared" si="248"/>
        <v>0.13592289231949081</v>
      </c>
      <c r="P1851" s="34">
        <f t="shared" si="249"/>
        <v>0.78601119995843971</v>
      </c>
      <c r="Q1851" s="34">
        <f t="shared" si="250"/>
        <v>0.86407710768050916</v>
      </c>
      <c r="R1851" s="46">
        <f t="shared" si="251"/>
        <v>157.52692307846152</v>
      </c>
    </row>
    <row r="1852" spans="2:18" ht="12.75" customHeight="1" x14ac:dyDescent="0.25">
      <c r="B1852" s="17" t="s">
        <v>0</v>
      </c>
      <c r="C1852" s="44" t="s">
        <v>34</v>
      </c>
      <c r="D1852" s="22" t="s">
        <v>9</v>
      </c>
      <c r="E1852" s="20">
        <v>2</v>
      </c>
      <c r="F1852" s="17" t="s">
        <v>261</v>
      </c>
      <c r="G1852" s="17" t="s">
        <v>285</v>
      </c>
      <c r="H1852" s="17" t="s">
        <v>286</v>
      </c>
      <c r="I1852" s="17" t="s">
        <v>287</v>
      </c>
      <c r="J1852" s="27" t="s">
        <v>35</v>
      </c>
      <c r="K1852" s="29">
        <v>16</v>
      </c>
      <c r="L1852" s="31">
        <v>16880</v>
      </c>
      <c r="M1852" s="31">
        <v>4881.58</v>
      </c>
      <c r="N1852" s="31">
        <v>3889.32</v>
      </c>
      <c r="O1852" s="34">
        <f t="shared" si="248"/>
        <v>0.28919312796208529</v>
      </c>
      <c r="P1852" s="34">
        <f t="shared" si="249"/>
        <v>0.79673384437006056</v>
      </c>
      <c r="Q1852" s="34">
        <f t="shared" si="250"/>
        <v>0.71080687203791471</v>
      </c>
      <c r="R1852" s="46">
        <f t="shared" si="251"/>
        <v>243.08250000000001</v>
      </c>
    </row>
    <row r="1853" spans="2:18" ht="12.75" customHeight="1" x14ac:dyDescent="0.25">
      <c r="B1853" s="17" t="s">
        <v>0</v>
      </c>
      <c r="C1853" s="44" t="s">
        <v>56</v>
      </c>
      <c r="D1853" s="22" t="s">
        <v>9</v>
      </c>
      <c r="E1853" s="20">
        <v>2</v>
      </c>
      <c r="F1853" s="17" t="s">
        <v>261</v>
      </c>
      <c r="G1853" s="17" t="s">
        <v>285</v>
      </c>
      <c r="H1853" s="17" t="s">
        <v>286</v>
      </c>
      <c r="I1853" s="17" t="s">
        <v>287</v>
      </c>
      <c r="J1853" s="27" t="s">
        <v>57</v>
      </c>
      <c r="K1853" s="29">
        <v>198</v>
      </c>
      <c r="L1853" s="31">
        <v>4950</v>
      </c>
      <c r="M1853" s="31">
        <v>3453.369999948</v>
      </c>
      <c r="N1853" s="31">
        <v>2638.1500000020001</v>
      </c>
      <c r="O1853" s="34">
        <f t="shared" si="248"/>
        <v>0.69765050504000004</v>
      </c>
      <c r="P1853" s="34">
        <f t="shared" si="249"/>
        <v>0.76393493892682351</v>
      </c>
      <c r="Q1853" s="34">
        <f t="shared" si="250"/>
        <v>0.30234949495999996</v>
      </c>
      <c r="R1853" s="46">
        <f t="shared" si="251"/>
        <v>13.323989899000001</v>
      </c>
    </row>
    <row r="1854" spans="2:18" ht="12.75" customHeight="1" x14ac:dyDescent="0.25">
      <c r="B1854" s="17" t="s">
        <v>0</v>
      </c>
      <c r="C1854" s="44" t="s">
        <v>157</v>
      </c>
      <c r="D1854" s="22" t="s">
        <v>9</v>
      </c>
      <c r="E1854" s="20">
        <v>2</v>
      </c>
      <c r="F1854" s="17" t="s">
        <v>261</v>
      </c>
      <c r="G1854" s="17" t="s">
        <v>285</v>
      </c>
      <c r="H1854" s="17" t="s">
        <v>286</v>
      </c>
      <c r="I1854" s="17" t="s">
        <v>287</v>
      </c>
      <c r="J1854" s="27" t="s">
        <v>158</v>
      </c>
      <c r="K1854" s="29">
        <v>45</v>
      </c>
      <c r="L1854" s="31">
        <v>8355</v>
      </c>
      <c r="M1854" s="31">
        <v>2599.21</v>
      </c>
      <c r="N1854" s="31">
        <v>2095.5100000000002</v>
      </c>
      <c r="O1854" s="34">
        <f t="shared" si="248"/>
        <v>0.31109634949132259</v>
      </c>
      <c r="P1854" s="34">
        <f t="shared" si="249"/>
        <v>0.80621034852897622</v>
      </c>
      <c r="Q1854" s="34">
        <f t="shared" si="250"/>
        <v>0.68890365050867741</v>
      </c>
      <c r="R1854" s="46">
        <f t="shared" si="251"/>
        <v>46.566888888888897</v>
      </c>
    </row>
    <row r="1855" spans="2:18" ht="12.75" customHeight="1" x14ac:dyDescent="0.25">
      <c r="B1855" s="17" t="s">
        <v>0</v>
      </c>
      <c r="C1855" s="44" t="s">
        <v>176</v>
      </c>
      <c r="D1855" s="22" t="s">
        <v>9</v>
      </c>
      <c r="E1855" s="20">
        <v>2</v>
      </c>
      <c r="F1855" s="17" t="s">
        <v>261</v>
      </c>
      <c r="G1855" s="17" t="s">
        <v>285</v>
      </c>
      <c r="H1855" s="17" t="s">
        <v>286</v>
      </c>
      <c r="I1855" s="17" t="s">
        <v>287</v>
      </c>
      <c r="J1855" s="27" t="s">
        <v>177</v>
      </c>
      <c r="K1855" s="29">
        <v>15</v>
      </c>
      <c r="L1855" s="31">
        <v>15795</v>
      </c>
      <c r="M1855" s="31">
        <v>2903.4199999500001</v>
      </c>
      <c r="N1855" s="31">
        <v>2059.30999995</v>
      </c>
      <c r="O1855" s="34">
        <f t="shared" si="248"/>
        <v>0.18381893003798672</v>
      </c>
      <c r="P1855" s="34">
        <f t="shared" si="249"/>
        <v>0.70927044657178895</v>
      </c>
      <c r="Q1855" s="34">
        <f t="shared" si="250"/>
        <v>0.81618106996201334</v>
      </c>
      <c r="R1855" s="46">
        <f t="shared" si="251"/>
        <v>137.28733333</v>
      </c>
    </row>
    <row r="1856" spans="2:18" ht="12.75" customHeight="1" x14ac:dyDescent="0.25">
      <c r="B1856" s="17" t="s">
        <v>0</v>
      </c>
      <c r="C1856" s="44" t="s">
        <v>172</v>
      </c>
      <c r="D1856" s="22" t="s">
        <v>9</v>
      </c>
      <c r="E1856" s="20">
        <v>2</v>
      </c>
      <c r="F1856" s="17" t="s">
        <v>261</v>
      </c>
      <c r="G1856" s="17" t="s">
        <v>285</v>
      </c>
      <c r="H1856" s="17" t="s">
        <v>286</v>
      </c>
      <c r="I1856" s="17" t="s">
        <v>287</v>
      </c>
      <c r="J1856" s="27" t="s">
        <v>173</v>
      </c>
      <c r="K1856" s="29">
        <v>102</v>
      </c>
      <c r="L1856" s="31">
        <v>6120</v>
      </c>
      <c r="M1856" s="31">
        <v>2754.2699999639999</v>
      </c>
      <c r="N1856" s="31">
        <v>2041.9800000089999</v>
      </c>
      <c r="O1856" s="34">
        <f t="shared" si="248"/>
        <v>0.45004411764117647</v>
      </c>
      <c r="P1856" s="34">
        <f t="shared" si="249"/>
        <v>0.74138701000108553</v>
      </c>
      <c r="Q1856" s="34">
        <f t="shared" si="250"/>
        <v>0.54995588235882353</v>
      </c>
      <c r="R1856" s="46">
        <f t="shared" si="251"/>
        <v>20.019411764794118</v>
      </c>
    </row>
    <row r="1857" spans="2:18" ht="12.75" customHeight="1" x14ac:dyDescent="0.25">
      <c r="B1857" s="17" t="s">
        <v>0</v>
      </c>
      <c r="C1857" s="44" t="s">
        <v>96</v>
      </c>
      <c r="D1857" s="22" t="s">
        <v>9</v>
      </c>
      <c r="E1857" s="20">
        <v>2</v>
      </c>
      <c r="F1857" s="17" t="s">
        <v>261</v>
      </c>
      <c r="G1857" s="17" t="s">
        <v>285</v>
      </c>
      <c r="H1857" s="17" t="s">
        <v>286</v>
      </c>
      <c r="I1857" s="17" t="s">
        <v>287</v>
      </c>
      <c r="J1857" s="27" t="s">
        <v>97</v>
      </c>
      <c r="K1857" s="29">
        <v>163</v>
      </c>
      <c r="L1857" s="31">
        <v>4075</v>
      </c>
      <c r="M1857" s="31">
        <v>2738.319999926</v>
      </c>
      <c r="N1857" s="31">
        <v>1993.8699999439998</v>
      </c>
      <c r="O1857" s="34">
        <f t="shared" si="248"/>
        <v>0.67198036808000006</v>
      </c>
      <c r="P1857" s="34">
        <f t="shared" si="249"/>
        <v>0.72813622951221257</v>
      </c>
      <c r="Q1857" s="34">
        <f t="shared" si="250"/>
        <v>0.32801963191999994</v>
      </c>
      <c r="R1857" s="46">
        <f t="shared" si="251"/>
        <v>12.232331287999999</v>
      </c>
    </row>
    <row r="1858" spans="2:18" ht="12.75" customHeight="1" x14ac:dyDescent="0.25">
      <c r="B1858" s="17" t="s">
        <v>0</v>
      </c>
      <c r="C1858" s="44" t="s">
        <v>135</v>
      </c>
      <c r="D1858" s="22" t="s">
        <v>2</v>
      </c>
      <c r="E1858" s="20">
        <v>1</v>
      </c>
      <c r="F1858" s="17" t="s">
        <v>261</v>
      </c>
      <c r="G1858" s="17" t="s">
        <v>285</v>
      </c>
      <c r="H1858" s="17" t="s">
        <v>286</v>
      </c>
      <c r="I1858" s="17" t="s">
        <v>287</v>
      </c>
      <c r="J1858" s="27" t="s">
        <v>136</v>
      </c>
      <c r="K1858" s="29">
        <v>49</v>
      </c>
      <c r="L1858" s="31">
        <v>11793.74000012</v>
      </c>
      <c r="M1858" s="31">
        <v>2362.7199999899995</v>
      </c>
      <c r="N1858" s="31">
        <v>1882.289999992</v>
      </c>
      <c r="O1858" s="34">
        <f t="shared" si="248"/>
        <v>0.20033678883593831</v>
      </c>
      <c r="P1858" s="34">
        <f t="shared" si="249"/>
        <v>0.79666232139227966</v>
      </c>
      <c r="Q1858" s="34">
        <f t="shared" si="250"/>
        <v>0.79966321116406169</v>
      </c>
      <c r="R1858" s="46">
        <f t="shared" si="251"/>
        <v>38.414081632489797</v>
      </c>
    </row>
    <row r="1859" spans="2:18" ht="12.75" customHeight="1" x14ac:dyDescent="0.25">
      <c r="B1859" s="17" t="s">
        <v>0</v>
      </c>
      <c r="C1859" s="44" t="s">
        <v>10</v>
      </c>
      <c r="D1859" s="22" t="s">
        <v>2</v>
      </c>
      <c r="E1859" s="20">
        <v>1</v>
      </c>
      <c r="F1859" s="17" t="s">
        <v>261</v>
      </c>
      <c r="G1859" s="17" t="s">
        <v>285</v>
      </c>
      <c r="H1859" s="17" t="s">
        <v>286</v>
      </c>
      <c r="I1859" s="17" t="s">
        <v>287</v>
      </c>
      <c r="J1859" s="27" t="s">
        <v>11</v>
      </c>
      <c r="K1859" s="29">
        <v>52</v>
      </c>
      <c r="L1859" s="31">
        <v>37128</v>
      </c>
      <c r="M1859" s="31">
        <v>2250.5200000119999</v>
      </c>
      <c r="N1859" s="31">
        <v>1789.5299999809999</v>
      </c>
      <c r="O1859" s="34">
        <f t="shared" si="248"/>
        <v>6.0615169144904113E-2</v>
      </c>
      <c r="P1859" s="34">
        <f t="shared" si="249"/>
        <v>0.79516289567364795</v>
      </c>
      <c r="Q1859" s="34">
        <f t="shared" si="250"/>
        <v>0.93938483085509583</v>
      </c>
      <c r="R1859" s="46">
        <f t="shared" si="251"/>
        <v>34.414038461173078</v>
      </c>
    </row>
    <row r="1860" spans="2:18" ht="12.75" customHeight="1" x14ac:dyDescent="0.25">
      <c r="B1860" s="17" t="s">
        <v>0</v>
      </c>
      <c r="C1860" s="44" t="s">
        <v>172</v>
      </c>
      <c r="D1860" s="22" t="s">
        <v>2</v>
      </c>
      <c r="E1860" s="20">
        <v>1</v>
      </c>
      <c r="F1860" s="17" t="s">
        <v>261</v>
      </c>
      <c r="G1860" s="17" t="s">
        <v>285</v>
      </c>
      <c r="H1860" s="17" t="s">
        <v>286</v>
      </c>
      <c r="I1860" s="17" t="s">
        <v>287</v>
      </c>
      <c r="J1860" s="27" t="s">
        <v>173</v>
      </c>
      <c r="K1860" s="29">
        <v>12</v>
      </c>
      <c r="L1860" s="31">
        <v>6468</v>
      </c>
      <c r="M1860" s="31">
        <v>2083.1199999600003</v>
      </c>
      <c r="N1860" s="31">
        <v>1584.02000004</v>
      </c>
      <c r="O1860" s="34">
        <f t="shared" si="248"/>
        <v>0.32206555348794069</v>
      </c>
      <c r="P1860" s="34">
        <f t="shared" si="249"/>
        <v>0.76040746575829332</v>
      </c>
      <c r="Q1860" s="34">
        <f t="shared" si="250"/>
        <v>0.67793444651205936</v>
      </c>
      <c r="R1860" s="46">
        <f t="shared" si="251"/>
        <v>132.00166666999999</v>
      </c>
    </row>
    <row r="1861" spans="2:18" ht="12.75" customHeight="1" x14ac:dyDescent="0.25">
      <c r="B1861" s="17" t="s">
        <v>0</v>
      </c>
      <c r="C1861" s="44" t="s">
        <v>34</v>
      </c>
      <c r="D1861" s="22" t="s">
        <v>2</v>
      </c>
      <c r="E1861" s="20">
        <v>1</v>
      </c>
      <c r="F1861" s="17" t="s">
        <v>261</v>
      </c>
      <c r="G1861" s="17" t="s">
        <v>285</v>
      </c>
      <c r="H1861" s="17" t="s">
        <v>286</v>
      </c>
      <c r="I1861" s="17" t="s">
        <v>287</v>
      </c>
      <c r="J1861" s="27" t="s">
        <v>35</v>
      </c>
      <c r="K1861" s="29">
        <v>14</v>
      </c>
      <c r="L1861" s="31">
        <v>48500.000000200002</v>
      </c>
      <c r="M1861" s="31">
        <v>1465.5399999799999</v>
      </c>
      <c r="N1861" s="31">
        <v>1167.619999994</v>
      </c>
      <c r="O1861" s="34">
        <f t="shared" si="248"/>
        <v>3.0217319587091885E-2</v>
      </c>
      <c r="P1861" s="34">
        <f t="shared" si="249"/>
        <v>0.79671656864359508</v>
      </c>
      <c r="Q1861" s="34">
        <f t="shared" si="250"/>
        <v>0.96978268041290816</v>
      </c>
      <c r="R1861" s="46">
        <f t="shared" si="251"/>
        <v>83.401428570999997</v>
      </c>
    </row>
    <row r="1862" spans="2:18" ht="12.75" customHeight="1" x14ac:dyDescent="0.25">
      <c r="B1862" s="17" t="s">
        <v>0</v>
      </c>
      <c r="C1862" s="44" t="s">
        <v>32</v>
      </c>
      <c r="D1862" s="22" t="s">
        <v>2</v>
      </c>
      <c r="E1862" s="20">
        <v>1</v>
      </c>
      <c r="F1862" s="17" t="s">
        <v>261</v>
      </c>
      <c r="G1862" s="17" t="s">
        <v>285</v>
      </c>
      <c r="H1862" s="17" t="s">
        <v>286</v>
      </c>
      <c r="I1862" s="17" t="s">
        <v>287</v>
      </c>
      <c r="J1862" s="27" t="s">
        <v>33</v>
      </c>
      <c r="K1862" s="29">
        <v>33</v>
      </c>
      <c r="L1862" s="31">
        <v>1758.9900000090001</v>
      </c>
      <c r="M1862" s="31">
        <v>1355.3000000100001</v>
      </c>
      <c r="N1862" s="31">
        <v>1058.4499999919999</v>
      </c>
      <c r="O1862" s="34">
        <f t="shared" si="248"/>
        <v>0.77049897952976731</v>
      </c>
      <c r="P1862" s="34">
        <f t="shared" si="249"/>
        <v>0.78097100271835762</v>
      </c>
      <c r="Q1862" s="34">
        <f t="shared" si="250"/>
        <v>0.22950102047023269</v>
      </c>
      <c r="R1862" s="46">
        <f t="shared" si="251"/>
        <v>32.074242423999998</v>
      </c>
    </row>
    <row r="1863" spans="2:18" ht="12.75" customHeight="1" x14ac:dyDescent="0.25">
      <c r="B1863" s="17" t="s">
        <v>0</v>
      </c>
      <c r="C1863" s="44" t="s">
        <v>16</v>
      </c>
      <c r="D1863" s="22" t="s">
        <v>2</v>
      </c>
      <c r="E1863" s="20">
        <v>1</v>
      </c>
      <c r="F1863" s="17" t="s">
        <v>261</v>
      </c>
      <c r="G1863" s="17" t="s">
        <v>285</v>
      </c>
      <c r="H1863" s="17" t="s">
        <v>286</v>
      </c>
      <c r="I1863" s="17" t="s">
        <v>287</v>
      </c>
      <c r="J1863" s="27" t="s">
        <v>17</v>
      </c>
      <c r="K1863" s="29">
        <v>28</v>
      </c>
      <c r="L1863" s="31">
        <v>4256</v>
      </c>
      <c r="M1863" s="31">
        <v>1264.55</v>
      </c>
      <c r="N1863" s="31">
        <v>1011.8000000080001</v>
      </c>
      <c r="O1863" s="34">
        <f t="shared" si="248"/>
        <v>0.29712171052631575</v>
      </c>
      <c r="P1863" s="34">
        <f t="shared" si="249"/>
        <v>0.80012652722944932</v>
      </c>
      <c r="Q1863" s="34">
        <f t="shared" si="250"/>
        <v>0.70287828947368425</v>
      </c>
      <c r="R1863" s="46">
        <f t="shared" si="251"/>
        <v>36.135714286000002</v>
      </c>
    </row>
    <row r="1864" spans="2:18" ht="12.75" customHeight="1" x14ac:dyDescent="0.25">
      <c r="B1864" s="17" t="s">
        <v>0</v>
      </c>
      <c r="C1864" s="44" t="s">
        <v>66</v>
      </c>
      <c r="D1864" s="22" t="s">
        <v>2</v>
      </c>
      <c r="E1864" s="20">
        <v>1</v>
      </c>
      <c r="F1864" s="17" t="s">
        <v>261</v>
      </c>
      <c r="G1864" s="17" t="s">
        <v>285</v>
      </c>
      <c r="H1864" s="17" t="s">
        <v>286</v>
      </c>
      <c r="I1864" s="17" t="s">
        <v>287</v>
      </c>
      <c r="J1864" s="27" t="s">
        <v>67</v>
      </c>
      <c r="K1864" s="29">
        <v>20</v>
      </c>
      <c r="L1864" s="31">
        <v>8040</v>
      </c>
      <c r="M1864" s="31">
        <v>878.84</v>
      </c>
      <c r="N1864" s="31">
        <v>664.05</v>
      </c>
      <c r="O1864" s="34">
        <f t="shared" si="248"/>
        <v>0.10930845771144279</v>
      </c>
      <c r="P1864" s="34">
        <f t="shared" si="249"/>
        <v>0.75559828865322465</v>
      </c>
      <c r="Q1864" s="34">
        <f t="shared" si="250"/>
        <v>0.89069154228855718</v>
      </c>
      <c r="R1864" s="46">
        <f t="shared" si="251"/>
        <v>33.202500000000001</v>
      </c>
    </row>
    <row r="1865" spans="2:18" ht="12.75" customHeight="1" thickBot="1" x14ac:dyDescent="0.3">
      <c r="B1865" s="15" t="s">
        <v>0</v>
      </c>
      <c r="C1865" s="50" t="s">
        <v>16</v>
      </c>
      <c r="D1865" s="19" t="s">
        <v>9</v>
      </c>
      <c r="E1865" s="16">
        <v>2</v>
      </c>
      <c r="F1865" s="15" t="s">
        <v>261</v>
      </c>
      <c r="G1865" s="15" t="s">
        <v>285</v>
      </c>
      <c r="H1865" s="15" t="s">
        <v>286</v>
      </c>
      <c r="I1865" s="15" t="s">
        <v>287</v>
      </c>
      <c r="J1865" s="24" t="s">
        <v>17</v>
      </c>
      <c r="K1865" s="26">
        <v>21</v>
      </c>
      <c r="L1865" s="28">
        <v>1142.4299999909999</v>
      </c>
      <c r="M1865" s="28">
        <v>187.29999999900002</v>
      </c>
      <c r="N1865" s="28">
        <v>138.21999999989998</v>
      </c>
      <c r="O1865" s="32">
        <f t="shared" si="248"/>
        <v>0.16394877585539208</v>
      </c>
      <c r="P1865" s="32">
        <f t="shared" si="249"/>
        <v>0.73796049119400919</v>
      </c>
      <c r="Q1865" s="32">
        <f t="shared" si="250"/>
        <v>0.83605122414460786</v>
      </c>
      <c r="R1865" s="49">
        <f t="shared" si="251"/>
        <v>6.5819047618999988</v>
      </c>
    </row>
    <row r="1866" spans="2:18" ht="17.25" customHeight="1" x14ac:dyDescent="0.25">
      <c r="B1866" s="48"/>
      <c r="C1866" s="58"/>
      <c r="D1866" s="51" t="s">
        <v>366</v>
      </c>
      <c r="E1866" s="52"/>
      <c r="F1866" s="52"/>
      <c r="G1866" s="53"/>
      <c r="H1866" s="53"/>
      <c r="I1866" s="53"/>
      <c r="J1866" s="54"/>
      <c r="K1866" s="55">
        <f>SUM(K1803:K1865)</f>
        <v>131048</v>
      </c>
      <c r="L1866" s="56">
        <f>SUM(L1803:L1865)</f>
        <v>470631353.91024685</v>
      </c>
      <c r="M1866" s="56">
        <f>SUM(M1803:M1865)</f>
        <v>121646039.49989849</v>
      </c>
      <c r="N1866" s="56">
        <f>SUM(N1803:N1865)</f>
        <v>96697097.36000447</v>
      </c>
      <c r="O1866" s="57">
        <f>IFERROR(M1866/L1866,0)</f>
        <v>0.25847415071095614</v>
      </c>
      <c r="P1866" s="57">
        <f>IFERROR(N1866/M1866,0)</f>
        <v>0.79490543019351778</v>
      </c>
      <c r="Q1866" s="57">
        <f>IFERROR(1-(M1866/L1866),0)</f>
        <v>0.74152584928904386</v>
      </c>
      <c r="R1866" s="59">
        <f>IFERROR(N1866/K1866,0)</f>
        <v>737.87541480987477</v>
      </c>
    </row>
    <row r="1867" spans="2:18" ht="15.75" thickBot="1" x14ac:dyDescent="0.3">
      <c r="B1867" s="60"/>
      <c r="C1867" s="64"/>
      <c r="D1867" s="62" t="s">
        <v>287</v>
      </c>
      <c r="E1867" s="61"/>
      <c r="F1867" s="61"/>
      <c r="G1867" s="61"/>
      <c r="H1867" s="61"/>
      <c r="I1867" s="61"/>
      <c r="J1867" s="61"/>
      <c r="K1867" s="63"/>
      <c r="L1867" s="63"/>
      <c r="M1867" s="63"/>
      <c r="N1867" s="63"/>
      <c r="O1867" s="63"/>
      <c r="P1867" s="63"/>
      <c r="Q1867" s="63"/>
      <c r="R1867" s="65"/>
    </row>
    <row r="1868" spans="2:18" ht="15.75" thickBot="1" x14ac:dyDescent="0.3"/>
    <row r="1869" spans="2:18" ht="15.75" x14ac:dyDescent="0.25">
      <c r="B1869" s="1"/>
      <c r="C1869" s="7" t="s">
        <v>348</v>
      </c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9"/>
    </row>
    <row r="1870" spans="2:18" ht="18" x14ac:dyDescent="0.25">
      <c r="B1870" s="2"/>
      <c r="C1870" s="8" t="s">
        <v>292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10"/>
    </row>
    <row r="1871" spans="2:18" ht="15.75" thickBot="1" x14ac:dyDescent="0.3">
      <c r="B1871" s="3"/>
      <c r="C1871" s="11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12"/>
    </row>
    <row r="1872" spans="2:18" ht="17.25" customHeight="1" thickBot="1" x14ac:dyDescent="0.3">
      <c r="B1872" s="14" t="s">
        <v>349</v>
      </c>
      <c r="C1872" s="18" t="s">
        <v>350</v>
      </c>
      <c r="D1872" s="21" t="s">
        <v>351</v>
      </c>
      <c r="E1872" s="23" t="s">
        <v>352</v>
      </c>
      <c r="F1872" s="21" t="s">
        <v>353</v>
      </c>
      <c r="G1872" s="23" t="s">
        <v>354</v>
      </c>
      <c r="H1872" s="23" t="s">
        <v>355</v>
      </c>
      <c r="I1872" s="23" t="s">
        <v>356</v>
      </c>
      <c r="J1872" s="25" t="s">
        <v>357</v>
      </c>
      <c r="K1872" s="25" t="s">
        <v>358</v>
      </c>
      <c r="L1872" s="30" t="s">
        <v>359</v>
      </c>
      <c r="M1872" s="30" t="s">
        <v>360</v>
      </c>
      <c r="N1872" s="30" t="s">
        <v>361</v>
      </c>
      <c r="O1872" s="33" t="s">
        <v>362</v>
      </c>
      <c r="P1872" s="33" t="s">
        <v>363</v>
      </c>
      <c r="Q1872" s="33" t="s">
        <v>364</v>
      </c>
      <c r="R1872" s="35" t="s">
        <v>365</v>
      </c>
    </row>
    <row r="1873" spans="2:18" ht="12.75" customHeight="1" x14ac:dyDescent="0.25">
      <c r="B1873" s="17" t="s">
        <v>0</v>
      </c>
      <c r="C1873" s="43" t="s">
        <v>288</v>
      </c>
      <c r="D1873" s="37" t="s">
        <v>9</v>
      </c>
      <c r="E1873" s="36">
        <v>2</v>
      </c>
      <c r="F1873" s="38" t="s">
        <v>289</v>
      </c>
      <c r="G1873" s="38" t="s">
        <v>290</v>
      </c>
      <c r="H1873" s="38" t="s">
        <v>291</v>
      </c>
      <c r="I1873" s="38" t="s">
        <v>292</v>
      </c>
      <c r="J1873" s="39" t="s">
        <v>293</v>
      </c>
      <c r="K1873" s="40">
        <v>975063</v>
      </c>
      <c r="L1873" s="41">
        <v>200199034.12925956</v>
      </c>
      <c r="M1873" s="41">
        <v>57560958.77415438</v>
      </c>
      <c r="N1873" s="41">
        <v>44561743.453906246</v>
      </c>
      <c r="O1873" s="42">
        <f t="shared" ref="O1873:O1902" si="252">IFERROR(M1873/L1873,0)</f>
        <v>0.2875186637363587</v>
      </c>
      <c r="P1873" s="42">
        <f t="shared" ref="P1873:P1902" si="253">IFERROR(N1873/M1873,0)</f>
        <v>0.77416610846855882</v>
      </c>
      <c r="Q1873" s="42">
        <f t="shared" ref="Q1873:Q1902" si="254">IFERROR(1-(M1873/L1873),0)</f>
        <v>0.7124813362636413</v>
      </c>
      <c r="R1873" s="45">
        <f t="shared" ref="R1873:R1902" si="255">IFERROR(N1873/K1873,0)</f>
        <v>45.701399246926862</v>
      </c>
    </row>
    <row r="1874" spans="2:18" ht="12.75" customHeight="1" x14ac:dyDescent="0.25">
      <c r="B1874" s="17" t="s">
        <v>0</v>
      </c>
      <c r="C1874" s="44" t="s">
        <v>180</v>
      </c>
      <c r="D1874" s="22" t="s">
        <v>9</v>
      </c>
      <c r="E1874" s="20">
        <v>2</v>
      </c>
      <c r="F1874" s="17" t="s">
        <v>289</v>
      </c>
      <c r="G1874" s="17" t="s">
        <v>290</v>
      </c>
      <c r="H1874" s="17" t="s">
        <v>291</v>
      </c>
      <c r="I1874" s="17" t="s">
        <v>292</v>
      </c>
      <c r="J1874" s="27" t="s">
        <v>181</v>
      </c>
      <c r="K1874" s="29">
        <v>585883</v>
      </c>
      <c r="L1874" s="31">
        <v>126954015.13030781</v>
      </c>
      <c r="M1874" s="31">
        <v>36292390.309988789</v>
      </c>
      <c r="N1874" s="31">
        <v>27799208.050007712</v>
      </c>
      <c r="O1874" s="34">
        <f t="shared" si="252"/>
        <v>0.28587036237284541</v>
      </c>
      <c r="P1874" s="34">
        <f t="shared" si="253"/>
        <v>0.76597897830820227</v>
      </c>
      <c r="Q1874" s="34">
        <f t="shared" si="254"/>
        <v>0.71412963762715465</v>
      </c>
      <c r="R1874" s="46">
        <f t="shared" si="255"/>
        <v>47.448395072066802</v>
      </c>
    </row>
    <row r="1875" spans="2:18" ht="12.75" customHeight="1" x14ac:dyDescent="0.25">
      <c r="B1875" s="17" t="s">
        <v>0</v>
      </c>
      <c r="C1875" s="44" t="s">
        <v>180</v>
      </c>
      <c r="D1875" s="22" t="s">
        <v>2</v>
      </c>
      <c r="E1875" s="20">
        <v>1</v>
      </c>
      <c r="F1875" s="17" t="s">
        <v>289</v>
      </c>
      <c r="G1875" s="17" t="s">
        <v>290</v>
      </c>
      <c r="H1875" s="17" t="s">
        <v>291</v>
      </c>
      <c r="I1875" s="17" t="s">
        <v>292</v>
      </c>
      <c r="J1875" s="27" t="s">
        <v>181</v>
      </c>
      <c r="K1875" s="29">
        <v>943516</v>
      </c>
      <c r="L1875" s="31">
        <v>218051297.85006043</v>
      </c>
      <c r="M1875" s="31">
        <v>33693118.109998316</v>
      </c>
      <c r="N1875" s="31">
        <v>26401069.160003193</v>
      </c>
      <c r="O1875" s="34">
        <f t="shared" si="252"/>
        <v>0.15451922754968817</v>
      </c>
      <c r="P1875" s="34">
        <f t="shared" si="253"/>
        <v>0.78357452919054016</v>
      </c>
      <c r="Q1875" s="34">
        <f t="shared" si="254"/>
        <v>0.84548077245031183</v>
      </c>
      <c r="R1875" s="46">
        <f t="shared" si="255"/>
        <v>27.981580768109065</v>
      </c>
    </row>
    <row r="1876" spans="2:18" ht="12.75" customHeight="1" x14ac:dyDescent="0.25">
      <c r="B1876" s="17" t="s">
        <v>0</v>
      </c>
      <c r="C1876" s="44" t="s">
        <v>82</v>
      </c>
      <c r="D1876" s="22" t="s">
        <v>9</v>
      </c>
      <c r="E1876" s="20">
        <v>2</v>
      </c>
      <c r="F1876" s="17" t="s">
        <v>289</v>
      </c>
      <c r="G1876" s="17" t="s">
        <v>290</v>
      </c>
      <c r="H1876" s="17" t="s">
        <v>291</v>
      </c>
      <c r="I1876" s="17" t="s">
        <v>292</v>
      </c>
      <c r="J1876" s="27" t="s">
        <v>83</v>
      </c>
      <c r="K1876" s="29">
        <v>216301</v>
      </c>
      <c r="L1876" s="31">
        <v>45533845.390019894</v>
      </c>
      <c r="M1876" s="31">
        <v>13615966.000009649</v>
      </c>
      <c r="N1876" s="31">
        <v>10313799.110008346</v>
      </c>
      <c r="O1876" s="34">
        <f t="shared" si="252"/>
        <v>0.29902956544482834</v>
      </c>
      <c r="P1876" s="34">
        <f t="shared" si="253"/>
        <v>0.75747832434371809</v>
      </c>
      <c r="Q1876" s="34">
        <f t="shared" si="254"/>
        <v>0.70097043455517172</v>
      </c>
      <c r="R1876" s="46">
        <f t="shared" si="255"/>
        <v>47.68262333511332</v>
      </c>
    </row>
    <row r="1877" spans="2:18" ht="12.75" customHeight="1" x14ac:dyDescent="0.25">
      <c r="B1877" s="17" t="s">
        <v>0</v>
      </c>
      <c r="C1877" s="44" t="s">
        <v>48</v>
      </c>
      <c r="D1877" s="22" t="s">
        <v>9</v>
      </c>
      <c r="E1877" s="20">
        <v>2</v>
      </c>
      <c r="F1877" s="17" t="s">
        <v>289</v>
      </c>
      <c r="G1877" s="17" t="s">
        <v>290</v>
      </c>
      <c r="H1877" s="17" t="s">
        <v>291</v>
      </c>
      <c r="I1877" s="17" t="s">
        <v>292</v>
      </c>
      <c r="J1877" s="27" t="s">
        <v>49</v>
      </c>
      <c r="K1877" s="29">
        <v>47104</v>
      </c>
      <c r="L1877" s="31">
        <v>8239819.589980918</v>
      </c>
      <c r="M1877" s="31">
        <v>2195533.2899989365</v>
      </c>
      <c r="N1877" s="31">
        <v>1725432.9400014326</v>
      </c>
      <c r="O1877" s="34">
        <f t="shared" si="252"/>
        <v>0.26645404866249273</v>
      </c>
      <c r="P1877" s="34">
        <f t="shared" si="253"/>
        <v>0.78588329671934443</v>
      </c>
      <c r="Q1877" s="34">
        <f t="shared" si="254"/>
        <v>0.73354595133750733</v>
      </c>
      <c r="R1877" s="46">
        <f t="shared" si="255"/>
        <v>36.630284901524981</v>
      </c>
    </row>
    <row r="1878" spans="2:18" ht="12.75" customHeight="1" x14ac:dyDescent="0.25">
      <c r="B1878" s="17" t="s">
        <v>0</v>
      </c>
      <c r="C1878" s="44" t="s">
        <v>288</v>
      </c>
      <c r="D1878" s="22" t="s">
        <v>2</v>
      </c>
      <c r="E1878" s="20">
        <v>1</v>
      </c>
      <c r="F1878" s="17" t="s">
        <v>289</v>
      </c>
      <c r="G1878" s="17" t="s">
        <v>290</v>
      </c>
      <c r="H1878" s="17" t="s">
        <v>291</v>
      </c>
      <c r="I1878" s="17" t="s">
        <v>292</v>
      </c>
      <c r="J1878" s="27" t="s">
        <v>293</v>
      </c>
      <c r="K1878" s="29">
        <v>25192</v>
      </c>
      <c r="L1878" s="31">
        <v>4948089.1800070796</v>
      </c>
      <c r="M1878" s="31">
        <v>1083760.3199947244</v>
      </c>
      <c r="N1878" s="31">
        <v>849934.75999895006</v>
      </c>
      <c r="O1878" s="34">
        <f t="shared" si="252"/>
        <v>0.21902602814308486</v>
      </c>
      <c r="P1878" s="34">
        <f t="shared" si="253"/>
        <v>0.78424605913149459</v>
      </c>
      <c r="Q1878" s="34">
        <f t="shared" si="254"/>
        <v>0.78097397185691508</v>
      </c>
      <c r="R1878" s="46">
        <f t="shared" si="255"/>
        <v>33.738280406436573</v>
      </c>
    </row>
    <row r="1879" spans="2:18" ht="12.75" customHeight="1" x14ac:dyDescent="0.25">
      <c r="B1879" s="17" t="s">
        <v>0</v>
      </c>
      <c r="C1879" s="44" t="s">
        <v>103</v>
      </c>
      <c r="D1879" s="22" t="s">
        <v>9</v>
      </c>
      <c r="E1879" s="20">
        <v>2</v>
      </c>
      <c r="F1879" s="17" t="s">
        <v>289</v>
      </c>
      <c r="G1879" s="17" t="s">
        <v>290</v>
      </c>
      <c r="H1879" s="17" t="s">
        <v>291</v>
      </c>
      <c r="I1879" s="17" t="s">
        <v>292</v>
      </c>
      <c r="J1879" s="27" t="s">
        <v>104</v>
      </c>
      <c r="K1879" s="29">
        <v>10095</v>
      </c>
      <c r="L1879" s="31">
        <v>1264490</v>
      </c>
      <c r="M1879" s="31">
        <v>773416.84999375197</v>
      </c>
      <c r="N1879" s="31">
        <v>612975.91999996395</v>
      </c>
      <c r="O1879" s="34">
        <f t="shared" si="252"/>
        <v>0.61164331073693901</v>
      </c>
      <c r="P1879" s="34">
        <f t="shared" si="253"/>
        <v>0.79255568327082071</v>
      </c>
      <c r="Q1879" s="34">
        <f t="shared" si="254"/>
        <v>0.38835668926306099</v>
      </c>
      <c r="R1879" s="46">
        <f t="shared" si="255"/>
        <v>60.720744923225752</v>
      </c>
    </row>
    <row r="1880" spans="2:18" ht="12.75" customHeight="1" x14ac:dyDescent="0.25">
      <c r="B1880" s="17" t="s">
        <v>0</v>
      </c>
      <c r="C1880" s="44" t="s">
        <v>145</v>
      </c>
      <c r="D1880" s="22" t="s">
        <v>9</v>
      </c>
      <c r="E1880" s="20">
        <v>2</v>
      </c>
      <c r="F1880" s="17" t="s">
        <v>289</v>
      </c>
      <c r="G1880" s="17" t="s">
        <v>290</v>
      </c>
      <c r="H1880" s="17" t="s">
        <v>291</v>
      </c>
      <c r="I1880" s="17" t="s">
        <v>292</v>
      </c>
      <c r="J1880" s="27" t="s">
        <v>146</v>
      </c>
      <c r="K1880" s="29">
        <v>23200</v>
      </c>
      <c r="L1880" s="31">
        <v>3435893.9800000503</v>
      </c>
      <c r="M1880" s="31">
        <v>616998.03999909607</v>
      </c>
      <c r="N1880" s="31">
        <v>487640.81000123784</v>
      </c>
      <c r="O1880" s="34">
        <f t="shared" si="252"/>
        <v>0.17957423703716466</v>
      </c>
      <c r="P1880" s="34">
        <f t="shared" si="253"/>
        <v>0.79034418002681539</v>
      </c>
      <c r="Q1880" s="34">
        <f t="shared" si="254"/>
        <v>0.82042576296283531</v>
      </c>
      <c r="R1880" s="46">
        <f t="shared" si="255"/>
        <v>21.019000431087839</v>
      </c>
    </row>
    <row r="1881" spans="2:18" ht="12.75" customHeight="1" x14ac:dyDescent="0.25">
      <c r="B1881" s="17" t="s">
        <v>0</v>
      </c>
      <c r="C1881" s="44" t="s">
        <v>157</v>
      </c>
      <c r="D1881" s="22" t="s">
        <v>9</v>
      </c>
      <c r="E1881" s="20">
        <v>2</v>
      </c>
      <c r="F1881" s="17" t="s">
        <v>289</v>
      </c>
      <c r="G1881" s="17" t="s">
        <v>290</v>
      </c>
      <c r="H1881" s="17" t="s">
        <v>291</v>
      </c>
      <c r="I1881" s="17" t="s">
        <v>292</v>
      </c>
      <c r="J1881" s="27" t="s">
        <v>158</v>
      </c>
      <c r="K1881" s="29">
        <v>17162</v>
      </c>
      <c r="L1881" s="31">
        <v>2746357.4200001699</v>
      </c>
      <c r="M1881" s="31">
        <v>443329.29999879305</v>
      </c>
      <c r="N1881" s="31">
        <v>349245.76999988104</v>
      </c>
      <c r="O1881" s="34">
        <f t="shared" si="252"/>
        <v>0.16142447329334345</v>
      </c>
      <c r="P1881" s="34">
        <f t="shared" si="253"/>
        <v>0.7877795805529475</v>
      </c>
      <c r="Q1881" s="34">
        <f t="shared" si="254"/>
        <v>0.83857552670665658</v>
      </c>
      <c r="R1881" s="46">
        <f t="shared" si="255"/>
        <v>20.349945810504664</v>
      </c>
    </row>
    <row r="1882" spans="2:18" ht="12.75" customHeight="1" x14ac:dyDescent="0.25">
      <c r="B1882" s="17" t="s">
        <v>0</v>
      </c>
      <c r="C1882" s="44" t="s">
        <v>82</v>
      </c>
      <c r="D1882" s="22" t="s">
        <v>2</v>
      </c>
      <c r="E1882" s="20">
        <v>1</v>
      </c>
      <c r="F1882" s="17" t="s">
        <v>289</v>
      </c>
      <c r="G1882" s="17" t="s">
        <v>290</v>
      </c>
      <c r="H1882" s="17" t="s">
        <v>291</v>
      </c>
      <c r="I1882" s="17" t="s">
        <v>292</v>
      </c>
      <c r="J1882" s="27" t="s">
        <v>83</v>
      </c>
      <c r="K1882" s="29">
        <v>8586</v>
      </c>
      <c r="L1882" s="31">
        <v>1361636.9999985162</v>
      </c>
      <c r="M1882" s="31">
        <v>298791.60000013799</v>
      </c>
      <c r="N1882" s="31">
        <v>219023.10000065091</v>
      </c>
      <c r="O1882" s="34">
        <f t="shared" si="252"/>
        <v>0.21943557644251999</v>
      </c>
      <c r="P1882" s="34">
        <f t="shared" si="253"/>
        <v>0.73302964340546983</v>
      </c>
      <c r="Q1882" s="34">
        <f t="shared" si="254"/>
        <v>0.78056442355748001</v>
      </c>
      <c r="R1882" s="46">
        <f t="shared" si="255"/>
        <v>25.509329140537027</v>
      </c>
    </row>
    <row r="1883" spans="2:18" ht="12.75" customHeight="1" x14ac:dyDescent="0.25">
      <c r="B1883" s="17" t="s">
        <v>0</v>
      </c>
      <c r="C1883" s="44" t="s">
        <v>56</v>
      </c>
      <c r="D1883" s="22" t="s">
        <v>9</v>
      </c>
      <c r="E1883" s="20">
        <v>2</v>
      </c>
      <c r="F1883" s="17" t="s">
        <v>289</v>
      </c>
      <c r="G1883" s="17" t="s">
        <v>290</v>
      </c>
      <c r="H1883" s="17" t="s">
        <v>291</v>
      </c>
      <c r="I1883" s="17" t="s">
        <v>292</v>
      </c>
      <c r="J1883" s="27" t="s">
        <v>57</v>
      </c>
      <c r="K1883" s="29">
        <v>1337</v>
      </c>
      <c r="L1883" s="31">
        <v>944650.20000097004</v>
      </c>
      <c r="M1883" s="31">
        <v>203255.58000006501</v>
      </c>
      <c r="N1883" s="31">
        <v>156346.839999285</v>
      </c>
      <c r="O1883" s="34">
        <f t="shared" si="252"/>
        <v>0.21516491501283364</v>
      </c>
      <c r="P1883" s="34">
        <f t="shared" si="253"/>
        <v>0.76921302725974361</v>
      </c>
      <c r="Q1883" s="34">
        <f t="shared" si="254"/>
        <v>0.78483508498716636</v>
      </c>
      <c r="R1883" s="46">
        <f t="shared" si="255"/>
        <v>116.93854898974196</v>
      </c>
    </row>
    <row r="1884" spans="2:18" ht="12.75" customHeight="1" x14ac:dyDescent="0.25">
      <c r="B1884" s="17" t="s">
        <v>0</v>
      </c>
      <c r="C1884" s="44" t="s">
        <v>30</v>
      </c>
      <c r="D1884" s="22" t="s">
        <v>9</v>
      </c>
      <c r="E1884" s="20">
        <v>2</v>
      </c>
      <c r="F1884" s="17" t="s">
        <v>289</v>
      </c>
      <c r="G1884" s="17" t="s">
        <v>290</v>
      </c>
      <c r="H1884" s="17" t="s">
        <v>291</v>
      </c>
      <c r="I1884" s="17" t="s">
        <v>292</v>
      </c>
      <c r="J1884" s="27" t="s">
        <v>31</v>
      </c>
      <c r="K1884" s="29">
        <v>3812</v>
      </c>
      <c r="L1884" s="31">
        <v>601758.00000039302</v>
      </c>
      <c r="M1884" s="31">
        <v>144874.84999983702</v>
      </c>
      <c r="N1884" s="31">
        <v>112432.28000075502</v>
      </c>
      <c r="O1884" s="34">
        <f t="shared" si="252"/>
        <v>0.24075267798640385</v>
      </c>
      <c r="P1884" s="34">
        <f t="shared" si="253"/>
        <v>0.77606485874450604</v>
      </c>
      <c r="Q1884" s="34">
        <f t="shared" si="254"/>
        <v>0.75924732201359613</v>
      </c>
      <c r="R1884" s="46">
        <f t="shared" si="255"/>
        <v>29.494302203765745</v>
      </c>
    </row>
    <row r="1885" spans="2:18" ht="12.75" customHeight="1" x14ac:dyDescent="0.25">
      <c r="B1885" s="17" t="s">
        <v>0</v>
      </c>
      <c r="C1885" s="44" t="s">
        <v>66</v>
      </c>
      <c r="D1885" s="22" t="s">
        <v>9</v>
      </c>
      <c r="E1885" s="20">
        <v>2</v>
      </c>
      <c r="F1885" s="17" t="s">
        <v>289</v>
      </c>
      <c r="G1885" s="17" t="s">
        <v>290</v>
      </c>
      <c r="H1885" s="17" t="s">
        <v>291</v>
      </c>
      <c r="I1885" s="17" t="s">
        <v>292</v>
      </c>
      <c r="J1885" s="27" t="s">
        <v>67</v>
      </c>
      <c r="K1885" s="29">
        <v>1134</v>
      </c>
      <c r="L1885" s="31">
        <v>452350.40999978001</v>
      </c>
      <c r="M1885" s="31">
        <v>132741.63000130499</v>
      </c>
      <c r="N1885" s="31">
        <v>105833.520000209</v>
      </c>
      <c r="O1885" s="34">
        <f t="shared" si="252"/>
        <v>0.2934486784291177</v>
      </c>
      <c r="P1885" s="34">
        <f t="shared" si="253"/>
        <v>0.79728959181206782</v>
      </c>
      <c r="Q1885" s="34">
        <f t="shared" si="254"/>
        <v>0.7065513215708823</v>
      </c>
      <c r="R1885" s="46">
        <f t="shared" si="255"/>
        <v>93.327619047803353</v>
      </c>
    </row>
    <row r="1886" spans="2:18" ht="12.75" customHeight="1" x14ac:dyDescent="0.25">
      <c r="B1886" s="17" t="s">
        <v>0</v>
      </c>
      <c r="C1886" s="44" t="s">
        <v>174</v>
      </c>
      <c r="D1886" s="22" t="s">
        <v>9</v>
      </c>
      <c r="E1886" s="20">
        <v>2</v>
      </c>
      <c r="F1886" s="17" t="s">
        <v>289</v>
      </c>
      <c r="G1886" s="17" t="s">
        <v>290</v>
      </c>
      <c r="H1886" s="17" t="s">
        <v>291</v>
      </c>
      <c r="I1886" s="17" t="s">
        <v>292</v>
      </c>
      <c r="J1886" s="27" t="s">
        <v>175</v>
      </c>
      <c r="K1886" s="29">
        <v>2369</v>
      </c>
      <c r="L1886" s="31">
        <v>283527.47000149993</v>
      </c>
      <c r="M1886" s="31">
        <v>111069.95999969901</v>
      </c>
      <c r="N1886" s="31">
        <v>85831.569999972809</v>
      </c>
      <c r="O1886" s="34">
        <f t="shared" si="252"/>
        <v>0.3917432056904801</v>
      </c>
      <c r="P1886" s="34">
        <f t="shared" si="253"/>
        <v>0.77277033322246091</v>
      </c>
      <c r="Q1886" s="34">
        <f t="shared" si="254"/>
        <v>0.60825679430951984</v>
      </c>
      <c r="R1886" s="46">
        <f t="shared" si="255"/>
        <v>36.231139721389958</v>
      </c>
    </row>
    <row r="1887" spans="2:18" ht="12.75" customHeight="1" x14ac:dyDescent="0.25">
      <c r="B1887" s="17" t="s">
        <v>0</v>
      </c>
      <c r="C1887" s="44" t="s">
        <v>46</v>
      </c>
      <c r="D1887" s="22" t="s">
        <v>9</v>
      </c>
      <c r="E1887" s="20">
        <v>2</v>
      </c>
      <c r="F1887" s="17" t="s">
        <v>289</v>
      </c>
      <c r="G1887" s="17" t="s">
        <v>290</v>
      </c>
      <c r="H1887" s="17" t="s">
        <v>291</v>
      </c>
      <c r="I1887" s="17" t="s">
        <v>292</v>
      </c>
      <c r="J1887" s="27" t="s">
        <v>47</v>
      </c>
      <c r="K1887" s="29">
        <v>3284</v>
      </c>
      <c r="L1887" s="31">
        <v>602328</v>
      </c>
      <c r="M1887" s="31">
        <v>82454.480000197</v>
      </c>
      <c r="N1887" s="31">
        <v>65117.640000223</v>
      </c>
      <c r="O1887" s="34">
        <f t="shared" si="252"/>
        <v>0.1368929885381337</v>
      </c>
      <c r="P1887" s="34">
        <f t="shared" si="253"/>
        <v>0.78974047256216307</v>
      </c>
      <c r="Q1887" s="34">
        <f t="shared" si="254"/>
        <v>0.8631070114618663</v>
      </c>
      <c r="R1887" s="46">
        <f t="shared" si="255"/>
        <v>19.828757612735384</v>
      </c>
    </row>
    <row r="1888" spans="2:18" ht="12.75" customHeight="1" x14ac:dyDescent="0.25">
      <c r="B1888" s="17" t="s">
        <v>0</v>
      </c>
      <c r="C1888" s="44" t="s">
        <v>196</v>
      </c>
      <c r="D1888" s="22" t="s">
        <v>9</v>
      </c>
      <c r="E1888" s="20">
        <v>2</v>
      </c>
      <c r="F1888" s="17" t="s">
        <v>289</v>
      </c>
      <c r="G1888" s="17" t="s">
        <v>290</v>
      </c>
      <c r="H1888" s="17" t="s">
        <v>291</v>
      </c>
      <c r="I1888" s="17" t="s">
        <v>292</v>
      </c>
      <c r="J1888" s="27" t="s">
        <v>197</v>
      </c>
      <c r="K1888" s="29">
        <v>982</v>
      </c>
      <c r="L1888" s="31">
        <v>216025.99999845203</v>
      </c>
      <c r="M1888" s="31">
        <v>77182.209999458995</v>
      </c>
      <c r="N1888" s="31">
        <v>55038.920000158803</v>
      </c>
      <c r="O1888" s="34">
        <f t="shared" si="252"/>
        <v>0.35728204012485559</v>
      </c>
      <c r="P1888" s="34">
        <f t="shared" si="253"/>
        <v>0.71310370615903063</v>
      </c>
      <c r="Q1888" s="34">
        <f t="shared" si="254"/>
        <v>0.64271795987514446</v>
      </c>
      <c r="R1888" s="46">
        <f t="shared" si="255"/>
        <v>56.047780040894914</v>
      </c>
    </row>
    <row r="1889" spans="2:18" ht="12.75" customHeight="1" x14ac:dyDescent="0.25">
      <c r="B1889" s="17" t="s">
        <v>0</v>
      </c>
      <c r="C1889" s="44" t="s">
        <v>227</v>
      </c>
      <c r="D1889" s="22" t="s">
        <v>9</v>
      </c>
      <c r="E1889" s="20">
        <v>2</v>
      </c>
      <c r="F1889" s="17" t="s">
        <v>289</v>
      </c>
      <c r="G1889" s="17" t="s">
        <v>290</v>
      </c>
      <c r="H1889" s="17" t="s">
        <v>291</v>
      </c>
      <c r="I1889" s="17" t="s">
        <v>292</v>
      </c>
      <c r="J1889" s="27" t="s">
        <v>228</v>
      </c>
      <c r="K1889" s="29">
        <v>136</v>
      </c>
      <c r="L1889" s="31">
        <v>91338</v>
      </c>
      <c r="M1889" s="31">
        <v>41048.999999629996</v>
      </c>
      <c r="N1889" s="31">
        <v>34368.800000150004</v>
      </c>
      <c r="O1889" s="34">
        <f t="shared" si="252"/>
        <v>0.4494186428390155</v>
      </c>
      <c r="P1889" s="34">
        <f t="shared" si="253"/>
        <v>0.83726278351384431</v>
      </c>
      <c r="Q1889" s="34">
        <f t="shared" si="254"/>
        <v>0.55058135716098455</v>
      </c>
      <c r="R1889" s="46">
        <f t="shared" si="255"/>
        <v>252.71176470698532</v>
      </c>
    </row>
    <row r="1890" spans="2:18" ht="12.75" customHeight="1" x14ac:dyDescent="0.25">
      <c r="B1890" s="17" t="s">
        <v>0</v>
      </c>
      <c r="C1890" s="44" t="s">
        <v>159</v>
      </c>
      <c r="D1890" s="22" t="s">
        <v>9</v>
      </c>
      <c r="E1890" s="20">
        <v>2</v>
      </c>
      <c r="F1890" s="17" t="s">
        <v>289</v>
      </c>
      <c r="G1890" s="17" t="s">
        <v>290</v>
      </c>
      <c r="H1890" s="17" t="s">
        <v>291</v>
      </c>
      <c r="I1890" s="17" t="s">
        <v>292</v>
      </c>
      <c r="J1890" s="27" t="s">
        <v>160</v>
      </c>
      <c r="K1890" s="29">
        <v>1152</v>
      </c>
      <c r="L1890" s="31">
        <v>212788</v>
      </c>
      <c r="M1890" s="31">
        <v>27536.579999599999</v>
      </c>
      <c r="N1890" s="31">
        <v>21939.599999724003</v>
      </c>
      <c r="O1890" s="34">
        <f t="shared" si="252"/>
        <v>0.12940851927552305</v>
      </c>
      <c r="P1890" s="34">
        <f t="shared" si="253"/>
        <v>0.79674382221912454</v>
      </c>
      <c r="Q1890" s="34">
        <f t="shared" si="254"/>
        <v>0.87059148072447701</v>
      </c>
      <c r="R1890" s="46">
        <f t="shared" si="255"/>
        <v>19.044791666427088</v>
      </c>
    </row>
    <row r="1891" spans="2:18" ht="12.75" customHeight="1" x14ac:dyDescent="0.25">
      <c r="B1891" s="17" t="s">
        <v>0</v>
      </c>
      <c r="C1891" s="44" t="s">
        <v>196</v>
      </c>
      <c r="D1891" s="22" t="s">
        <v>2</v>
      </c>
      <c r="E1891" s="20">
        <v>1</v>
      </c>
      <c r="F1891" s="17" t="s">
        <v>289</v>
      </c>
      <c r="G1891" s="17" t="s">
        <v>290</v>
      </c>
      <c r="H1891" s="17" t="s">
        <v>291</v>
      </c>
      <c r="I1891" s="17" t="s">
        <v>292</v>
      </c>
      <c r="J1891" s="27" t="s">
        <v>197</v>
      </c>
      <c r="K1891" s="29">
        <v>670</v>
      </c>
      <c r="L1891" s="31">
        <v>133240</v>
      </c>
      <c r="M1891" s="31">
        <v>27292.109999838001</v>
      </c>
      <c r="N1891" s="31">
        <v>21738.470000114601</v>
      </c>
      <c r="O1891" s="34">
        <f t="shared" si="252"/>
        <v>0.20483420894504653</v>
      </c>
      <c r="P1891" s="34">
        <f t="shared" si="253"/>
        <v>0.79651115286592478</v>
      </c>
      <c r="Q1891" s="34">
        <f t="shared" si="254"/>
        <v>0.79516579105495344</v>
      </c>
      <c r="R1891" s="46">
        <f t="shared" si="255"/>
        <v>32.445477612111347</v>
      </c>
    </row>
    <row r="1892" spans="2:18" ht="12.75" customHeight="1" x14ac:dyDescent="0.25">
      <c r="B1892" s="17" t="s">
        <v>0</v>
      </c>
      <c r="C1892" s="44" t="s">
        <v>48</v>
      </c>
      <c r="D1892" s="22" t="s">
        <v>2</v>
      </c>
      <c r="E1892" s="20">
        <v>1</v>
      </c>
      <c r="F1892" s="17" t="s">
        <v>289</v>
      </c>
      <c r="G1892" s="17" t="s">
        <v>290</v>
      </c>
      <c r="H1892" s="17" t="s">
        <v>291</v>
      </c>
      <c r="I1892" s="17" t="s">
        <v>292</v>
      </c>
      <c r="J1892" s="27" t="s">
        <v>49</v>
      </c>
      <c r="K1892" s="29">
        <v>541</v>
      </c>
      <c r="L1892" s="31">
        <v>100420</v>
      </c>
      <c r="M1892" s="31">
        <v>26402.499999872998</v>
      </c>
      <c r="N1892" s="31">
        <v>20907.350000057999</v>
      </c>
      <c r="O1892" s="34">
        <f t="shared" si="252"/>
        <v>0.26292073292046403</v>
      </c>
      <c r="P1892" s="34">
        <f t="shared" si="253"/>
        <v>0.79187008806584858</v>
      </c>
      <c r="Q1892" s="34">
        <f t="shared" si="254"/>
        <v>0.73707926707953597</v>
      </c>
      <c r="R1892" s="46">
        <f t="shared" si="255"/>
        <v>38.645748613785578</v>
      </c>
    </row>
    <row r="1893" spans="2:18" ht="12.75" customHeight="1" x14ac:dyDescent="0.25">
      <c r="B1893" s="17" t="s">
        <v>0</v>
      </c>
      <c r="C1893" s="44" t="s">
        <v>114</v>
      </c>
      <c r="D1893" s="22" t="s">
        <v>9</v>
      </c>
      <c r="E1893" s="20">
        <v>2</v>
      </c>
      <c r="F1893" s="17" t="s">
        <v>289</v>
      </c>
      <c r="G1893" s="17" t="s">
        <v>290</v>
      </c>
      <c r="H1893" s="17" t="s">
        <v>291</v>
      </c>
      <c r="I1893" s="17" t="s">
        <v>292</v>
      </c>
      <c r="J1893" s="27" t="s">
        <v>118</v>
      </c>
      <c r="K1893" s="29">
        <v>372</v>
      </c>
      <c r="L1893" s="31">
        <v>45930</v>
      </c>
      <c r="M1893" s="31">
        <v>21762.079999993002</v>
      </c>
      <c r="N1893" s="31">
        <v>17296.729999950003</v>
      </c>
      <c r="O1893" s="34">
        <f t="shared" si="252"/>
        <v>0.47380971042876119</v>
      </c>
      <c r="P1893" s="34">
        <f t="shared" si="253"/>
        <v>0.79481051443407824</v>
      </c>
      <c r="Q1893" s="34">
        <f t="shared" si="254"/>
        <v>0.52619028957123881</v>
      </c>
      <c r="R1893" s="46">
        <f t="shared" si="255"/>
        <v>46.496586021370973</v>
      </c>
    </row>
    <row r="1894" spans="2:18" ht="12.75" customHeight="1" x14ac:dyDescent="0.25">
      <c r="B1894" s="17" t="s">
        <v>0</v>
      </c>
      <c r="C1894" s="44" t="s">
        <v>50</v>
      </c>
      <c r="D1894" s="22" t="s">
        <v>9</v>
      </c>
      <c r="E1894" s="20">
        <v>2</v>
      </c>
      <c r="F1894" s="17" t="s">
        <v>289</v>
      </c>
      <c r="G1894" s="17" t="s">
        <v>290</v>
      </c>
      <c r="H1894" s="17" t="s">
        <v>291</v>
      </c>
      <c r="I1894" s="17" t="s">
        <v>292</v>
      </c>
      <c r="J1894" s="27" t="s">
        <v>51</v>
      </c>
      <c r="K1894" s="29">
        <v>346</v>
      </c>
      <c r="L1894" s="31">
        <v>56156</v>
      </c>
      <c r="M1894" s="31">
        <v>9282.2600001170013</v>
      </c>
      <c r="N1894" s="31">
        <v>7396.2699999129991</v>
      </c>
      <c r="O1894" s="34">
        <f t="shared" si="252"/>
        <v>0.16529418049926992</v>
      </c>
      <c r="P1894" s="34">
        <f t="shared" si="253"/>
        <v>0.79681780081787956</v>
      </c>
      <c r="Q1894" s="34">
        <f t="shared" si="254"/>
        <v>0.83470581950073008</v>
      </c>
      <c r="R1894" s="46">
        <f t="shared" si="255"/>
        <v>21.376502889921962</v>
      </c>
    </row>
    <row r="1895" spans="2:18" ht="12.75" customHeight="1" x14ac:dyDescent="0.25">
      <c r="B1895" s="17" t="s">
        <v>0</v>
      </c>
      <c r="C1895" s="44" t="s">
        <v>110</v>
      </c>
      <c r="D1895" s="22" t="s">
        <v>9</v>
      </c>
      <c r="E1895" s="20">
        <v>2</v>
      </c>
      <c r="F1895" s="17" t="s">
        <v>289</v>
      </c>
      <c r="G1895" s="17" t="s">
        <v>290</v>
      </c>
      <c r="H1895" s="17" t="s">
        <v>291</v>
      </c>
      <c r="I1895" s="17" t="s">
        <v>292</v>
      </c>
      <c r="J1895" s="27" t="s">
        <v>111</v>
      </c>
      <c r="K1895" s="29">
        <v>310</v>
      </c>
      <c r="L1895" s="31">
        <v>23904.999999979998</v>
      </c>
      <c r="M1895" s="31">
        <v>6346.2999999900003</v>
      </c>
      <c r="N1895" s="31">
        <v>6272.5699999839999</v>
      </c>
      <c r="O1895" s="34">
        <f t="shared" si="252"/>
        <v>0.26548002509915541</v>
      </c>
      <c r="P1895" s="34">
        <f t="shared" si="253"/>
        <v>0.98838220695426993</v>
      </c>
      <c r="Q1895" s="34">
        <f t="shared" si="254"/>
        <v>0.73451997490084464</v>
      </c>
      <c r="R1895" s="46">
        <f t="shared" si="255"/>
        <v>20.234096774141936</v>
      </c>
    </row>
    <row r="1896" spans="2:18" ht="12.75" customHeight="1" x14ac:dyDescent="0.25">
      <c r="B1896" s="17" t="s">
        <v>0</v>
      </c>
      <c r="C1896" s="44" t="s">
        <v>219</v>
      </c>
      <c r="D1896" s="22" t="s">
        <v>9</v>
      </c>
      <c r="E1896" s="20">
        <v>2</v>
      </c>
      <c r="F1896" s="17" t="s">
        <v>289</v>
      </c>
      <c r="G1896" s="17" t="s">
        <v>290</v>
      </c>
      <c r="H1896" s="17" t="s">
        <v>291</v>
      </c>
      <c r="I1896" s="17" t="s">
        <v>292</v>
      </c>
      <c r="J1896" s="27" t="s">
        <v>220</v>
      </c>
      <c r="K1896" s="29">
        <v>86</v>
      </c>
      <c r="L1896" s="31">
        <v>19780</v>
      </c>
      <c r="M1896" s="31">
        <v>6086.1200000039998</v>
      </c>
      <c r="N1896" s="31">
        <v>4676.6800000040002</v>
      </c>
      <c r="O1896" s="34">
        <f t="shared" si="252"/>
        <v>0.30769059656238623</v>
      </c>
      <c r="P1896" s="34">
        <f t="shared" si="253"/>
        <v>0.7684173167799726</v>
      </c>
      <c r="Q1896" s="34">
        <f t="shared" si="254"/>
        <v>0.69230940343761382</v>
      </c>
      <c r="R1896" s="46">
        <f t="shared" si="255"/>
        <v>54.380000000046515</v>
      </c>
    </row>
    <row r="1897" spans="2:18" ht="12.75" customHeight="1" x14ac:dyDescent="0.25">
      <c r="B1897" s="17" t="s">
        <v>0</v>
      </c>
      <c r="C1897" s="44" t="s">
        <v>294</v>
      </c>
      <c r="D1897" s="22" t="s">
        <v>9</v>
      </c>
      <c r="E1897" s="20">
        <v>2</v>
      </c>
      <c r="F1897" s="17" t="s">
        <v>289</v>
      </c>
      <c r="G1897" s="17" t="s">
        <v>290</v>
      </c>
      <c r="H1897" s="17" t="s">
        <v>291</v>
      </c>
      <c r="I1897" s="17" t="s">
        <v>292</v>
      </c>
      <c r="J1897" s="27" t="s">
        <v>295</v>
      </c>
      <c r="K1897" s="29">
        <v>69</v>
      </c>
      <c r="L1897" s="31">
        <v>15870</v>
      </c>
      <c r="M1897" s="31">
        <v>4884.6500000069991</v>
      </c>
      <c r="N1897" s="31">
        <v>3791.2900000110003</v>
      </c>
      <c r="O1897" s="34">
        <f t="shared" si="252"/>
        <v>0.30779143037221168</v>
      </c>
      <c r="P1897" s="34">
        <f t="shared" si="253"/>
        <v>0.77616410592479868</v>
      </c>
      <c r="Q1897" s="34">
        <f t="shared" si="254"/>
        <v>0.69220856962778832</v>
      </c>
      <c r="R1897" s="46">
        <f t="shared" si="255"/>
        <v>54.946231884217397</v>
      </c>
    </row>
    <row r="1898" spans="2:18" ht="12.75" customHeight="1" x14ac:dyDescent="0.25">
      <c r="B1898" s="17" t="s">
        <v>0</v>
      </c>
      <c r="C1898" s="44" t="s">
        <v>60</v>
      </c>
      <c r="D1898" s="22" t="s">
        <v>9</v>
      </c>
      <c r="E1898" s="20">
        <v>2</v>
      </c>
      <c r="F1898" s="17" t="s">
        <v>289</v>
      </c>
      <c r="G1898" s="17" t="s">
        <v>290</v>
      </c>
      <c r="H1898" s="17" t="s">
        <v>291</v>
      </c>
      <c r="I1898" s="17" t="s">
        <v>292</v>
      </c>
      <c r="J1898" s="27" t="s">
        <v>61</v>
      </c>
      <c r="K1898" s="29">
        <v>46</v>
      </c>
      <c r="L1898" s="31">
        <v>8439.0000000399996</v>
      </c>
      <c r="M1898" s="31">
        <v>2102.5600000019999</v>
      </c>
      <c r="N1898" s="31">
        <v>1381.410000004</v>
      </c>
      <c r="O1898" s="34">
        <f t="shared" si="252"/>
        <v>0.24914800331698472</v>
      </c>
      <c r="P1898" s="34">
        <f t="shared" si="253"/>
        <v>0.6570133551492876</v>
      </c>
      <c r="Q1898" s="34">
        <f t="shared" si="254"/>
        <v>0.75085199668301528</v>
      </c>
      <c r="R1898" s="46">
        <f t="shared" si="255"/>
        <v>30.030652174</v>
      </c>
    </row>
    <row r="1899" spans="2:18" ht="12.75" customHeight="1" x14ac:dyDescent="0.25">
      <c r="B1899" s="17" t="s">
        <v>0</v>
      </c>
      <c r="C1899" s="44" t="s">
        <v>76</v>
      </c>
      <c r="D1899" s="22" t="s">
        <v>9</v>
      </c>
      <c r="E1899" s="20">
        <v>2</v>
      </c>
      <c r="F1899" s="17" t="s">
        <v>289</v>
      </c>
      <c r="G1899" s="17" t="s">
        <v>290</v>
      </c>
      <c r="H1899" s="17" t="s">
        <v>291</v>
      </c>
      <c r="I1899" s="17" t="s">
        <v>292</v>
      </c>
      <c r="J1899" s="27" t="s">
        <v>77</v>
      </c>
      <c r="K1899" s="29">
        <v>17</v>
      </c>
      <c r="L1899" s="31">
        <v>3111</v>
      </c>
      <c r="M1899" s="31">
        <v>1149.460000006</v>
      </c>
      <c r="N1899" s="31">
        <v>872.48999999199998</v>
      </c>
      <c r="O1899" s="34">
        <f t="shared" si="252"/>
        <v>0.36948248151912566</v>
      </c>
      <c r="P1899" s="34">
        <f t="shared" si="253"/>
        <v>0.75904337687909607</v>
      </c>
      <c r="Q1899" s="34">
        <f t="shared" si="254"/>
        <v>0.63051751848087434</v>
      </c>
      <c r="R1899" s="46">
        <f t="shared" si="255"/>
        <v>51.322941176</v>
      </c>
    </row>
    <row r="1900" spans="2:18" ht="12.75" customHeight="1" x14ac:dyDescent="0.25">
      <c r="B1900" s="17" t="s">
        <v>0</v>
      </c>
      <c r="C1900" s="44" t="s">
        <v>96</v>
      </c>
      <c r="D1900" s="22" t="s">
        <v>9</v>
      </c>
      <c r="E1900" s="20">
        <v>2</v>
      </c>
      <c r="F1900" s="17" t="s">
        <v>289</v>
      </c>
      <c r="G1900" s="17" t="s">
        <v>290</v>
      </c>
      <c r="H1900" s="17" t="s">
        <v>291</v>
      </c>
      <c r="I1900" s="17" t="s">
        <v>292</v>
      </c>
      <c r="J1900" s="27" t="s">
        <v>97</v>
      </c>
      <c r="K1900" s="29">
        <v>37</v>
      </c>
      <c r="L1900" s="31">
        <v>3700</v>
      </c>
      <c r="M1900" s="31">
        <v>947.80999998200002</v>
      </c>
      <c r="N1900" s="31">
        <v>713.779999987</v>
      </c>
      <c r="O1900" s="34">
        <f t="shared" si="252"/>
        <v>0.25616486486000001</v>
      </c>
      <c r="P1900" s="34">
        <f t="shared" si="253"/>
        <v>0.75308342389356042</v>
      </c>
      <c r="Q1900" s="34">
        <f t="shared" si="254"/>
        <v>0.74383513513999999</v>
      </c>
      <c r="R1900" s="46">
        <f t="shared" si="255"/>
        <v>19.291351350999999</v>
      </c>
    </row>
    <row r="1901" spans="2:18" ht="12.75" customHeight="1" x14ac:dyDescent="0.25">
      <c r="B1901" s="17" t="s">
        <v>0</v>
      </c>
      <c r="C1901" s="44" t="s">
        <v>34</v>
      </c>
      <c r="D1901" s="22" t="s">
        <v>2</v>
      </c>
      <c r="E1901" s="20">
        <v>1</v>
      </c>
      <c r="F1901" s="17" t="s">
        <v>289</v>
      </c>
      <c r="G1901" s="17" t="s">
        <v>290</v>
      </c>
      <c r="H1901" s="17" t="s">
        <v>291</v>
      </c>
      <c r="I1901" s="17" t="s">
        <v>292</v>
      </c>
      <c r="J1901" s="27" t="s">
        <v>35</v>
      </c>
      <c r="K1901" s="29">
        <v>44</v>
      </c>
      <c r="L1901" s="31">
        <v>2313.0000000049999</v>
      </c>
      <c r="M1901" s="31">
        <v>748.08999999449998</v>
      </c>
      <c r="N1901" s="31">
        <v>597.23999999549994</v>
      </c>
      <c r="O1901" s="34">
        <f t="shared" si="252"/>
        <v>0.32342844790007907</v>
      </c>
      <c r="P1901" s="34">
        <f t="shared" si="253"/>
        <v>0.79835313932800989</v>
      </c>
      <c r="Q1901" s="34">
        <f t="shared" si="254"/>
        <v>0.67657155209992093</v>
      </c>
      <c r="R1901" s="46">
        <f t="shared" si="255"/>
        <v>13.57363636353409</v>
      </c>
    </row>
    <row r="1902" spans="2:18" ht="12.75" customHeight="1" thickBot="1" x14ac:dyDescent="0.3">
      <c r="B1902" s="15" t="s">
        <v>0</v>
      </c>
      <c r="C1902" s="50" t="s">
        <v>145</v>
      </c>
      <c r="D1902" s="19" t="s">
        <v>2</v>
      </c>
      <c r="E1902" s="16">
        <v>1</v>
      </c>
      <c r="F1902" s="15" t="s">
        <v>289</v>
      </c>
      <c r="G1902" s="15" t="s">
        <v>290</v>
      </c>
      <c r="H1902" s="15" t="s">
        <v>291</v>
      </c>
      <c r="I1902" s="15" t="s">
        <v>292</v>
      </c>
      <c r="J1902" s="24" t="s">
        <v>146</v>
      </c>
      <c r="K1902" s="26">
        <v>23</v>
      </c>
      <c r="L1902" s="28">
        <v>1380</v>
      </c>
      <c r="M1902" s="28">
        <v>509.84999999199999</v>
      </c>
      <c r="N1902" s="28">
        <v>408.28000000400004</v>
      </c>
      <c r="O1902" s="32">
        <f t="shared" si="252"/>
        <v>0.36945652173333332</v>
      </c>
      <c r="P1902" s="32">
        <f t="shared" si="253"/>
        <v>0.80078454449427539</v>
      </c>
      <c r="Q1902" s="32">
        <f t="shared" si="254"/>
        <v>0.63054347826666668</v>
      </c>
      <c r="R1902" s="49">
        <f t="shared" si="255"/>
        <v>17.751304348000001</v>
      </c>
    </row>
    <row r="1903" spans="2:18" ht="17.25" customHeight="1" x14ac:dyDescent="0.25">
      <c r="B1903" s="48"/>
      <c r="C1903" s="58"/>
      <c r="D1903" s="51" t="s">
        <v>366</v>
      </c>
      <c r="E1903" s="52"/>
      <c r="F1903" s="52"/>
      <c r="G1903" s="53"/>
      <c r="H1903" s="53"/>
      <c r="I1903" s="53"/>
      <c r="J1903" s="54"/>
      <c r="K1903" s="55">
        <f>SUM(K1873:K1902)</f>
        <v>2868869</v>
      </c>
      <c r="L1903" s="56">
        <f>SUM(L1873:L1902)</f>
        <v>616553489.74963558</v>
      </c>
      <c r="M1903" s="56">
        <f>SUM(M1873:M1902)</f>
        <v>147501940.67413622</v>
      </c>
      <c r="N1903" s="56">
        <f>SUM(N1873:N1902)</f>
        <v>114043034.80392809</v>
      </c>
      <c r="O1903" s="57">
        <f>IFERROR(M1903/L1903,0)</f>
        <v>0.23923624328853035</v>
      </c>
      <c r="P1903" s="57">
        <f>IFERROR(N1903/M1903,0)</f>
        <v>0.77316294472269953</v>
      </c>
      <c r="Q1903" s="57">
        <f>IFERROR(1-(M1903/L1903),0)</f>
        <v>0.76076375671146967</v>
      </c>
      <c r="R1903" s="59">
        <f>IFERROR(N1903/K1903,0)</f>
        <v>39.751914362045845</v>
      </c>
    </row>
    <row r="1904" spans="2:18" ht="15.75" thickBot="1" x14ac:dyDescent="0.3">
      <c r="B1904" s="60"/>
      <c r="C1904" s="64"/>
      <c r="D1904" s="62" t="s">
        <v>292</v>
      </c>
      <c r="E1904" s="61"/>
      <c r="F1904" s="61"/>
      <c r="G1904" s="61"/>
      <c r="H1904" s="61"/>
      <c r="I1904" s="61"/>
      <c r="J1904" s="61"/>
      <c r="K1904" s="63"/>
      <c r="L1904" s="63"/>
      <c r="M1904" s="63"/>
      <c r="N1904" s="63"/>
      <c r="O1904" s="63"/>
      <c r="P1904" s="63"/>
      <c r="Q1904" s="63"/>
      <c r="R1904" s="65"/>
    </row>
    <row r="1905" spans="2:18" ht="15.75" thickBot="1" x14ac:dyDescent="0.3"/>
    <row r="1906" spans="2:18" ht="15.75" x14ac:dyDescent="0.25">
      <c r="B1906" s="1"/>
      <c r="C1906" s="7" t="s">
        <v>348</v>
      </c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9"/>
    </row>
    <row r="1907" spans="2:18" ht="18" x14ac:dyDescent="0.25">
      <c r="B1907" s="2"/>
      <c r="C1907" s="8" t="s">
        <v>298</v>
      </c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10"/>
    </row>
    <row r="1908" spans="2:18" ht="15.75" thickBot="1" x14ac:dyDescent="0.3">
      <c r="B1908" s="3"/>
      <c r="C1908" s="11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12"/>
    </row>
    <row r="1909" spans="2:18" ht="17.25" customHeight="1" thickBot="1" x14ac:dyDescent="0.3">
      <c r="B1909" s="14" t="s">
        <v>349</v>
      </c>
      <c r="C1909" s="18" t="s">
        <v>350</v>
      </c>
      <c r="D1909" s="21" t="s">
        <v>351</v>
      </c>
      <c r="E1909" s="23" t="s">
        <v>352</v>
      </c>
      <c r="F1909" s="21" t="s">
        <v>353</v>
      </c>
      <c r="G1909" s="23" t="s">
        <v>354</v>
      </c>
      <c r="H1909" s="23" t="s">
        <v>355</v>
      </c>
      <c r="I1909" s="23" t="s">
        <v>356</v>
      </c>
      <c r="J1909" s="25" t="s">
        <v>357</v>
      </c>
      <c r="K1909" s="25" t="s">
        <v>358</v>
      </c>
      <c r="L1909" s="30" t="s">
        <v>359</v>
      </c>
      <c r="M1909" s="30" t="s">
        <v>360</v>
      </c>
      <c r="N1909" s="30" t="s">
        <v>361</v>
      </c>
      <c r="O1909" s="33" t="s">
        <v>362</v>
      </c>
      <c r="P1909" s="33" t="s">
        <v>363</v>
      </c>
      <c r="Q1909" s="33" t="s">
        <v>364</v>
      </c>
      <c r="R1909" s="35" t="s">
        <v>365</v>
      </c>
    </row>
    <row r="1910" spans="2:18" ht="12.75" customHeight="1" x14ac:dyDescent="0.25">
      <c r="B1910" s="17" t="s">
        <v>0</v>
      </c>
      <c r="C1910" s="43" t="s">
        <v>236</v>
      </c>
      <c r="D1910" s="37" t="s">
        <v>9</v>
      </c>
      <c r="E1910" s="36">
        <v>2</v>
      </c>
      <c r="F1910" s="38" t="s">
        <v>289</v>
      </c>
      <c r="G1910" s="38" t="s">
        <v>296</v>
      </c>
      <c r="H1910" s="38" t="s">
        <v>297</v>
      </c>
      <c r="I1910" s="38" t="s">
        <v>298</v>
      </c>
      <c r="J1910" s="39" t="s">
        <v>237</v>
      </c>
      <c r="K1910" s="40">
        <v>255004</v>
      </c>
      <c r="L1910" s="41">
        <v>257968087.01001465</v>
      </c>
      <c r="M1910" s="41">
        <v>114995221.86947922</v>
      </c>
      <c r="N1910" s="41">
        <v>89800172.150331751</v>
      </c>
      <c r="O1910" s="42">
        <f t="shared" ref="O1910:O1941" si="256">IFERROR(M1910/L1910,0)</f>
        <v>0.44577305356772662</v>
      </c>
      <c r="P1910" s="42">
        <f t="shared" ref="P1910:P1941" si="257">IFERROR(N1910/M1910,0)</f>
        <v>0.78090350790623186</v>
      </c>
      <c r="Q1910" s="42">
        <f t="shared" ref="Q1910:Q1941" si="258">IFERROR(1-(M1910/L1910),0)</f>
        <v>0.55422694643227333</v>
      </c>
      <c r="R1910" s="45">
        <f t="shared" ref="R1910:R1941" si="259">IFERROR(N1910/K1910,0)</f>
        <v>352.15201389127918</v>
      </c>
    </row>
    <row r="1911" spans="2:18" ht="12.75" customHeight="1" x14ac:dyDescent="0.25">
      <c r="B1911" s="17" t="s">
        <v>0</v>
      </c>
      <c r="C1911" s="44" t="s">
        <v>14</v>
      </c>
      <c r="D1911" s="22" t="s">
        <v>9</v>
      </c>
      <c r="E1911" s="20">
        <v>2</v>
      </c>
      <c r="F1911" s="17" t="s">
        <v>289</v>
      </c>
      <c r="G1911" s="17" t="s">
        <v>296</v>
      </c>
      <c r="H1911" s="17" t="s">
        <v>297</v>
      </c>
      <c r="I1911" s="17" t="s">
        <v>298</v>
      </c>
      <c r="J1911" s="27" t="s">
        <v>15</v>
      </c>
      <c r="K1911" s="29">
        <v>685796</v>
      </c>
      <c r="L1911" s="31">
        <v>84046275.149992675</v>
      </c>
      <c r="M1911" s="31">
        <v>23869497.37998658</v>
      </c>
      <c r="N1911" s="31">
        <v>18133596.429990388</v>
      </c>
      <c r="O1911" s="34">
        <f t="shared" si="256"/>
        <v>0.28400422668807185</v>
      </c>
      <c r="P1911" s="34">
        <f t="shared" si="257"/>
        <v>0.75969745576605785</v>
      </c>
      <c r="Q1911" s="34">
        <f t="shared" si="258"/>
        <v>0.71599577331192821</v>
      </c>
      <c r="R1911" s="46">
        <f t="shared" si="259"/>
        <v>26.441677160541019</v>
      </c>
    </row>
    <row r="1912" spans="2:18" ht="12.75" customHeight="1" x14ac:dyDescent="0.25">
      <c r="B1912" s="17" t="s">
        <v>0</v>
      </c>
      <c r="C1912" s="44" t="s">
        <v>32</v>
      </c>
      <c r="D1912" s="22" t="s">
        <v>9</v>
      </c>
      <c r="E1912" s="20">
        <v>2</v>
      </c>
      <c r="F1912" s="17" t="s">
        <v>289</v>
      </c>
      <c r="G1912" s="17" t="s">
        <v>296</v>
      </c>
      <c r="H1912" s="17" t="s">
        <v>297</v>
      </c>
      <c r="I1912" s="17" t="s">
        <v>298</v>
      </c>
      <c r="J1912" s="27" t="s">
        <v>33</v>
      </c>
      <c r="K1912" s="29">
        <v>351312</v>
      </c>
      <c r="L1912" s="31">
        <v>44480840.479999252</v>
      </c>
      <c r="M1912" s="31">
        <v>13614414.660003707</v>
      </c>
      <c r="N1912" s="31">
        <v>10105814.660005854</v>
      </c>
      <c r="O1912" s="34">
        <f t="shared" si="256"/>
        <v>0.30607368280564323</v>
      </c>
      <c r="P1912" s="34">
        <f t="shared" si="257"/>
        <v>0.74228785536366959</v>
      </c>
      <c r="Q1912" s="34">
        <f t="shared" si="258"/>
        <v>0.69392631719435682</v>
      </c>
      <c r="R1912" s="46">
        <f t="shared" si="259"/>
        <v>28.765925046698815</v>
      </c>
    </row>
    <row r="1913" spans="2:18" ht="12.75" customHeight="1" x14ac:dyDescent="0.25">
      <c r="B1913" s="17" t="s">
        <v>0</v>
      </c>
      <c r="C1913" s="44" t="s">
        <v>12</v>
      </c>
      <c r="D1913" s="22" t="s">
        <v>9</v>
      </c>
      <c r="E1913" s="20">
        <v>2</v>
      </c>
      <c r="F1913" s="17" t="s">
        <v>289</v>
      </c>
      <c r="G1913" s="17" t="s">
        <v>296</v>
      </c>
      <c r="H1913" s="17" t="s">
        <v>297</v>
      </c>
      <c r="I1913" s="17" t="s">
        <v>298</v>
      </c>
      <c r="J1913" s="27" t="s">
        <v>13</v>
      </c>
      <c r="K1913" s="29">
        <v>219974</v>
      </c>
      <c r="L1913" s="31">
        <v>21179740.669998355</v>
      </c>
      <c r="M1913" s="31">
        <v>6148969.5299938992</v>
      </c>
      <c r="N1913" s="31">
        <v>4641141.4200003305</v>
      </c>
      <c r="O1913" s="34">
        <f t="shared" si="256"/>
        <v>0.29032317372535499</v>
      </c>
      <c r="P1913" s="34">
        <f t="shared" si="257"/>
        <v>0.75478361006042183</v>
      </c>
      <c r="Q1913" s="34">
        <f t="shared" si="258"/>
        <v>0.70967682627464501</v>
      </c>
      <c r="R1913" s="46">
        <f t="shared" si="259"/>
        <v>21.098590833463639</v>
      </c>
    </row>
    <row r="1914" spans="2:18" ht="12.75" customHeight="1" x14ac:dyDescent="0.25">
      <c r="B1914" s="17" t="s">
        <v>0</v>
      </c>
      <c r="C1914" s="44" t="s">
        <v>14</v>
      </c>
      <c r="D1914" s="22" t="s">
        <v>2</v>
      </c>
      <c r="E1914" s="20">
        <v>1</v>
      </c>
      <c r="F1914" s="17" t="s">
        <v>289</v>
      </c>
      <c r="G1914" s="17" t="s">
        <v>296</v>
      </c>
      <c r="H1914" s="17" t="s">
        <v>297</v>
      </c>
      <c r="I1914" s="17" t="s">
        <v>298</v>
      </c>
      <c r="J1914" s="27" t="s">
        <v>15</v>
      </c>
      <c r="K1914" s="29">
        <v>395603</v>
      </c>
      <c r="L1914" s="31">
        <v>17502738.89999529</v>
      </c>
      <c r="M1914" s="31">
        <v>3786496.190000121</v>
      </c>
      <c r="N1914" s="31">
        <v>2882045.9899995965</v>
      </c>
      <c r="O1914" s="34">
        <f t="shared" si="256"/>
        <v>0.21633735220726741</v>
      </c>
      <c r="P1914" s="34">
        <f t="shared" si="257"/>
        <v>0.76113796116073851</v>
      </c>
      <c r="Q1914" s="34">
        <f t="shared" si="258"/>
        <v>0.78366264779273265</v>
      </c>
      <c r="R1914" s="46">
        <f t="shared" si="259"/>
        <v>7.2851975086124128</v>
      </c>
    </row>
    <row r="1915" spans="2:18" ht="12.75" customHeight="1" x14ac:dyDescent="0.25">
      <c r="B1915" s="17" t="s">
        <v>0</v>
      </c>
      <c r="C1915" s="44" t="s">
        <v>30</v>
      </c>
      <c r="D1915" s="22" t="s">
        <v>9</v>
      </c>
      <c r="E1915" s="20">
        <v>2</v>
      </c>
      <c r="F1915" s="17" t="s">
        <v>289</v>
      </c>
      <c r="G1915" s="17" t="s">
        <v>296</v>
      </c>
      <c r="H1915" s="17" t="s">
        <v>297</v>
      </c>
      <c r="I1915" s="17" t="s">
        <v>298</v>
      </c>
      <c r="J1915" s="27" t="s">
        <v>31</v>
      </c>
      <c r="K1915" s="29">
        <v>106558</v>
      </c>
      <c r="L1915" s="31">
        <v>8311226.5800029263</v>
      </c>
      <c r="M1915" s="31">
        <v>2344791.7399961688</v>
      </c>
      <c r="N1915" s="31">
        <v>1684933.7799989034</v>
      </c>
      <c r="O1915" s="34">
        <f t="shared" si="256"/>
        <v>0.28212342876535357</v>
      </c>
      <c r="P1915" s="34">
        <f t="shared" si="257"/>
        <v>0.71858568556781788</v>
      </c>
      <c r="Q1915" s="34">
        <f t="shared" si="258"/>
        <v>0.71787657123464643</v>
      </c>
      <c r="R1915" s="46">
        <f t="shared" si="259"/>
        <v>15.812363032328905</v>
      </c>
    </row>
    <row r="1916" spans="2:18" ht="12.75" customHeight="1" x14ac:dyDescent="0.25">
      <c r="B1916" s="17" t="s">
        <v>0</v>
      </c>
      <c r="C1916" s="44" t="s">
        <v>28</v>
      </c>
      <c r="D1916" s="22" t="s">
        <v>2</v>
      </c>
      <c r="E1916" s="20">
        <v>1</v>
      </c>
      <c r="F1916" s="17" t="s">
        <v>289</v>
      </c>
      <c r="G1916" s="17" t="s">
        <v>296</v>
      </c>
      <c r="H1916" s="17" t="s">
        <v>297</v>
      </c>
      <c r="I1916" s="17" t="s">
        <v>298</v>
      </c>
      <c r="J1916" s="27" t="s">
        <v>29</v>
      </c>
      <c r="K1916" s="29">
        <v>255742</v>
      </c>
      <c r="L1916" s="31">
        <v>19301722.67000442</v>
      </c>
      <c r="M1916" s="31">
        <v>2016034.8599995878</v>
      </c>
      <c r="N1916" s="31">
        <v>1574494.4500001199</v>
      </c>
      <c r="O1916" s="34">
        <f t="shared" si="256"/>
        <v>0.10444844195863302</v>
      </c>
      <c r="P1916" s="34">
        <f t="shared" si="257"/>
        <v>0.78098572660615695</v>
      </c>
      <c r="Q1916" s="34">
        <f t="shared" si="258"/>
        <v>0.89555155804136699</v>
      </c>
      <c r="R1916" s="46">
        <f t="shared" si="259"/>
        <v>6.1565736171615137</v>
      </c>
    </row>
    <row r="1917" spans="2:18" ht="12.75" customHeight="1" x14ac:dyDescent="0.25">
      <c r="B1917" s="17" t="s">
        <v>0</v>
      </c>
      <c r="C1917" s="44" t="s">
        <v>46</v>
      </c>
      <c r="D1917" s="22" t="s">
        <v>9</v>
      </c>
      <c r="E1917" s="20">
        <v>2</v>
      </c>
      <c r="F1917" s="17" t="s">
        <v>289</v>
      </c>
      <c r="G1917" s="17" t="s">
        <v>296</v>
      </c>
      <c r="H1917" s="17" t="s">
        <v>297</v>
      </c>
      <c r="I1917" s="17" t="s">
        <v>298</v>
      </c>
      <c r="J1917" s="27" t="s">
        <v>47</v>
      </c>
      <c r="K1917" s="29">
        <v>76143</v>
      </c>
      <c r="L1917" s="31">
        <v>6522984.0999988494</v>
      </c>
      <c r="M1917" s="31">
        <v>1518597.939998548</v>
      </c>
      <c r="N1917" s="31">
        <v>1115341.2300008845</v>
      </c>
      <c r="O1917" s="34">
        <f t="shared" si="256"/>
        <v>0.23280724231702724</v>
      </c>
      <c r="P1917" s="34">
        <f t="shared" si="257"/>
        <v>0.73445459171500715</v>
      </c>
      <c r="Q1917" s="34">
        <f t="shared" si="258"/>
        <v>0.76719275768297279</v>
      </c>
      <c r="R1917" s="46">
        <f t="shared" si="259"/>
        <v>14.647981167026312</v>
      </c>
    </row>
    <row r="1918" spans="2:18" ht="12.75" customHeight="1" x14ac:dyDescent="0.25">
      <c r="B1918" s="17" t="s">
        <v>0</v>
      </c>
      <c r="C1918" s="44" t="s">
        <v>12</v>
      </c>
      <c r="D1918" s="22" t="s">
        <v>2</v>
      </c>
      <c r="E1918" s="20">
        <v>1</v>
      </c>
      <c r="F1918" s="17" t="s">
        <v>289</v>
      </c>
      <c r="G1918" s="17" t="s">
        <v>296</v>
      </c>
      <c r="H1918" s="17" t="s">
        <v>297</v>
      </c>
      <c r="I1918" s="17" t="s">
        <v>298</v>
      </c>
      <c r="J1918" s="27" t="s">
        <v>13</v>
      </c>
      <c r="K1918" s="29">
        <v>133585</v>
      </c>
      <c r="L1918" s="31">
        <v>5257266.4700000184</v>
      </c>
      <c r="M1918" s="31">
        <v>1246900.8200008038</v>
      </c>
      <c r="N1918" s="31">
        <v>948724.43000017735</v>
      </c>
      <c r="O1918" s="34">
        <f t="shared" si="256"/>
        <v>0.23717664438660258</v>
      </c>
      <c r="P1918" s="34">
        <f t="shared" si="257"/>
        <v>0.76086599253304343</v>
      </c>
      <c r="Q1918" s="34">
        <f t="shared" si="258"/>
        <v>0.76282335561339742</v>
      </c>
      <c r="R1918" s="46">
        <f t="shared" si="259"/>
        <v>7.1020281468741056</v>
      </c>
    </row>
    <row r="1919" spans="2:18" ht="12.75" customHeight="1" x14ac:dyDescent="0.25">
      <c r="B1919" s="17" t="s">
        <v>0</v>
      </c>
      <c r="C1919" s="44" t="s">
        <v>32</v>
      </c>
      <c r="D1919" s="22" t="s">
        <v>2</v>
      </c>
      <c r="E1919" s="20">
        <v>1</v>
      </c>
      <c r="F1919" s="17" t="s">
        <v>289</v>
      </c>
      <c r="G1919" s="17" t="s">
        <v>296</v>
      </c>
      <c r="H1919" s="17" t="s">
        <v>297</v>
      </c>
      <c r="I1919" s="17" t="s">
        <v>298</v>
      </c>
      <c r="J1919" s="27" t="s">
        <v>33</v>
      </c>
      <c r="K1919" s="29">
        <v>71432</v>
      </c>
      <c r="L1919" s="31">
        <v>4505808.8500075648</v>
      </c>
      <c r="M1919" s="31">
        <v>1112045.1699988886</v>
      </c>
      <c r="N1919" s="31">
        <v>831823.34999910952</v>
      </c>
      <c r="O1919" s="34">
        <f t="shared" si="256"/>
        <v>0.24680256242938969</v>
      </c>
      <c r="P1919" s="34">
        <f t="shared" si="257"/>
        <v>0.74801219630308802</v>
      </c>
      <c r="Q1919" s="34">
        <f t="shared" si="258"/>
        <v>0.75319743757061031</v>
      </c>
      <c r="R1919" s="46">
        <f t="shared" si="259"/>
        <v>11.644967941526341</v>
      </c>
    </row>
    <row r="1920" spans="2:18" ht="12.75" customHeight="1" x14ac:dyDescent="0.25">
      <c r="B1920" s="17" t="s">
        <v>0</v>
      </c>
      <c r="C1920" s="44" t="s">
        <v>54</v>
      </c>
      <c r="D1920" s="22" t="s">
        <v>9</v>
      </c>
      <c r="E1920" s="20">
        <v>2</v>
      </c>
      <c r="F1920" s="17" t="s">
        <v>289</v>
      </c>
      <c r="G1920" s="17" t="s">
        <v>296</v>
      </c>
      <c r="H1920" s="17" t="s">
        <v>297</v>
      </c>
      <c r="I1920" s="17" t="s">
        <v>298</v>
      </c>
      <c r="J1920" s="27" t="s">
        <v>55</v>
      </c>
      <c r="K1920" s="29">
        <v>49913</v>
      </c>
      <c r="L1920" s="31">
        <v>3120709.8500010185</v>
      </c>
      <c r="M1920" s="31">
        <v>804763.66999929107</v>
      </c>
      <c r="N1920" s="31">
        <v>553194.72999932105</v>
      </c>
      <c r="O1920" s="34">
        <f t="shared" si="256"/>
        <v>0.25787840224845909</v>
      </c>
      <c r="P1920" s="34">
        <f t="shared" si="257"/>
        <v>0.68740022769642217</v>
      </c>
      <c r="Q1920" s="34">
        <f t="shared" si="258"/>
        <v>0.74212159775154096</v>
      </c>
      <c r="R1920" s="46">
        <f t="shared" si="259"/>
        <v>11.083179332024143</v>
      </c>
    </row>
    <row r="1921" spans="2:18" ht="12.75" customHeight="1" x14ac:dyDescent="0.25">
      <c r="B1921" s="17" t="s">
        <v>0</v>
      </c>
      <c r="C1921" s="44" t="s">
        <v>30</v>
      </c>
      <c r="D1921" s="22" t="s">
        <v>2</v>
      </c>
      <c r="E1921" s="20">
        <v>1</v>
      </c>
      <c r="F1921" s="17" t="s">
        <v>289</v>
      </c>
      <c r="G1921" s="17" t="s">
        <v>296</v>
      </c>
      <c r="H1921" s="17" t="s">
        <v>297</v>
      </c>
      <c r="I1921" s="17" t="s">
        <v>298</v>
      </c>
      <c r="J1921" s="27" t="s">
        <v>31</v>
      </c>
      <c r="K1921" s="29">
        <v>55058</v>
      </c>
      <c r="L1921" s="31">
        <v>2632652.230000989</v>
      </c>
      <c r="M1921" s="31">
        <v>469506.77999975241</v>
      </c>
      <c r="N1921" s="31">
        <v>359444.47000027861</v>
      </c>
      <c r="O1921" s="34">
        <f t="shared" si="256"/>
        <v>0.17833984095938718</v>
      </c>
      <c r="P1921" s="34">
        <f t="shared" si="257"/>
        <v>0.76557886980986334</v>
      </c>
      <c r="Q1921" s="34">
        <f t="shared" si="258"/>
        <v>0.82166015904061285</v>
      </c>
      <c r="R1921" s="46">
        <f t="shared" si="259"/>
        <v>6.5284694322401577</v>
      </c>
    </row>
    <row r="1922" spans="2:18" ht="12.75" customHeight="1" x14ac:dyDescent="0.25">
      <c r="B1922" s="17" t="s">
        <v>0</v>
      </c>
      <c r="C1922" s="44" t="s">
        <v>28</v>
      </c>
      <c r="D1922" s="22" t="s">
        <v>9</v>
      </c>
      <c r="E1922" s="20">
        <v>2</v>
      </c>
      <c r="F1922" s="17" t="s">
        <v>289</v>
      </c>
      <c r="G1922" s="17" t="s">
        <v>296</v>
      </c>
      <c r="H1922" s="17" t="s">
        <v>297</v>
      </c>
      <c r="I1922" s="17" t="s">
        <v>298</v>
      </c>
      <c r="J1922" s="27" t="s">
        <v>29</v>
      </c>
      <c r="K1922" s="29">
        <v>1828</v>
      </c>
      <c r="L1922" s="31">
        <v>659860.37000079197</v>
      </c>
      <c r="M1922" s="31">
        <v>365543.67999931372</v>
      </c>
      <c r="N1922" s="31">
        <v>290125.78000087349</v>
      </c>
      <c r="O1922" s="34">
        <f t="shared" si="256"/>
        <v>0.55397125909967138</v>
      </c>
      <c r="P1922" s="34">
        <f t="shared" si="257"/>
        <v>0.79368293277951951</v>
      </c>
      <c r="Q1922" s="34">
        <f t="shared" si="258"/>
        <v>0.44602874090032862</v>
      </c>
      <c r="R1922" s="46">
        <f t="shared" si="259"/>
        <v>158.7121334796901</v>
      </c>
    </row>
    <row r="1923" spans="2:18" ht="12.75" customHeight="1" x14ac:dyDescent="0.25">
      <c r="B1923" s="17" t="s">
        <v>0</v>
      </c>
      <c r="C1923" s="44" t="s">
        <v>50</v>
      </c>
      <c r="D1923" s="22" t="s">
        <v>9</v>
      </c>
      <c r="E1923" s="20">
        <v>2</v>
      </c>
      <c r="F1923" s="17" t="s">
        <v>289</v>
      </c>
      <c r="G1923" s="17" t="s">
        <v>296</v>
      </c>
      <c r="H1923" s="17" t="s">
        <v>297</v>
      </c>
      <c r="I1923" s="17" t="s">
        <v>298</v>
      </c>
      <c r="J1923" s="27" t="s">
        <v>51</v>
      </c>
      <c r="K1923" s="29">
        <v>15379</v>
      </c>
      <c r="L1923" s="31">
        <v>1149303.910000053</v>
      </c>
      <c r="M1923" s="31">
        <v>269331.24000087712</v>
      </c>
      <c r="N1923" s="31">
        <v>195093.0699998553</v>
      </c>
      <c r="O1923" s="34">
        <f t="shared" si="256"/>
        <v>0.23434292501525092</v>
      </c>
      <c r="P1923" s="34">
        <f t="shared" si="257"/>
        <v>0.72436108785308362</v>
      </c>
      <c r="Q1923" s="34">
        <f t="shared" si="258"/>
        <v>0.76565707498474911</v>
      </c>
      <c r="R1923" s="46">
        <f t="shared" si="259"/>
        <v>12.685679823126035</v>
      </c>
    </row>
    <row r="1924" spans="2:18" ht="12.75" customHeight="1" x14ac:dyDescent="0.25">
      <c r="B1924" s="17" t="s">
        <v>0</v>
      </c>
      <c r="C1924" s="44" t="s">
        <v>46</v>
      </c>
      <c r="D1924" s="22" t="s">
        <v>2</v>
      </c>
      <c r="E1924" s="20">
        <v>1</v>
      </c>
      <c r="F1924" s="17" t="s">
        <v>289</v>
      </c>
      <c r="G1924" s="17" t="s">
        <v>296</v>
      </c>
      <c r="H1924" s="17" t="s">
        <v>297</v>
      </c>
      <c r="I1924" s="17" t="s">
        <v>298</v>
      </c>
      <c r="J1924" s="27" t="s">
        <v>47</v>
      </c>
      <c r="K1924" s="29">
        <v>19436</v>
      </c>
      <c r="L1924" s="31">
        <v>1406925.7700008275</v>
      </c>
      <c r="M1924" s="31">
        <v>186668.82999964678</v>
      </c>
      <c r="N1924" s="31">
        <v>142986.02000021155</v>
      </c>
      <c r="O1924" s="34">
        <f t="shared" si="256"/>
        <v>0.13267852077195016</v>
      </c>
      <c r="P1924" s="34">
        <f t="shared" si="257"/>
        <v>0.76598765846704087</v>
      </c>
      <c r="Q1924" s="34">
        <f t="shared" si="258"/>
        <v>0.86732147922804981</v>
      </c>
      <c r="R1924" s="46">
        <f t="shared" si="259"/>
        <v>7.3567616793687769</v>
      </c>
    </row>
    <row r="1925" spans="2:18" ht="12.75" customHeight="1" x14ac:dyDescent="0.25">
      <c r="B1925" s="17" t="s">
        <v>0</v>
      </c>
      <c r="C1925" s="44" t="s">
        <v>52</v>
      </c>
      <c r="D1925" s="22" t="s">
        <v>9</v>
      </c>
      <c r="E1925" s="20">
        <v>2</v>
      </c>
      <c r="F1925" s="17" t="s">
        <v>289</v>
      </c>
      <c r="G1925" s="17" t="s">
        <v>296</v>
      </c>
      <c r="H1925" s="17" t="s">
        <v>297</v>
      </c>
      <c r="I1925" s="17" t="s">
        <v>298</v>
      </c>
      <c r="J1925" s="27" t="s">
        <v>53</v>
      </c>
      <c r="K1925" s="29">
        <v>5602</v>
      </c>
      <c r="L1925" s="31">
        <v>656395.57999851392</v>
      </c>
      <c r="M1925" s="31">
        <v>173234.59000085419</v>
      </c>
      <c r="N1925" s="31">
        <v>134048.62000019642</v>
      </c>
      <c r="O1925" s="34">
        <f t="shared" si="256"/>
        <v>0.26391797153973279</v>
      </c>
      <c r="P1925" s="34">
        <f t="shared" si="257"/>
        <v>0.77379823509574763</v>
      </c>
      <c r="Q1925" s="34">
        <f t="shared" si="258"/>
        <v>0.73608202846026716</v>
      </c>
      <c r="R1925" s="46">
        <f t="shared" si="259"/>
        <v>23.928707604462051</v>
      </c>
    </row>
    <row r="1926" spans="2:18" ht="12.75" customHeight="1" x14ac:dyDescent="0.25">
      <c r="B1926" s="17" t="s">
        <v>0</v>
      </c>
      <c r="C1926" s="44" t="s">
        <v>38</v>
      </c>
      <c r="D1926" s="22" t="s">
        <v>9</v>
      </c>
      <c r="E1926" s="20">
        <v>2</v>
      </c>
      <c r="F1926" s="17" t="s">
        <v>289</v>
      </c>
      <c r="G1926" s="17" t="s">
        <v>296</v>
      </c>
      <c r="H1926" s="17" t="s">
        <v>297</v>
      </c>
      <c r="I1926" s="17" t="s">
        <v>298</v>
      </c>
      <c r="J1926" s="27" t="s">
        <v>39</v>
      </c>
      <c r="K1926" s="29">
        <v>5456</v>
      </c>
      <c r="L1926" s="31">
        <v>589474.00000474195</v>
      </c>
      <c r="M1926" s="31">
        <v>153724.53999899101</v>
      </c>
      <c r="N1926" s="31">
        <v>111369.83999967951</v>
      </c>
      <c r="O1926" s="34">
        <f t="shared" si="256"/>
        <v>0.26078256207696082</v>
      </c>
      <c r="P1926" s="34">
        <f t="shared" si="257"/>
        <v>0.72447665155095275</v>
      </c>
      <c r="Q1926" s="34">
        <f t="shared" si="258"/>
        <v>0.73921743792303918</v>
      </c>
      <c r="R1926" s="46">
        <f t="shared" si="259"/>
        <v>20.412360703753574</v>
      </c>
    </row>
    <row r="1927" spans="2:18" ht="12.75" customHeight="1" x14ac:dyDescent="0.25">
      <c r="B1927" s="17" t="s">
        <v>0</v>
      </c>
      <c r="C1927" s="44" t="s">
        <v>18</v>
      </c>
      <c r="D1927" s="22" t="s">
        <v>9</v>
      </c>
      <c r="E1927" s="20">
        <v>2</v>
      </c>
      <c r="F1927" s="17" t="s">
        <v>289</v>
      </c>
      <c r="G1927" s="17" t="s">
        <v>296</v>
      </c>
      <c r="H1927" s="17" t="s">
        <v>297</v>
      </c>
      <c r="I1927" s="17" t="s">
        <v>298</v>
      </c>
      <c r="J1927" s="27" t="s">
        <v>19</v>
      </c>
      <c r="K1927" s="29">
        <v>1038</v>
      </c>
      <c r="L1927" s="31">
        <v>250644.78000092</v>
      </c>
      <c r="M1927" s="31">
        <v>112454.39000257099</v>
      </c>
      <c r="N1927" s="31">
        <v>89076.59000014991</v>
      </c>
      <c r="O1927" s="34">
        <f t="shared" si="256"/>
        <v>0.44866041096949322</v>
      </c>
      <c r="P1927" s="34">
        <f t="shared" si="257"/>
        <v>0.79211305132786192</v>
      </c>
      <c r="Q1927" s="34">
        <f t="shared" si="258"/>
        <v>0.55133958903050684</v>
      </c>
      <c r="R1927" s="46">
        <f t="shared" si="259"/>
        <v>85.815597302649238</v>
      </c>
    </row>
    <row r="1928" spans="2:18" ht="12.75" customHeight="1" x14ac:dyDescent="0.25">
      <c r="B1928" s="17" t="s">
        <v>0</v>
      </c>
      <c r="C1928" s="44" t="s">
        <v>54</v>
      </c>
      <c r="D1928" s="22" t="s">
        <v>2</v>
      </c>
      <c r="E1928" s="20">
        <v>1</v>
      </c>
      <c r="F1928" s="17" t="s">
        <v>289</v>
      </c>
      <c r="G1928" s="17" t="s">
        <v>296</v>
      </c>
      <c r="H1928" s="17" t="s">
        <v>297</v>
      </c>
      <c r="I1928" s="17" t="s">
        <v>298</v>
      </c>
      <c r="J1928" s="27" t="s">
        <v>55</v>
      </c>
      <c r="K1928" s="29">
        <v>14152</v>
      </c>
      <c r="L1928" s="31">
        <v>1106376.370000537</v>
      </c>
      <c r="M1928" s="31">
        <v>110948.90999997883</v>
      </c>
      <c r="N1928" s="31">
        <v>85711.599999938291</v>
      </c>
      <c r="O1928" s="34">
        <f t="shared" si="256"/>
        <v>0.10028134458432529</v>
      </c>
      <c r="P1928" s="34">
        <f t="shared" si="257"/>
        <v>0.77253215015771359</v>
      </c>
      <c r="Q1928" s="34">
        <f t="shared" si="258"/>
        <v>0.89971865541567475</v>
      </c>
      <c r="R1928" s="46">
        <f t="shared" si="259"/>
        <v>6.0565008479323268</v>
      </c>
    </row>
    <row r="1929" spans="2:18" ht="12.75" customHeight="1" x14ac:dyDescent="0.25">
      <c r="B1929" s="17" t="s">
        <v>0</v>
      </c>
      <c r="C1929" s="44" t="s">
        <v>52</v>
      </c>
      <c r="D1929" s="22" t="s">
        <v>2</v>
      </c>
      <c r="E1929" s="20">
        <v>1</v>
      </c>
      <c r="F1929" s="17" t="s">
        <v>289</v>
      </c>
      <c r="G1929" s="17" t="s">
        <v>296</v>
      </c>
      <c r="H1929" s="17" t="s">
        <v>297</v>
      </c>
      <c r="I1929" s="17" t="s">
        <v>298</v>
      </c>
      <c r="J1929" s="27" t="s">
        <v>53</v>
      </c>
      <c r="K1929" s="29">
        <v>5861</v>
      </c>
      <c r="L1929" s="31">
        <v>428456.11999970197</v>
      </c>
      <c r="M1929" s="31">
        <v>100572.14000002171</v>
      </c>
      <c r="N1929" s="31">
        <v>79328.720000138695</v>
      </c>
      <c r="O1929" s="34">
        <f t="shared" si="256"/>
        <v>0.23473148195453869</v>
      </c>
      <c r="P1929" s="34">
        <f t="shared" si="257"/>
        <v>0.78877430668295978</v>
      </c>
      <c r="Q1929" s="34">
        <f t="shared" si="258"/>
        <v>0.76526851804546125</v>
      </c>
      <c r="R1929" s="46">
        <f t="shared" si="259"/>
        <v>13.535014502668265</v>
      </c>
    </row>
    <row r="1930" spans="2:18" ht="12.75" customHeight="1" x14ac:dyDescent="0.25">
      <c r="B1930" s="17" t="s">
        <v>0</v>
      </c>
      <c r="C1930" s="44" t="s">
        <v>50</v>
      </c>
      <c r="D1930" s="22" t="s">
        <v>2</v>
      </c>
      <c r="E1930" s="20">
        <v>1</v>
      </c>
      <c r="F1930" s="17" t="s">
        <v>289</v>
      </c>
      <c r="G1930" s="17" t="s">
        <v>296</v>
      </c>
      <c r="H1930" s="17" t="s">
        <v>297</v>
      </c>
      <c r="I1930" s="17" t="s">
        <v>298</v>
      </c>
      <c r="J1930" s="27" t="s">
        <v>51</v>
      </c>
      <c r="K1930" s="29">
        <v>9846</v>
      </c>
      <c r="L1930" s="31">
        <v>930015.88999977312</v>
      </c>
      <c r="M1930" s="31">
        <v>101427.5800000031</v>
      </c>
      <c r="N1930" s="31">
        <v>79141.179999971908</v>
      </c>
      <c r="O1930" s="34">
        <f t="shared" si="256"/>
        <v>0.10906005057615505</v>
      </c>
      <c r="P1930" s="34">
        <f t="shared" si="257"/>
        <v>0.78027278182097504</v>
      </c>
      <c r="Q1930" s="34">
        <f t="shared" si="258"/>
        <v>0.89093994942384491</v>
      </c>
      <c r="R1930" s="46">
        <f t="shared" si="259"/>
        <v>8.0379016859609909</v>
      </c>
    </row>
    <row r="1931" spans="2:18" ht="12.75" customHeight="1" x14ac:dyDescent="0.25">
      <c r="B1931" s="17" t="s">
        <v>0</v>
      </c>
      <c r="C1931" s="44" t="s">
        <v>66</v>
      </c>
      <c r="D1931" s="22" t="s">
        <v>9</v>
      </c>
      <c r="E1931" s="20">
        <v>2</v>
      </c>
      <c r="F1931" s="17" t="s">
        <v>289</v>
      </c>
      <c r="G1931" s="17" t="s">
        <v>296</v>
      </c>
      <c r="H1931" s="17" t="s">
        <v>297</v>
      </c>
      <c r="I1931" s="17" t="s">
        <v>298</v>
      </c>
      <c r="J1931" s="27" t="s">
        <v>67</v>
      </c>
      <c r="K1931" s="29">
        <v>1738</v>
      </c>
      <c r="L1931" s="31">
        <v>283004.68000029394</v>
      </c>
      <c r="M1931" s="31">
        <v>64351.869999765091</v>
      </c>
      <c r="N1931" s="31">
        <v>51651.960000010702</v>
      </c>
      <c r="O1931" s="34">
        <f t="shared" si="256"/>
        <v>0.22738800644462223</v>
      </c>
      <c r="P1931" s="34">
        <f t="shared" si="257"/>
        <v>0.80264893623447542</v>
      </c>
      <c r="Q1931" s="34">
        <f t="shared" si="258"/>
        <v>0.7726119935553778</v>
      </c>
      <c r="R1931" s="46">
        <f t="shared" si="259"/>
        <v>29.719194476415822</v>
      </c>
    </row>
    <row r="1932" spans="2:18" ht="12.75" customHeight="1" x14ac:dyDescent="0.25">
      <c r="B1932" s="17" t="s">
        <v>0</v>
      </c>
      <c r="C1932" s="44" t="s">
        <v>250</v>
      </c>
      <c r="D1932" s="22" t="s">
        <v>9</v>
      </c>
      <c r="E1932" s="20">
        <v>2</v>
      </c>
      <c r="F1932" s="17" t="s">
        <v>289</v>
      </c>
      <c r="G1932" s="17" t="s">
        <v>296</v>
      </c>
      <c r="H1932" s="17" t="s">
        <v>297</v>
      </c>
      <c r="I1932" s="17" t="s">
        <v>298</v>
      </c>
      <c r="J1932" s="27" t="s">
        <v>251</v>
      </c>
      <c r="K1932" s="29">
        <v>5124</v>
      </c>
      <c r="L1932" s="31">
        <v>136349.04000009797</v>
      </c>
      <c r="M1932" s="31">
        <v>55120.409999455027</v>
      </c>
      <c r="N1932" s="31">
        <v>42584.109999720997</v>
      </c>
      <c r="O1932" s="34">
        <f t="shared" si="256"/>
        <v>0.40425961194457566</v>
      </c>
      <c r="P1932" s="34">
        <f t="shared" si="257"/>
        <v>0.77256518955758902</v>
      </c>
      <c r="Q1932" s="34">
        <f t="shared" si="258"/>
        <v>0.5957403880554244</v>
      </c>
      <c r="R1932" s="46">
        <f t="shared" si="259"/>
        <v>8.3107162372601469</v>
      </c>
    </row>
    <row r="1933" spans="2:18" ht="12.75" customHeight="1" x14ac:dyDescent="0.25">
      <c r="B1933" s="17" t="s">
        <v>0</v>
      </c>
      <c r="C1933" s="44" t="s">
        <v>64</v>
      </c>
      <c r="D1933" s="22" t="s">
        <v>9</v>
      </c>
      <c r="E1933" s="20">
        <v>2</v>
      </c>
      <c r="F1933" s="17" t="s">
        <v>289</v>
      </c>
      <c r="G1933" s="17" t="s">
        <v>296</v>
      </c>
      <c r="H1933" s="17" t="s">
        <v>297</v>
      </c>
      <c r="I1933" s="17" t="s">
        <v>298</v>
      </c>
      <c r="J1933" s="27" t="s">
        <v>65</v>
      </c>
      <c r="K1933" s="29">
        <v>2421</v>
      </c>
      <c r="L1933" s="31">
        <v>277681.00000005</v>
      </c>
      <c r="M1933" s="31">
        <v>46974.190000207607</v>
      </c>
      <c r="N1933" s="31">
        <v>35082.009999951995</v>
      </c>
      <c r="O1933" s="34">
        <f t="shared" si="256"/>
        <v>0.16916602144258752</v>
      </c>
      <c r="P1933" s="34">
        <f t="shared" si="257"/>
        <v>0.74683586879937569</v>
      </c>
      <c r="Q1933" s="34">
        <f t="shared" si="258"/>
        <v>0.83083397855741248</v>
      </c>
      <c r="R1933" s="46">
        <f t="shared" si="259"/>
        <v>14.49071045020735</v>
      </c>
    </row>
    <row r="1934" spans="2:18" ht="12.75" customHeight="1" x14ac:dyDescent="0.25">
      <c r="B1934" s="17" t="s">
        <v>0</v>
      </c>
      <c r="C1934" s="44" t="s">
        <v>62</v>
      </c>
      <c r="D1934" s="22" t="s">
        <v>9</v>
      </c>
      <c r="E1934" s="20">
        <v>2</v>
      </c>
      <c r="F1934" s="17" t="s">
        <v>289</v>
      </c>
      <c r="G1934" s="17" t="s">
        <v>296</v>
      </c>
      <c r="H1934" s="17" t="s">
        <v>297</v>
      </c>
      <c r="I1934" s="17" t="s">
        <v>298</v>
      </c>
      <c r="J1934" s="27" t="s">
        <v>63</v>
      </c>
      <c r="K1934" s="29">
        <v>1823</v>
      </c>
      <c r="L1934" s="31">
        <v>160808.22999999698</v>
      </c>
      <c r="M1934" s="31">
        <v>31236.080000381706</v>
      </c>
      <c r="N1934" s="31">
        <v>24009.260000303198</v>
      </c>
      <c r="O1934" s="34">
        <f t="shared" si="256"/>
        <v>0.19424428712623906</v>
      </c>
      <c r="P1934" s="34">
        <f t="shared" si="257"/>
        <v>0.7686387024239214</v>
      </c>
      <c r="Q1934" s="34">
        <f t="shared" si="258"/>
        <v>0.80575571287376091</v>
      </c>
      <c r="R1934" s="46">
        <f t="shared" si="259"/>
        <v>13.170191991389578</v>
      </c>
    </row>
    <row r="1935" spans="2:18" ht="12.75" customHeight="1" x14ac:dyDescent="0.25">
      <c r="B1935" s="17" t="s">
        <v>0</v>
      </c>
      <c r="C1935" s="44" t="s">
        <v>176</v>
      </c>
      <c r="D1935" s="22" t="s">
        <v>9</v>
      </c>
      <c r="E1935" s="20">
        <v>2</v>
      </c>
      <c r="F1935" s="17" t="s">
        <v>289</v>
      </c>
      <c r="G1935" s="17" t="s">
        <v>296</v>
      </c>
      <c r="H1935" s="17" t="s">
        <v>297</v>
      </c>
      <c r="I1935" s="17" t="s">
        <v>298</v>
      </c>
      <c r="J1935" s="27" t="s">
        <v>177</v>
      </c>
      <c r="K1935" s="29">
        <v>256</v>
      </c>
      <c r="L1935" s="31">
        <v>96439</v>
      </c>
      <c r="M1935" s="31">
        <v>30459.280000239996</v>
      </c>
      <c r="N1935" s="31">
        <v>22243.689999988001</v>
      </c>
      <c r="O1935" s="34">
        <f t="shared" si="256"/>
        <v>0.31583985732162295</v>
      </c>
      <c r="P1935" s="34">
        <f t="shared" si="257"/>
        <v>0.73027629017536644</v>
      </c>
      <c r="Q1935" s="34">
        <f t="shared" si="258"/>
        <v>0.68416014267837699</v>
      </c>
      <c r="R1935" s="46">
        <f t="shared" si="259"/>
        <v>86.889414062453127</v>
      </c>
    </row>
    <row r="1936" spans="2:18" ht="12.75" customHeight="1" x14ac:dyDescent="0.25">
      <c r="B1936" s="17" t="s">
        <v>0</v>
      </c>
      <c r="C1936" s="44" t="s">
        <v>22</v>
      </c>
      <c r="D1936" s="22" t="s">
        <v>9</v>
      </c>
      <c r="E1936" s="20">
        <v>2</v>
      </c>
      <c r="F1936" s="17" t="s">
        <v>289</v>
      </c>
      <c r="G1936" s="17" t="s">
        <v>296</v>
      </c>
      <c r="H1936" s="17" t="s">
        <v>297</v>
      </c>
      <c r="I1936" s="17" t="s">
        <v>298</v>
      </c>
      <c r="J1936" s="27" t="s">
        <v>23</v>
      </c>
      <c r="K1936" s="29">
        <v>1476</v>
      </c>
      <c r="L1936" s="31">
        <v>75674.999999980006</v>
      </c>
      <c r="M1936" s="31">
        <v>24026.739999919104</v>
      </c>
      <c r="N1936" s="31">
        <v>17311.190000000701</v>
      </c>
      <c r="O1936" s="34">
        <f t="shared" si="256"/>
        <v>0.31749904195474665</v>
      </c>
      <c r="P1936" s="34">
        <f t="shared" si="257"/>
        <v>0.72049682978460605</v>
      </c>
      <c r="Q1936" s="34">
        <f t="shared" si="258"/>
        <v>0.68250095804525335</v>
      </c>
      <c r="R1936" s="46">
        <f t="shared" si="259"/>
        <v>11.72844850948557</v>
      </c>
    </row>
    <row r="1937" spans="2:18" ht="12.75" customHeight="1" x14ac:dyDescent="0.25">
      <c r="B1937" s="17" t="s">
        <v>0</v>
      </c>
      <c r="C1937" s="44" t="s">
        <v>58</v>
      </c>
      <c r="D1937" s="22" t="s">
        <v>2</v>
      </c>
      <c r="E1937" s="20">
        <v>1</v>
      </c>
      <c r="F1937" s="17" t="s">
        <v>289</v>
      </c>
      <c r="G1937" s="17" t="s">
        <v>296</v>
      </c>
      <c r="H1937" s="17" t="s">
        <v>297</v>
      </c>
      <c r="I1937" s="17" t="s">
        <v>298</v>
      </c>
      <c r="J1937" s="27" t="s">
        <v>59</v>
      </c>
      <c r="K1937" s="29">
        <v>2583</v>
      </c>
      <c r="L1937" s="31">
        <v>64319</v>
      </c>
      <c r="M1937" s="31">
        <v>19723.659999879997</v>
      </c>
      <c r="N1937" s="31">
        <v>15685.4999999585</v>
      </c>
      <c r="O1937" s="34">
        <f t="shared" si="256"/>
        <v>0.30665371041029865</v>
      </c>
      <c r="P1937" s="34">
        <f t="shared" si="257"/>
        <v>0.79526315095950417</v>
      </c>
      <c r="Q1937" s="34">
        <f t="shared" si="258"/>
        <v>0.69334628958970135</v>
      </c>
      <c r="R1937" s="46">
        <f t="shared" si="259"/>
        <v>6.0725900115983356</v>
      </c>
    </row>
    <row r="1938" spans="2:18" ht="12.75" customHeight="1" x14ac:dyDescent="0.25">
      <c r="B1938" s="17" t="s">
        <v>0</v>
      </c>
      <c r="C1938" s="44" t="s">
        <v>135</v>
      </c>
      <c r="D1938" s="22" t="s">
        <v>9</v>
      </c>
      <c r="E1938" s="20">
        <v>2</v>
      </c>
      <c r="F1938" s="17" t="s">
        <v>289</v>
      </c>
      <c r="G1938" s="17" t="s">
        <v>296</v>
      </c>
      <c r="H1938" s="17" t="s">
        <v>297</v>
      </c>
      <c r="I1938" s="17" t="s">
        <v>298</v>
      </c>
      <c r="J1938" s="27" t="s">
        <v>136</v>
      </c>
      <c r="K1938" s="29">
        <v>966</v>
      </c>
      <c r="L1938" s="31">
        <v>90109.000000217988</v>
      </c>
      <c r="M1938" s="31">
        <v>20718.9200000858</v>
      </c>
      <c r="N1938" s="31">
        <v>15205.4699999109</v>
      </c>
      <c r="O1938" s="34">
        <f t="shared" si="256"/>
        <v>0.22993174932621244</v>
      </c>
      <c r="P1938" s="34">
        <f t="shared" si="257"/>
        <v>0.73389298283153426</v>
      </c>
      <c r="Q1938" s="34">
        <f t="shared" si="258"/>
        <v>0.77006825067378759</v>
      </c>
      <c r="R1938" s="46">
        <f t="shared" si="259"/>
        <v>15.740652173820807</v>
      </c>
    </row>
    <row r="1939" spans="2:18" ht="12.75" customHeight="1" x14ac:dyDescent="0.25">
      <c r="B1939" s="17" t="s">
        <v>0</v>
      </c>
      <c r="C1939" s="44" t="s">
        <v>36</v>
      </c>
      <c r="D1939" s="22" t="s">
        <v>9</v>
      </c>
      <c r="E1939" s="20">
        <v>2</v>
      </c>
      <c r="F1939" s="17" t="s">
        <v>289</v>
      </c>
      <c r="G1939" s="17" t="s">
        <v>296</v>
      </c>
      <c r="H1939" s="17" t="s">
        <v>297</v>
      </c>
      <c r="I1939" s="17" t="s">
        <v>298</v>
      </c>
      <c r="J1939" s="27" t="s">
        <v>37</v>
      </c>
      <c r="K1939" s="29">
        <v>285</v>
      </c>
      <c r="L1939" s="31">
        <v>70755.999999977998</v>
      </c>
      <c r="M1939" s="31">
        <v>19729.150000169</v>
      </c>
      <c r="N1939" s="31">
        <v>14001.2300000294</v>
      </c>
      <c r="O1939" s="34">
        <f t="shared" si="256"/>
        <v>0.27883359715324685</v>
      </c>
      <c r="P1939" s="34">
        <f t="shared" si="257"/>
        <v>0.70967223625495601</v>
      </c>
      <c r="Q1939" s="34">
        <f t="shared" si="258"/>
        <v>0.72116640284675315</v>
      </c>
      <c r="R1939" s="46">
        <f t="shared" si="259"/>
        <v>49.127122807120699</v>
      </c>
    </row>
    <row r="1940" spans="2:18" ht="12.75" customHeight="1" x14ac:dyDescent="0.25">
      <c r="B1940" s="17" t="s">
        <v>0</v>
      </c>
      <c r="C1940" s="44" t="s">
        <v>7</v>
      </c>
      <c r="D1940" s="22" t="s">
        <v>9</v>
      </c>
      <c r="E1940" s="20">
        <v>2</v>
      </c>
      <c r="F1940" s="17" t="s">
        <v>289</v>
      </c>
      <c r="G1940" s="17" t="s">
        <v>296</v>
      </c>
      <c r="H1940" s="17" t="s">
        <v>297</v>
      </c>
      <c r="I1940" s="17" t="s">
        <v>298</v>
      </c>
      <c r="J1940" s="27" t="s">
        <v>8</v>
      </c>
      <c r="K1940" s="29">
        <v>1074</v>
      </c>
      <c r="L1940" s="31">
        <v>66649.700000090001</v>
      </c>
      <c r="M1940" s="31">
        <v>13700.389999766001</v>
      </c>
      <c r="N1940" s="31">
        <v>10790.870000243</v>
      </c>
      <c r="O1940" s="34">
        <f t="shared" si="256"/>
        <v>0.20555816454909026</v>
      </c>
      <c r="P1940" s="34">
        <f t="shared" si="257"/>
        <v>0.7876323229066694</v>
      </c>
      <c r="Q1940" s="34">
        <f t="shared" si="258"/>
        <v>0.79444183545090974</v>
      </c>
      <c r="R1940" s="46">
        <f t="shared" si="259"/>
        <v>10.04736499091527</v>
      </c>
    </row>
    <row r="1941" spans="2:18" ht="12.75" customHeight="1" x14ac:dyDescent="0.25">
      <c r="B1941" s="17" t="s">
        <v>0</v>
      </c>
      <c r="C1941" s="44" t="s">
        <v>18</v>
      </c>
      <c r="D1941" s="22" t="s">
        <v>2</v>
      </c>
      <c r="E1941" s="20">
        <v>1</v>
      </c>
      <c r="F1941" s="17" t="s">
        <v>289</v>
      </c>
      <c r="G1941" s="17" t="s">
        <v>296</v>
      </c>
      <c r="H1941" s="17" t="s">
        <v>297</v>
      </c>
      <c r="I1941" s="17" t="s">
        <v>298</v>
      </c>
      <c r="J1941" s="27" t="s">
        <v>19</v>
      </c>
      <c r="K1941" s="29">
        <v>705</v>
      </c>
      <c r="L1941" s="31">
        <v>42538</v>
      </c>
      <c r="M1941" s="31">
        <v>11679.189999986002</v>
      </c>
      <c r="N1941" s="31">
        <v>8906.6299999863004</v>
      </c>
      <c r="O1941" s="34">
        <f t="shared" si="256"/>
        <v>0.27455898255644368</v>
      </c>
      <c r="P1941" s="34">
        <f t="shared" si="257"/>
        <v>0.76260682461685914</v>
      </c>
      <c r="Q1941" s="34">
        <f t="shared" si="258"/>
        <v>0.72544101744355638</v>
      </c>
      <c r="R1941" s="46">
        <f t="shared" si="259"/>
        <v>12.633517730477022</v>
      </c>
    </row>
    <row r="1942" spans="2:18" ht="12.75" customHeight="1" x14ac:dyDescent="0.25">
      <c r="B1942" s="17" t="s">
        <v>0</v>
      </c>
      <c r="C1942" s="44" t="s">
        <v>38</v>
      </c>
      <c r="D1942" s="22" t="s">
        <v>2</v>
      </c>
      <c r="E1942" s="20">
        <v>1</v>
      </c>
      <c r="F1942" s="17" t="s">
        <v>289</v>
      </c>
      <c r="G1942" s="17" t="s">
        <v>296</v>
      </c>
      <c r="H1942" s="17" t="s">
        <v>297</v>
      </c>
      <c r="I1942" s="17" t="s">
        <v>298</v>
      </c>
      <c r="J1942" s="27" t="s">
        <v>39</v>
      </c>
      <c r="K1942" s="29">
        <v>1094</v>
      </c>
      <c r="L1942" s="31">
        <v>73525.230000056006</v>
      </c>
      <c r="M1942" s="31">
        <v>9573.9500000274002</v>
      </c>
      <c r="N1942" s="31">
        <v>7606.5800000182999</v>
      </c>
      <c r="O1942" s="34">
        <f t="shared" ref="O1942:O1973" si="260">IFERROR(M1942/L1942,0)</f>
        <v>0.13021312548114583</v>
      </c>
      <c r="P1942" s="34">
        <f t="shared" ref="P1942:P1973" si="261">IFERROR(N1942/M1942,0)</f>
        <v>0.79450801393328041</v>
      </c>
      <c r="Q1942" s="34">
        <f t="shared" ref="Q1942:Q1973" si="262">IFERROR(1-(M1942/L1942),0)</f>
        <v>0.86978687451885417</v>
      </c>
      <c r="R1942" s="46">
        <f t="shared" ref="R1942:R1973" si="263">IFERROR(N1942/K1942,0)</f>
        <v>6.9529981718631628</v>
      </c>
    </row>
    <row r="1943" spans="2:18" ht="12.75" customHeight="1" x14ac:dyDescent="0.25">
      <c r="B1943" s="17" t="s">
        <v>0</v>
      </c>
      <c r="C1943" s="44" t="s">
        <v>70</v>
      </c>
      <c r="D1943" s="22" t="s">
        <v>9</v>
      </c>
      <c r="E1943" s="20">
        <v>2</v>
      </c>
      <c r="F1943" s="17" t="s">
        <v>289</v>
      </c>
      <c r="G1943" s="17" t="s">
        <v>296</v>
      </c>
      <c r="H1943" s="17" t="s">
        <v>297</v>
      </c>
      <c r="I1943" s="17" t="s">
        <v>298</v>
      </c>
      <c r="J1943" s="27" t="s">
        <v>71</v>
      </c>
      <c r="K1943" s="29">
        <v>679</v>
      </c>
      <c r="L1943" s="31">
        <v>48761.249999995001</v>
      </c>
      <c r="M1943" s="31">
        <v>10782.889999970999</v>
      </c>
      <c r="N1943" s="31">
        <v>7487.7799999770996</v>
      </c>
      <c r="O1943" s="34">
        <f t="shared" si="260"/>
        <v>0.22113645568914056</v>
      </c>
      <c r="P1943" s="34">
        <f t="shared" si="261"/>
        <v>0.69441309333557499</v>
      </c>
      <c r="Q1943" s="34">
        <f t="shared" si="262"/>
        <v>0.77886354431085947</v>
      </c>
      <c r="R1943" s="46">
        <f t="shared" si="263"/>
        <v>11.027658321026657</v>
      </c>
    </row>
    <row r="1944" spans="2:18" ht="12.75" customHeight="1" x14ac:dyDescent="0.25">
      <c r="B1944" s="17" t="s">
        <v>0</v>
      </c>
      <c r="C1944" s="44" t="s">
        <v>44</v>
      </c>
      <c r="D1944" s="22" t="s">
        <v>2</v>
      </c>
      <c r="E1944" s="20">
        <v>1</v>
      </c>
      <c r="F1944" s="17" t="s">
        <v>289</v>
      </c>
      <c r="G1944" s="17" t="s">
        <v>296</v>
      </c>
      <c r="H1944" s="17" t="s">
        <v>297</v>
      </c>
      <c r="I1944" s="17" t="s">
        <v>298</v>
      </c>
      <c r="J1944" s="27" t="s">
        <v>45</v>
      </c>
      <c r="K1944" s="29">
        <v>1136</v>
      </c>
      <c r="L1944" s="31">
        <v>49994</v>
      </c>
      <c r="M1944" s="31">
        <v>8974.2599999779013</v>
      </c>
      <c r="N1944" s="31">
        <v>6949.1700000200999</v>
      </c>
      <c r="O1944" s="34">
        <f t="shared" si="260"/>
        <v>0.17950674080845505</v>
      </c>
      <c r="P1944" s="34">
        <f t="shared" si="261"/>
        <v>0.7743446256334463</v>
      </c>
      <c r="Q1944" s="34">
        <f t="shared" si="262"/>
        <v>0.82049325919154492</v>
      </c>
      <c r="R1944" s="46">
        <f t="shared" si="263"/>
        <v>6.1172271126937501</v>
      </c>
    </row>
    <row r="1945" spans="2:18" ht="12.75" customHeight="1" x14ac:dyDescent="0.25">
      <c r="B1945" s="17" t="s">
        <v>0</v>
      </c>
      <c r="C1945" s="44" t="s">
        <v>48</v>
      </c>
      <c r="D1945" s="22" t="s">
        <v>9</v>
      </c>
      <c r="E1945" s="20">
        <v>2</v>
      </c>
      <c r="F1945" s="17" t="s">
        <v>289</v>
      </c>
      <c r="G1945" s="17" t="s">
        <v>296</v>
      </c>
      <c r="H1945" s="17" t="s">
        <v>297</v>
      </c>
      <c r="I1945" s="17" t="s">
        <v>298</v>
      </c>
      <c r="J1945" s="27" t="s">
        <v>49</v>
      </c>
      <c r="K1945" s="29">
        <v>662</v>
      </c>
      <c r="L1945" s="31">
        <v>126814.00000119999</v>
      </c>
      <c r="M1945" s="31">
        <v>8961.0300001590003</v>
      </c>
      <c r="N1945" s="31">
        <v>6694.3799998225004</v>
      </c>
      <c r="O1945" s="34">
        <f t="shared" si="260"/>
        <v>7.0662781712383535E-2</v>
      </c>
      <c r="P1945" s="34">
        <f t="shared" si="261"/>
        <v>0.74705474702168373</v>
      </c>
      <c r="Q1945" s="34">
        <f t="shared" si="262"/>
        <v>0.92933721828761651</v>
      </c>
      <c r="R1945" s="46">
        <f t="shared" si="263"/>
        <v>10.112356495200151</v>
      </c>
    </row>
    <row r="1946" spans="2:18" ht="12.75" customHeight="1" x14ac:dyDescent="0.25">
      <c r="B1946" s="17" t="s">
        <v>0</v>
      </c>
      <c r="C1946" s="44" t="s">
        <v>64</v>
      </c>
      <c r="D1946" s="22" t="s">
        <v>2</v>
      </c>
      <c r="E1946" s="20">
        <v>1</v>
      </c>
      <c r="F1946" s="17" t="s">
        <v>289</v>
      </c>
      <c r="G1946" s="17" t="s">
        <v>296</v>
      </c>
      <c r="H1946" s="17" t="s">
        <v>297</v>
      </c>
      <c r="I1946" s="17" t="s">
        <v>298</v>
      </c>
      <c r="J1946" s="27" t="s">
        <v>65</v>
      </c>
      <c r="K1946" s="29">
        <v>530</v>
      </c>
      <c r="L1946" s="31">
        <v>86208.640000002997</v>
      </c>
      <c r="M1946" s="31">
        <v>8288.6299999436978</v>
      </c>
      <c r="N1946" s="31">
        <v>6465.5300000338993</v>
      </c>
      <c r="O1946" s="34">
        <f t="shared" si="260"/>
        <v>9.6146163539332127E-2</v>
      </c>
      <c r="P1946" s="34">
        <f t="shared" si="261"/>
        <v>0.78004808998324426</v>
      </c>
      <c r="Q1946" s="34">
        <f t="shared" si="262"/>
        <v>0.90385383646066786</v>
      </c>
      <c r="R1946" s="46">
        <f t="shared" si="263"/>
        <v>12.199113207611131</v>
      </c>
    </row>
    <row r="1947" spans="2:18" ht="12.75" customHeight="1" x14ac:dyDescent="0.25">
      <c r="B1947" s="17" t="s">
        <v>0</v>
      </c>
      <c r="C1947" s="44" t="s">
        <v>114</v>
      </c>
      <c r="D1947" s="22" t="s">
        <v>9</v>
      </c>
      <c r="E1947" s="20">
        <v>2</v>
      </c>
      <c r="F1947" s="17" t="s">
        <v>289</v>
      </c>
      <c r="G1947" s="17" t="s">
        <v>296</v>
      </c>
      <c r="H1947" s="17" t="s">
        <v>297</v>
      </c>
      <c r="I1947" s="17" t="s">
        <v>298</v>
      </c>
      <c r="J1947" s="27" t="s">
        <v>118</v>
      </c>
      <c r="K1947" s="29">
        <v>665</v>
      </c>
      <c r="L1947" s="31">
        <v>43705.34000000501</v>
      </c>
      <c r="M1947" s="31">
        <v>8363.5499999999993</v>
      </c>
      <c r="N1947" s="31">
        <v>6419.6000000384993</v>
      </c>
      <c r="O1947" s="34">
        <f t="shared" si="260"/>
        <v>0.19136219967626475</v>
      </c>
      <c r="P1947" s="34">
        <f t="shared" si="261"/>
        <v>0.76756879555194857</v>
      </c>
      <c r="Q1947" s="34">
        <f t="shared" si="262"/>
        <v>0.80863780032373522</v>
      </c>
      <c r="R1947" s="46">
        <f t="shared" si="263"/>
        <v>9.6535338346443602</v>
      </c>
    </row>
    <row r="1948" spans="2:18" ht="12.75" customHeight="1" x14ac:dyDescent="0.25">
      <c r="B1948" s="17" t="s">
        <v>0</v>
      </c>
      <c r="C1948" s="44" t="s">
        <v>22</v>
      </c>
      <c r="D1948" s="22" t="s">
        <v>2</v>
      </c>
      <c r="E1948" s="20">
        <v>1</v>
      </c>
      <c r="F1948" s="17" t="s">
        <v>289</v>
      </c>
      <c r="G1948" s="17" t="s">
        <v>296</v>
      </c>
      <c r="H1948" s="17" t="s">
        <v>297</v>
      </c>
      <c r="I1948" s="17" t="s">
        <v>298</v>
      </c>
      <c r="J1948" s="27" t="s">
        <v>23</v>
      </c>
      <c r="K1948" s="29">
        <v>946</v>
      </c>
      <c r="L1948" s="31">
        <v>20566</v>
      </c>
      <c r="M1948" s="31">
        <v>8141.5500000354004</v>
      </c>
      <c r="N1948" s="31">
        <v>6139.6900000302003</v>
      </c>
      <c r="O1948" s="34">
        <f t="shared" si="260"/>
        <v>0.39587425848659924</v>
      </c>
      <c r="P1948" s="34">
        <f t="shared" si="261"/>
        <v>0.75411807334027359</v>
      </c>
      <c r="Q1948" s="34">
        <f t="shared" si="262"/>
        <v>0.6041257415134007</v>
      </c>
      <c r="R1948" s="46">
        <f t="shared" si="263"/>
        <v>6.4901585623997891</v>
      </c>
    </row>
    <row r="1949" spans="2:18" ht="12.75" customHeight="1" x14ac:dyDescent="0.25">
      <c r="B1949" s="17" t="s">
        <v>0</v>
      </c>
      <c r="C1949" s="44" t="s">
        <v>76</v>
      </c>
      <c r="D1949" s="22" t="s">
        <v>9</v>
      </c>
      <c r="E1949" s="20">
        <v>2</v>
      </c>
      <c r="F1949" s="17" t="s">
        <v>289</v>
      </c>
      <c r="G1949" s="17" t="s">
        <v>296</v>
      </c>
      <c r="H1949" s="17" t="s">
        <v>297</v>
      </c>
      <c r="I1949" s="17" t="s">
        <v>298</v>
      </c>
      <c r="J1949" s="27" t="s">
        <v>77</v>
      </c>
      <c r="K1949" s="29">
        <v>546</v>
      </c>
      <c r="L1949" s="31">
        <v>29624.5</v>
      </c>
      <c r="M1949" s="31">
        <v>6995.5800001561001</v>
      </c>
      <c r="N1949" s="31">
        <v>5060.7699999507995</v>
      </c>
      <c r="O1949" s="34">
        <f t="shared" si="260"/>
        <v>0.2361417070382994</v>
      </c>
      <c r="P1949" s="34">
        <f t="shared" si="261"/>
        <v>0.72342393337476996</v>
      </c>
      <c r="Q1949" s="34">
        <f t="shared" si="262"/>
        <v>0.7638582929617006</v>
      </c>
      <c r="R1949" s="46">
        <f t="shared" si="263"/>
        <v>9.2688095237194137</v>
      </c>
    </row>
    <row r="1950" spans="2:18" ht="12.75" customHeight="1" x14ac:dyDescent="0.25">
      <c r="B1950" s="17" t="s">
        <v>0</v>
      </c>
      <c r="C1950" s="44" t="s">
        <v>58</v>
      </c>
      <c r="D1950" s="22" t="s">
        <v>9</v>
      </c>
      <c r="E1950" s="20">
        <v>2</v>
      </c>
      <c r="F1950" s="17" t="s">
        <v>289</v>
      </c>
      <c r="G1950" s="17" t="s">
        <v>296</v>
      </c>
      <c r="H1950" s="17" t="s">
        <v>297</v>
      </c>
      <c r="I1950" s="17" t="s">
        <v>298</v>
      </c>
      <c r="J1950" s="27" t="s">
        <v>59</v>
      </c>
      <c r="K1950" s="29">
        <v>170</v>
      </c>
      <c r="L1950" s="31">
        <v>17928.999999880001</v>
      </c>
      <c r="M1950" s="31">
        <v>5988.3500000080003</v>
      </c>
      <c r="N1950" s="31">
        <v>4533.7600000118</v>
      </c>
      <c r="O1950" s="34">
        <f t="shared" si="260"/>
        <v>0.33400356963846728</v>
      </c>
      <c r="P1950" s="34">
        <f t="shared" si="261"/>
        <v>0.75709669608585717</v>
      </c>
      <c r="Q1950" s="34">
        <f t="shared" si="262"/>
        <v>0.66599643036153267</v>
      </c>
      <c r="R1950" s="46">
        <f t="shared" si="263"/>
        <v>26.669176470657646</v>
      </c>
    </row>
    <row r="1951" spans="2:18" ht="12.75" customHeight="1" x14ac:dyDescent="0.25">
      <c r="B1951" s="17" t="s">
        <v>0</v>
      </c>
      <c r="C1951" s="44" t="s">
        <v>36</v>
      </c>
      <c r="D1951" s="22" t="s">
        <v>2</v>
      </c>
      <c r="E1951" s="20">
        <v>1</v>
      </c>
      <c r="F1951" s="17" t="s">
        <v>289</v>
      </c>
      <c r="G1951" s="17" t="s">
        <v>296</v>
      </c>
      <c r="H1951" s="17" t="s">
        <v>297</v>
      </c>
      <c r="I1951" s="17" t="s">
        <v>298</v>
      </c>
      <c r="J1951" s="27" t="s">
        <v>37</v>
      </c>
      <c r="K1951" s="29">
        <v>761</v>
      </c>
      <c r="L1951" s="31">
        <v>65264.480000026997</v>
      </c>
      <c r="M1951" s="31">
        <v>5875.8099999921997</v>
      </c>
      <c r="N1951" s="31">
        <v>4486.3600000115985</v>
      </c>
      <c r="O1951" s="34">
        <f t="shared" si="260"/>
        <v>9.0030748731772151E-2</v>
      </c>
      <c r="P1951" s="34">
        <f t="shared" si="261"/>
        <v>0.76353047495027138</v>
      </c>
      <c r="Q1951" s="34">
        <f t="shared" si="262"/>
        <v>0.90996925126822781</v>
      </c>
      <c r="R1951" s="46">
        <f t="shared" si="263"/>
        <v>5.8953482260336383</v>
      </c>
    </row>
    <row r="1952" spans="2:18" ht="12.75" customHeight="1" x14ac:dyDescent="0.25">
      <c r="B1952" s="17" t="s">
        <v>0</v>
      </c>
      <c r="C1952" s="44" t="s">
        <v>90</v>
      </c>
      <c r="D1952" s="22" t="s">
        <v>9</v>
      </c>
      <c r="E1952" s="20">
        <v>2</v>
      </c>
      <c r="F1952" s="17" t="s">
        <v>289</v>
      </c>
      <c r="G1952" s="17" t="s">
        <v>296</v>
      </c>
      <c r="H1952" s="17" t="s">
        <v>297</v>
      </c>
      <c r="I1952" s="17" t="s">
        <v>298</v>
      </c>
      <c r="J1952" s="27" t="s">
        <v>91</v>
      </c>
      <c r="K1952" s="29">
        <v>526</v>
      </c>
      <c r="L1952" s="31">
        <v>16689.680000005999</v>
      </c>
      <c r="M1952" s="31">
        <v>6078.7599999709983</v>
      </c>
      <c r="N1952" s="31">
        <v>4203.259999997199</v>
      </c>
      <c r="O1952" s="34">
        <f t="shared" si="260"/>
        <v>0.36422268131976249</v>
      </c>
      <c r="P1952" s="34">
        <f t="shared" si="261"/>
        <v>0.69146668070745554</v>
      </c>
      <c r="Q1952" s="34">
        <f t="shared" si="262"/>
        <v>0.63577731868023757</v>
      </c>
      <c r="R1952" s="46">
        <f t="shared" si="263"/>
        <v>7.9909885931505684</v>
      </c>
    </row>
    <row r="1953" spans="2:18" ht="12.75" customHeight="1" x14ac:dyDescent="0.25">
      <c r="B1953" s="17" t="s">
        <v>0</v>
      </c>
      <c r="C1953" s="44" t="s">
        <v>186</v>
      </c>
      <c r="D1953" s="22" t="s">
        <v>9</v>
      </c>
      <c r="E1953" s="20">
        <v>2</v>
      </c>
      <c r="F1953" s="17" t="s">
        <v>289</v>
      </c>
      <c r="G1953" s="17" t="s">
        <v>296</v>
      </c>
      <c r="H1953" s="17" t="s">
        <v>297</v>
      </c>
      <c r="I1953" s="17" t="s">
        <v>298</v>
      </c>
      <c r="J1953" s="27" t="s">
        <v>187</v>
      </c>
      <c r="K1953" s="29">
        <v>351</v>
      </c>
      <c r="L1953" s="31">
        <v>20546.999999854001</v>
      </c>
      <c r="M1953" s="31">
        <v>5106.9499999600002</v>
      </c>
      <c r="N1953" s="31">
        <v>3764.4799999487</v>
      </c>
      <c r="O1953" s="34">
        <f t="shared" si="260"/>
        <v>0.24854966661781711</v>
      </c>
      <c r="P1953" s="34">
        <f t="shared" si="261"/>
        <v>0.73712881465026781</v>
      </c>
      <c r="Q1953" s="34">
        <f t="shared" si="262"/>
        <v>0.75145033338218292</v>
      </c>
      <c r="R1953" s="46">
        <f t="shared" si="263"/>
        <v>10.725014244868092</v>
      </c>
    </row>
    <row r="1954" spans="2:18" ht="12.75" customHeight="1" x14ac:dyDescent="0.25">
      <c r="B1954" s="17" t="s">
        <v>0</v>
      </c>
      <c r="C1954" s="44" t="s">
        <v>62</v>
      </c>
      <c r="D1954" s="22" t="s">
        <v>2</v>
      </c>
      <c r="E1954" s="20">
        <v>1</v>
      </c>
      <c r="F1954" s="17" t="s">
        <v>289</v>
      </c>
      <c r="G1954" s="17" t="s">
        <v>296</v>
      </c>
      <c r="H1954" s="17" t="s">
        <v>297</v>
      </c>
      <c r="I1954" s="17" t="s">
        <v>298</v>
      </c>
      <c r="J1954" s="27" t="s">
        <v>63</v>
      </c>
      <c r="K1954" s="29">
        <v>567</v>
      </c>
      <c r="L1954" s="31">
        <v>30716.840000012999</v>
      </c>
      <c r="M1954" s="31">
        <v>4783.6199999936998</v>
      </c>
      <c r="N1954" s="31">
        <v>3734.6200000185004</v>
      </c>
      <c r="O1954" s="34">
        <f t="shared" si="260"/>
        <v>0.15573281626598554</v>
      </c>
      <c r="P1954" s="34">
        <f t="shared" si="261"/>
        <v>0.7807100062344875</v>
      </c>
      <c r="Q1954" s="34">
        <f t="shared" si="262"/>
        <v>0.84426718373401444</v>
      </c>
      <c r="R1954" s="46">
        <f t="shared" si="263"/>
        <v>6.5866313933306886</v>
      </c>
    </row>
    <row r="1955" spans="2:18" ht="12.75" customHeight="1" x14ac:dyDescent="0.25">
      <c r="B1955" s="17" t="s">
        <v>0</v>
      </c>
      <c r="C1955" s="44" t="s">
        <v>76</v>
      </c>
      <c r="D1955" s="22" t="s">
        <v>2</v>
      </c>
      <c r="E1955" s="20">
        <v>1</v>
      </c>
      <c r="F1955" s="17" t="s">
        <v>289</v>
      </c>
      <c r="G1955" s="17" t="s">
        <v>296</v>
      </c>
      <c r="H1955" s="17" t="s">
        <v>297</v>
      </c>
      <c r="I1955" s="17" t="s">
        <v>298</v>
      </c>
      <c r="J1955" s="27" t="s">
        <v>77</v>
      </c>
      <c r="K1955" s="29">
        <v>574</v>
      </c>
      <c r="L1955" s="31">
        <v>17220</v>
      </c>
      <c r="M1955" s="31">
        <v>4516.5000000260006</v>
      </c>
      <c r="N1955" s="31">
        <v>3313.0699999978001</v>
      </c>
      <c r="O1955" s="34">
        <f t="shared" si="260"/>
        <v>0.26228222996666672</v>
      </c>
      <c r="P1955" s="34">
        <f t="shared" si="261"/>
        <v>0.73354810140124593</v>
      </c>
      <c r="Q1955" s="34">
        <f t="shared" si="262"/>
        <v>0.73771777003333328</v>
      </c>
      <c r="R1955" s="46">
        <f t="shared" si="263"/>
        <v>5.7718989547000001</v>
      </c>
    </row>
    <row r="1956" spans="2:18" ht="12.75" customHeight="1" x14ac:dyDescent="0.25">
      <c r="B1956" s="17" t="s">
        <v>0</v>
      </c>
      <c r="C1956" s="44" t="s">
        <v>137</v>
      </c>
      <c r="D1956" s="22" t="s">
        <v>9</v>
      </c>
      <c r="E1956" s="20">
        <v>2</v>
      </c>
      <c r="F1956" s="17" t="s">
        <v>289</v>
      </c>
      <c r="G1956" s="17" t="s">
        <v>296</v>
      </c>
      <c r="H1956" s="17" t="s">
        <v>297</v>
      </c>
      <c r="I1956" s="17" t="s">
        <v>298</v>
      </c>
      <c r="J1956" s="27" t="s">
        <v>138</v>
      </c>
      <c r="K1956" s="29">
        <v>340</v>
      </c>
      <c r="L1956" s="31">
        <v>12626.840000013</v>
      </c>
      <c r="M1956" s="31">
        <v>4257.8500000242002</v>
      </c>
      <c r="N1956" s="31">
        <v>2917.0000000308</v>
      </c>
      <c r="O1956" s="34">
        <f t="shared" si="260"/>
        <v>0.33720630023187248</v>
      </c>
      <c r="P1956" s="34">
        <f t="shared" si="261"/>
        <v>0.68508754418643703</v>
      </c>
      <c r="Q1956" s="34">
        <f t="shared" si="262"/>
        <v>0.66279369976812752</v>
      </c>
      <c r="R1956" s="46">
        <f t="shared" si="263"/>
        <v>8.5794117647964701</v>
      </c>
    </row>
    <row r="1957" spans="2:18" ht="12.75" customHeight="1" x14ac:dyDescent="0.25">
      <c r="B1957" s="17" t="s">
        <v>0</v>
      </c>
      <c r="C1957" s="44" t="s">
        <v>56</v>
      </c>
      <c r="D1957" s="22" t="s">
        <v>9</v>
      </c>
      <c r="E1957" s="20">
        <v>2</v>
      </c>
      <c r="F1957" s="17" t="s">
        <v>289</v>
      </c>
      <c r="G1957" s="17" t="s">
        <v>296</v>
      </c>
      <c r="H1957" s="17" t="s">
        <v>297</v>
      </c>
      <c r="I1957" s="17" t="s">
        <v>298</v>
      </c>
      <c r="J1957" s="27" t="s">
        <v>57</v>
      </c>
      <c r="K1957" s="29">
        <v>296</v>
      </c>
      <c r="L1957" s="31">
        <v>12865.9100000005</v>
      </c>
      <c r="M1957" s="31">
        <v>3675.9799999915003</v>
      </c>
      <c r="N1957" s="31">
        <v>2790.8299999146998</v>
      </c>
      <c r="O1957" s="34">
        <f t="shared" si="260"/>
        <v>0.28571472985520319</v>
      </c>
      <c r="P1957" s="34">
        <f t="shared" si="261"/>
        <v>0.75920706856978348</v>
      </c>
      <c r="Q1957" s="34">
        <f t="shared" si="262"/>
        <v>0.71428527014479681</v>
      </c>
      <c r="R1957" s="46">
        <f t="shared" si="263"/>
        <v>9.4284797294415537</v>
      </c>
    </row>
    <row r="1958" spans="2:18" ht="12.75" customHeight="1" x14ac:dyDescent="0.25">
      <c r="B1958" s="17" t="s">
        <v>0</v>
      </c>
      <c r="C1958" s="44" t="s">
        <v>135</v>
      </c>
      <c r="D1958" s="22" t="s">
        <v>2</v>
      </c>
      <c r="E1958" s="20">
        <v>1</v>
      </c>
      <c r="F1958" s="17" t="s">
        <v>289</v>
      </c>
      <c r="G1958" s="17" t="s">
        <v>296</v>
      </c>
      <c r="H1958" s="17" t="s">
        <v>297</v>
      </c>
      <c r="I1958" s="17" t="s">
        <v>298</v>
      </c>
      <c r="J1958" s="27" t="s">
        <v>136</v>
      </c>
      <c r="K1958" s="29">
        <v>165</v>
      </c>
      <c r="L1958" s="31">
        <v>15681.999999984</v>
      </c>
      <c r="M1958" s="31">
        <v>2867.0100000100001</v>
      </c>
      <c r="N1958" s="31">
        <v>2183.8699999780001</v>
      </c>
      <c r="O1958" s="34">
        <f t="shared" si="260"/>
        <v>0.18282170641582229</v>
      </c>
      <c r="P1958" s="34">
        <f t="shared" si="261"/>
        <v>0.76172388654744239</v>
      </c>
      <c r="Q1958" s="34">
        <f t="shared" si="262"/>
        <v>0.81717829358417771</v>
      </c>
      <c r="R1958" s="46">
        <f t="shared" si="263"/>
        <v>13.235575757442424</v>
      </c>
    </row>
    <row r="1959" spans="2:18" ht="12.75" customHeight="1" x14ac:dyDescent="0.25">
      <c r="B1959" s="17" t="s">
        <v>0</v>
      </c>
      <c r="C1959" s="44" t="s">
        <v>70</v>
      </c>
      <c r="D1959" s="22" t="s">
        <v>2</v>
      </c>
      <c r="E1959" s="20">
        <v>1</v>
      </c>
      <c r="F1959" s="17" t="s">
        <v>289</v>
      </c>
      <c r="G1959" s="17" t="s">
        <v>296</v>
      </c>
      <c r="H1959" s="17" t="s">
        <v>297</v>
      </c>
      <c r="I1959" s="17" t="s">
        <v>298</v>
      </c>
      <c r="J1959" s="27" t="s">
        <v>71</v>
      </c>
      <c r="K1959" s="29">
        <v>306</v>
      </c>
      <c r="L1959" s="31">
        <v>20407.539999999004</v>
      </c>
      <c r="M1959" s="31">
        <v>2400.8600000089</v>
      </c>
      <c r="N1959" s="31">
        <v>1888.3099999909</v>
      </c>
      <c r="O1959" s="34">
        <f t="shared" si="260"/>
        <v>0.11764573290112464</v>
      </c>
      <c r="P1959" s="34">
        <f t="shared" si="261"/>
        <v>0.78651399914359854</v>
      </c>
      <c r="Q1959" s="34">
        <f t="shared" si="262"/>
        <v>0.88235426709887532</v>
      </c>
      <c r="R1959" s="46">
        <f t="shared" si="263"/>
        <v>6.1709477123885623</v>
      </c>
    </row>
    <row r="1960" spans="2:18" ht="12.75" customHeight="1" x14ac:dyDescent="0.25">
      <c r="B1960" s="17" t="s">
        <v>0</v>
      </c>
      <c r="C1960" s="44" t="s">
        <v>24</v>
      </c>
      <c r="D1960" s="22" t="s">
        <v>2</v>
      </c>
      <c r="E1960" s="20">
        <v>1</v>
      </c>
      <c r="F1960" s="17" t="s">
        <v>289</v>
      </c>
      <c r="G1960" s="17" t="s">
        <v>296</v>
      </c>
      <c r="H1960" s="17" t="s">
        <v>297</v>
      </c>
      <c r="I1960" s="17" t="s">
        <v>298</v>
      </c>
      <c r="J1960" s="27" t="s">
        <v>25</v>
      </c>
      <c r="K1960" s="29">
        <v>192</v>
      </c>
      <c r="L1960" s="31">
        <v>12668.99999975</v>
      </c>
      <c r="M1960" s="31">
        <v>2304.7699999996003</v>
      </c>
      <c r="N1960" s="31">
        <v>1820.6400000221001</v>
      </c>
      <c r="O1960" s="34">
        <f t="shared" si="260"/>
        <v>0.18192201436933308</v>
      </c>
      <c r="P1960" s="34">
        <f t="shared" si="261"/>
        <v>0.78994433284987908</v>
      </c>
      <c r="Q1960" s="34">
        <f t="shared" si="262"/>
        <v>0.81807798563066692</v>
      </c>
      <c r="R1960" s="46">
        <f t="shared" si="263"/>
        <v>9.4825000001151043</v>
      </c>
    </row>
    <row r="1961" spans="2:18" ht="12.75" customHeight="1" x14ac:dyDescent="0.25">
      <c r="B1961" s="17" t="s">
        <v>0</v>
      </c>
      <c r="C1961" s="44" t="s">
        <v>16</v>
      </c>
      <c r="D1961" s="22" t="s">
        <v>9</v>
      </c>
      <c r="E1961" s="20">
        <v>2</v>
      </c>
      <c r="F1961" s="17" t="s">
        <v>289</v>
      </c>
      <c r="G1961" s="17" t="s">
        <v>296</v>
      </c>
      <c r="H1961" s="17" t="s">
        <v>297</v>
      </c>
      <c r="I1961" s="17" t="s">
        <v>298</v>
      </c>
      <c r="J1961" s="27" t="s">
        <v>17</v>
      </c>
      <c r="K1961" s="29">
        <v>181</v>
      </c>
      <c r="L1961" s="31">
        <v>8011.3299999689989</v>
      </c>
      <c r="M1961" s="31">
        <v>2225.0399999900001</v>
      </c>
      <c r="N1961" s="31">
        <v>1773.2199999956999</v>
      </c>
      <c r="O1961" s="34">
        <f t="shared" si="260"/>
        <v>0.27773665546152887</v>
      </c>
      <c r="P1961" s="34">
        <f t="shared" si="261"/>
        <v>0.796938482006467</v>
      </c>
      <c r="Q1961" s="34">
        <f t="shared" si="262"/>
        <v>0.72226334453847119</v>
      </c>
      <c r="R1961" s="46">
        <f t="shared" si="263"/>
        <v>9.7967955800867408</v>
      </c>
    </row>
    <row r="1962" spans="2:18" ht="12.75" customHeight="1" x14ac:dyDescent="0.25">
      <c r="B1962" s="17" t="s">
        <v>0</v>
      </c>
      <c r="C1962" s="44" t="s">
        <v>7</v>
      </c>
      <c r="D1962" s="22" t="s">
        <v>2</v>
      </c>
      <c r="E1962" s="20">
        <v>1</v>
      </c>
      <c r="F1962" s="17" t="s">
        <v>289</v>
      </c>
      <c r="G1962" s="17" t="s">
        <v>296</v>
      </c>
      <c r="H1962" s="17" t="s">
        <v>297</v>
      </c>
      <c r="I1962" s="17" t="s">
        <v>298</v>
      </c>
      <c r="J1962" s="27" t="s">
        <v>8</v>
      </c>
      <c r="K1962" s="29">
        <v>120</v>
      </c>
      <c r="L1962" s="31">
        <v>19975.019999929998</v>
      </c>
      <c r="M1962" s="31">
        <v>2005.2400000068001</v>
      </c>
      <c r="N1962" s="31">
        <v>1563.5599999994001</v>
      </c>
      <c r="O1962" s="34">
        <f t="shared" si="260"/>
        <v>0.10038738384311141</v>
      </c>
      <c r="P1962" s="34">
        <f t="shared" si="261"/>
        <v>0.77973708882432924</v>
      </c>
      <c r="Q1962" s="34">
        <f t="shared" si="262"/>
        <v>0.89961261615688859</v>
      </c>
      <c r="R1962" s="46">
        <f t="shared" si="263"/>
        <v>13.029666666661667</v>
      </c>
    </row>
    <row r="1963" spans="2:18" ht="12.75" customHeight="1" x14ac:dyDescent="0.25">
      <c r="B1963" s="17" t="s">
        <v>0</v>
      </c>
      <c r="C1963" s="44" t="s">
        <v>96</v>
      </c>
      <c r="D1963" s="22" t="s">
        <v>9</v>
      </c>
      <c r="E1963" s="20">
        <v>2</v>
      </c>
      <c r="F1963" s="17" t="s">
        <v>289</v>
      </c>
      <c r="G1963" s="17" t="s">
        <v>296</v>
      </c>
      <c r="H1963" s="17" t="s">
        <v>297</v>
      </c>
      <c r="I1963" s="17" t="s">
        <v>298</v>
      </c>
      <c r="J1963" s="27" t="s">
        <v>97</v>
      </c>
      <c r="K1963" s="29">
        <v>193</v>
      </c>
      <c r="L1963" s="31">
        <v>14854.999999999</v>
      </c>
      <c r="M1963" s="31">
        <v>2597.2399999889999</v>
      </c>
      <c r="N1963" s="31">
        <v>1562.7999999913</v>
      </c>
      <c r="O1963" s="34">
        <f t="shared" si="260"/>
        <v>0.17483944799657858</v>
      </c>
      <c r="P1963" s="34">
        <f t="shared" si="261"/>
        <v>0.60171566739997806</v>
      </c>
      <c r="Q1963" s="34">
        <f t="shared" si="262"/>
        <v>0.82516055200342142</v>
      </c>
      <c r="R1963" s="46">
        <f t="shared" si="263"/>
        <v>8.0974093263797933</v>
      </c>
    </row>
    <row r="1964" spans="2:18" ht="12.75" customHeight="1" x14ac:dyDescent="0.25">
      <c r="B1964" s="17" t="s">
        <v>0</v>
      </c>
      <c r="C1964" s="44" t="s">
        <v>24</v>
      </c>
      <c r="D1964" s="22" t="s">
        <v>9</v>
      </c>
      <c r="E1964" s="20">
        <v>2</v>
      </c>
      <c r="F1964" s="17" t="s">
        <v>289</v>
      </c>
      <c r="G1964" s="17" t="s">
        <v>296</v>
      </c>
      <c r="H1964" s="17" t="s">
        <v>297</v>
      </c>
      <c r="I1964" s="17" t="s">
        <v>298</v>
      </c>
      <c r="J1964" s="27" t="s">
        <v>25</v>
      </c>
      <c r="K1964" s="29">
        <v>125</v>
      </c>
      <c r="L1964" s="31">
        <v>4484.32</v>
      </c>
      <c r="M1964" s="31">
        <v>1729.3899999740001</v>
      </c>
      <c r="N1964" s="31">
        <v>1308.0999999797</v>
      </c>
      <c r="O1964" s="34">
        <f t="shared" si="260"/>
        <v>0.38565267420121674</v>
      </c>
      <c r="P1964" s="34">
        <f t="shared" si="261"/>
        <v>0.75639387298374927</v>
      </c>
      <c r="Q1964" s="34">
        <f t="shared" si="262"/>
        <v>0.61434732579878326</v>
      </c>
      <c r="R1964" s="46">
        <f t="shared" si="263"/>
        <v>10.4647999998376</v>
      </c>
    </row>
    <row r="1965" spans="2:18" ht="12.75" customHeight="1" x14ac:dyDescent="0.25">
      <c r="B1965" s="17" t="s">
        <v>0</v>
      </c>
      <c r="C1965" s="44" t="s">
        <v>90</v>
      </c>
      <c r="D1965" s="22" t="s">
        <v>2</v>
      </c>
      <c r="E1965" s="20">
        <v>1</v>
      </c>
      <c r="F1965" s="17" t="s">
        <v>289</v>
      </c>
      <c r="G1965" s="17" t="s">
        <v>296</v>
      </c>
      <c r="H1965" s="17" t="s">
        <v>297</v>
      </c>
      <c r="I1965" s="17" t="s">
        <v>298</v>
      </c>
      <c r="J1965" s="27" t="s">
        <v>91</v>
      </c>
      <c r="K1965" s="29">
        <v>225</v>
      </c>
      <c r="L1965" s="31">
        <v>12158.959999978</v>
      </c>
      <c r="M1965" s="31">
        <v>1745.3300000042998</v>
      </c>
      <c r="N1965" s="31">
        <v>1287.6400000030999</v>
      </c>
      <c r="O1965" s="34">
        <f t="shared" si="260"/>
        <v>0.14354270431085042</v>
      </c>
      <c r="P1965" s="34">
        <f t="shared" si="261"/>
        <v>0.73776305913490725</v>
      </c>
      <c r="Q1965" s="34">
        <f t="shared" si="262"/>
        <v>0.85645729568914963</v>
      </c>
      <c r="R1965" s="46">
        <f t="shared" si="263"/>
        <v>5.7228444444582216</v>
      </c>
    </row>
    <row r="1966" spans="2:18" ht="12.75" customHeight="1" x14ac:dyDescent="0.25">
      <c r="B1966" s="17" t="s">
        <v>0</v>
      </c>
      <c r="C1966" s="44" t="s">
        <v>191</v>
      </c>
      <c r="D1966" s="22" t="s">
        <v>2</v>
      </c>
      <c r="E1966" s="20">
        <v>1</v>
      </c>
      <c r="F1966" s="17" t="s">
        <v>289</v>
      </c>
      <c r="G1966" s="17" t="s">
        <v>296</v>
      </c>
      <c r="H1966" s="17" t="s">
        <v>297</v>
      </c>
      <c r="I1966" s="17" t="s">
        <v>298</v>
      </c>
      <c r="J1966" s="27" t="s">
        <v>192</v>
      </c>
      <c r="K1966" s="29">
        <v>188</v>
      </c>
      <c r="L1966" s="31">
        <v>20492</v>
      </c>
      <c r="M1966" s="31">
        <v>1472.6500000092001</v>
      </c>
      <c r="N1966" s="31">
        <v>1169.0699999983999</v>
      </c>
      <c r="O1966" s="34">
        <f t="shared" si="260"/>
        <v>7.1864630100000007E-2</v>
      </c>
      <c r="P1966" s="34">
        <f t="shared" si="261"/>
        <v>0.79385461582256234</v>
      </c>
      <c r="Q1966" s="34">
        <f t="shared" si="262"/>
        <v>0.92813536990000001</v>
      </c>
      <c r="R1966" s="46">
        <f t="shared" si="263"/>
        <v>6.2184574467999996</v>
      </c>
    </row>
    <row r="1967" spans="2:18" ht="12.75" customHeight="1" x14ac:dyDescent="0.25">
      <c r="B1967" s="17" t="s">
        <v>0</v>
      </c>
      <c r="C1967" s="44" t="s">
        <v>42</v>
      </c>
      <c r="D1967" s="22" t="s">
        <v>2</v>
      </c>
      <c r="E1967" s="20">
        <v>1</v>
      </c>
      <c r="F1967" s="17" t="s">
        <v>289</v>
      </c>
      <c r="G1967" s="17" t="s">
        <v>296</v>
      </c>
      <c r="H1967" s="17" t="s">
        <v>297</v>
      </c>
      <c r="I1967" s="17" t="s">
        <v>298</v>
      </c>
      <c r="J1967" s="27" t="s">
        <v>43</v>
      </c>
      <c r="K1967" s="29">
        <v>41</v>
      </c>
      <c r="L1967" s="31">
        <v>197119.999999992</v>
      </c>
      <c r="M1967" s="31">
        <v>1464.0400000001998</v>
      </c>
      <c r="N1967" s="31">
        <v>1160.2299999971999</v>
      </c>
      <c r="O1967" s="34">
        <f t="shared" si="260"/>
        <v>7.4271509740272889E-3</v>
      </c>
      <c r="P1967" s="34">
        <f t="shared" si="261"/>
        <v>0.79248517799858031</v>
      </c>
      <c r="Q1967" s="34">
        <f t="shared" si="262"/>
        <v>0.99257284902597276</v>
      </c>
      <c r="R1967" s="46">
        <f t="shared" si="263"/>
        <v>28.298292682858534</v>
      </c>
    </row>
    <row r="1968" spans="2:18" ht="12.75" customHeight="1" x14ac:dyDescent="0.25">
      <c r="B1968" s="17" t="s">
        <v>0</v>
      </c>
      <c r="C1968" s="44" t="s">
        <v>48</v>
      </c>
      <c r="D1968" s="22" t="s">
        <v>2</v>
      </c>
      <c r="E1968" s="20">
        <v>1</v>
      </c>
      <c r="F1968" s="17" t="s">
        <v>289</v>
      </c>
      <c r="G1968" s="17" t="s">
        <v>296</v>
      </c>
      <c r="H1968" s="17" t="s">
        <v>297</v>
      </c>
      <c r="I1968" s="17" t="s">
        <v>298</v>
      </c>
      <c r="J1968" s="27" t="s">
        <v>49</v>
      </c>
      <c r="K1968" s="29">
        <v>170</v>
      </c>
      <c r="L1968" s="31">
        <v>8037.8000000700004</v>
      </c>
      <c r="M1968" s="31">
        <v>1297.1799999939999</v>
      </c>
      <c r="N1968" s="31">
        <v>951.85000000699995</v>
      </c>
      <c r="O1968" s="34">
        <f t="shared" si="260"/>
        <v>0.16138495608035816</v>
      </c>
      <c r="P1968" s="34">
        <f t="shared" si="261"/>
        <v>0.73378405465039753</v>
      </c>
      <c r="Q1968" s="34">
        <f t="shared" si="262"/>
        <v>0.83861504391964181</v>
      </c>
      <c r="R1968" s="46">
        <f t="shared" si="263"/>
        <v>5.5991176470999999</v>
      </c>
    </row>
    <row r="1969" spans="2:18" ht="12.75" customHeight="1" x14ac:dyDescent="0.25">
      <c r="B1969" s="17" t="s">
        <v>0</v>
      </c>
      <c r="C1969" s="44" t="s">
        <v>186</v>
      </c>
      <c r="D1969" s="22" t="s">
        <v>2</v>
      </c>
      <c r="E1969" s="20">
        <v>1</v>
      </c>
      <c r="F1969" s="17" t="s">
        <v>289</v>
      </c>
      <c r="G1969" s="17" t="s">
        <v>296</v>
      </c>
      <c r="H1969" s="17" t="s">
        <v>297</v>
      </c>
      <c r="I1969" s="17" t="s">
        <v>298</v>
      </c>
      <c r="J1969" s="27" t="s">
        <v>187</v>
      </c>
      <c r="K1969" s="29">
        <v>50</v>
      </c>
      <c r="L1969" s="31">
        <v>3264.0000000170003</v>
      </c>
      <c r="M1969" s="31">
        <v>953.77000000199996</v>
      </c>
      <c r="N1969" s="31">
        <v>752.12000000099999</v>
      </c>
      <c r="O1969" s="34">
        <f t="shared" si="260"/>
        <v>0.29220894607752218</v>
      </c>
      <c r="P1969" s="34">
        <f t="shared" si="261"/>
        <v>0.78857586210451458</v>
      </c>
      <c r="Q1969" s="34">
        <f t="shared" si="262"/>
        <v>0.70779105392247788</v>
      </c>
      <c r="R1969" s="46">
        <f t="shared" si="263"/>
        <v>15.042400000020001</v>
      </c>
    </row>
    <row r="1970" spans="2:18" ht="12.75" customHeight="1" x14ac:dyDescent="0.25">
      <c r="B1970" s="17" t="s">
        <v>0</v>
      </c>
      <c r="C1970" s="44" t="s">
        <v>96</v>
      </c>
      <c r="D1970" s="22" t="s">
        <v>2</v>
      </c>
      <c r="E1970" s="20">
        <v>1</v>
      </c>
      <c r="F1970" s="17" t="s">
        <v>289</v>
      </c>
      <c r="G1970" s="17" t="s">
        <v>296</v>
      </c>
      <c r="H1970" s="17" t="s">
        <v>297</v>
      </c>
      <c r="I1970" s="17" t="s">
        <v>298</v>
      </c>
      <c r="J1970" s="27" t="s">
        <v>97</v>
      </c>
      <c r="K1970" s="29">
        <v>128</v>
      </c>
      <c r="L1970" s="31">
        <v>5568</v>
      </c>
      <c r="M1970" s="31">
        <v>1013.7100000016001</v>
      </c>
      <c r="N1970" s="31">
        <v>705.03999999919995</v>
      </c>
      <c r="O1970" s="34">
        <f t="shared" si="260"/>
        <v>0.18205998563247128</v>
      </c>
      <c r="P1970" s="34">
        <f t="shared" si="261"/>
        <v>0.69550463150021913</v>
      </c>
      <c r="Q1970" s="34">
        <f t="shared" si="262"/>
        <v>0.81794001436752872</v>
      </c>
      <c r="R1970" s="46">
        <f t="shared" si="263"/>
        <v>5.5081249999937496</v>
      </c>
    </row>
    <row r="1971" spans="2:18" ht="12.75" customHeight="1" x14ac:dyDescent="0.25">
      <c r="B1971" s="17" t="s">
        <v>0</v>
      </c>
      <c r="C1971" s="44" t="s">
        <v>56</v>
      </c>
      <c r="D1971" s="22" t="s">
        <v>2</v>
      </c>
      <c r="E1971" s="20">
        <v>1</v>
      </c>
      <c r="F1971" s="17" t="s">
        <v>289</v>
      </c>
      <c r="G1971" s="17" t="s">
        <v>296</v>
      </c>
      <c r="H1971" s="17" t="s">
        <v>297</v>
      </c>
      <c r="I1971" s="17" t="s">
        <v>298</v>
      </c>
      <c r="J1971" s="27" t="s">
        <v>57</v>
      </c>
      <c r="K1971" s="29">
        <v>98</v>
      </c>
      <c r="L1971" s="31">
        <v>5219.1999999969994</v>
      </c>
      <c r="M1971" s="31">
        <v>760.20999999669993</v>
      </c>
      <c r="N1971" s="31">
        <v>557.09999999989998</v>
      </c>
      <c r="O1971" s="34">
        <f t="shared" si="260"/>
        <v>0.14565642243967217</v>
      </c>
      <c r="P1971" s="34">
        <f t="shared" si="261"/>
        <v>0.73282382499877452</v>
      </c>
      <c r="Q1971" s="34">
        <f t="shared" si="262"/>
        <v>0.85434357756032786</v>
      </c>
      <c r="R1971" s="46">
        <f t="shared" si="263"/>
        <v>5.68469387755</v>
      </c>
    </row>
    <row r="1972" spans="2:18" ht="12.75" customHeight="1" x14ac:dyDescent="0.25">
      <c r="B1972" s="17" t="s">
        <v>0</v>
      </c>
      <c r="C1972" s="44" t="s">
        <v>151</v>
      </c>
      <c r="D1972" s="22" t="s">
        <v>9</v>
      </c>
      <c r="E1972" s="20">
        <v>2</v>
      </c>
      <c r="F1972" s="17" t="s">
        <v>289</v>
      </c>
      <c r="G1972" s="17" t="s">
        <v>296</v>
      </c>
      <c r="H1972" s="17" t="s">
        <v>297</v>
      </c>
      <c r="I1972" s="17" t="s">
        <v>298</v>
      </c>
      <c r="J1972" s="27" t="s">
        <v>152</v>
      </c>
      <c r="K1972" s="29">
        <v>55</v>
      </c>
      <c r="L1972" s="31">
        <v>4400</v>
      </c>
      <c r="M1972" s="31">
        <v>664.30999998000004</v>
      </c>
      <c r="N1972" s="31">
        <v>507.77000000100003</v>
      </c>
      <c r="O1972" s="34">
        <f t="shared" si="260"/>
        <v>0.15097954545</v>
      </c>
      <c r="P1972" s="34">
        <f t="shared" si="261"/>
        <v>0.76435700202659473</v>
      </c>
      <c r="Q1972" s="34">
        <f t="shared" si="262"/>
        <v>0.84902045454999997</v>
      </c>
      <c r="R1972" s="46">
        <f t="shared" si="263"/>
        <v>9.2321818182000008</v>
      </c>
    </row>
    <row r="1973" spans="2:18" ht="12.75" customHeight="1" x14ac:dyDescent="0.25">
      <c r="B1973" s="17" t="s">
        <v>0</v>
      </c>
      <c r="C1973" s="44" t="s">
        <v>127</v>
      </c>
      <c r="D1973" s="22" t="s">
        <v>9</v>
      </c>
      <c r="E1973" s="20">
        <v>2</v>
      </c>
      <c r="F1973" s="17" t="s">
        <v>289</v>
      </c>
      <c r="G1973" s="17" t="s">
        <v>296</v>
      </c>
      <c r="H1973" s="17" t="s">
        <v>297</v>
      </c>
      <c r="I1973" s="17" t="s">
        <v>298</v>
      </c>
      <c r="J1973" s="27" t="s">
        <v>128</v>
      </c>
      <c r="K1973" s="29">
        <v>83</v>
      </c>
      <c r="L1973" s="31">
        <v>2046</v>
      </c>
      <c r="M1973" s="31">
        <v>723.53000000060001</v>
      </c>
      <c r="N1973" s="31">
        <v>502.69999999339996</v>
      </c>
      <c r="O1973" s="34">
        <f t="shared" si="260"/>
        <v>0.35363147605112416</v>
      </c>
      <c r="P1973" s="34">
        <f t="shared" si="261"/>
        <v>0.69478805300814495</v>
      </c>
      <c r="Q1973" s="34">
        <f t="shared" si="262"/>
        <v>0.64636852394887589</v>
      </c>
      <c r="R1973" s="46">
        <f t="shared" si="263"/>
        <v>6.0566265059445774</v>
      </c>
    </row>
    <row r="1974" spans="2:18" ht="12.75" customHeight="1" x14ac:dyDescent="0.25">
      <c r="B1974" s="17" t="s">
        <v>0</v>
      </c>
      <c r="C1974" s="44" t="s">
        <v>44</v>
      </c>
      <c r="D1974" s="22" t="s">
        <v>9</v>
      </c>
      <c r="E1974" s="20">
        <v>2</v>
      </c>
      <c r="F1974" s="17" t="s">
        <v>289</v>
      </c>
      <c r="G1974" s="17" t="s">
        <v>296</v>
      </c>
      <c r="H1974" s="17" t="s">
        <v>297</v>
      </c>
      <c r="I1974" s="17" t="s">
        <v>298</v>
      </c>
      <c r="J1974" s="27" t="s">
        <v>45</v>
      </c>
      <c r="K1974" s="29">
        <v>42</v>
      </c>
      <c r="L1974" s="31">
        <v>6930</v>
      </c>
      <c r="M1974" s="31">
        <v>602.57000000400001</v>
      </c>
      <c r="N1974" s="31">
        <v>480.01000000800002</v>
      </c>
      <c r="O1974" s="34">
        <f t="shared" ref="O1974:O1987" si="264">IFERROR(M1974/L1974,0)</f>
        <v>8.695093795151515E-2</v>
      </c>
      <c r="P1974" s="34">
        <f t="shared" ref="P1974:P1987" si="265">IFERROR(N1974/M1974,0)</f>
        <v>0.79660454387841018</v>
      </c>
      <c r="Q1974" s="34">
        <f t="shared" ref="Q1974:Q1987" si="266">IFERROR(1-(M1974/L1974),0)</f>
        <v>0.91304906204848479</v>
      </c>
      <c r="R1974" s="46">
        <f t="shared" ref="R1974:R1987" si="267">IFERROR(N1974/K1974,0)</f>
        <v>11.428809524</v>
      </c>
    </row>
    <row r="1975" spans="2:18" ht="12.75" customHeight="1" x14ac:dyDescent="0.25">
      <c r="B1975" s="17" t="s">
        <v>0</v>
      </c>
      <c r="C1975" s="44" t="s">
        <v>42</v>
      </c>
      <c r="D1975" s="22" t="s">
        <v>9</v>
      </c>
      <c r="E1975" s="20">
        <v>2</v>
      </c>
      <c r="F1975" s="17" t="s">
        <v>289</v>
      </c>
      <c r="G1975" s="17" t="s">
        <v>296</v>
      </c>
      <c r="H1975" s="17" t="s">
        <v>297</v>
      </c>
      <c r="I1975" s="17" t="s">
        <v>298</v>
      </c>
      <c r="J1975" s="27" t="s">
        <v>43</v>
      </c>
      <c r="K1975" s="29">
        <v>43</v>
      </c>
      <c r="L1975" s="31">
        <v>2543.8000000000002</v>
      </c>
      <c r="M1975" s="31">
        <v>610.59999999399997</v>
      </c>
      <c r="N1975" s="31">
        <v>441.33000000599998</v>
      </c>
      <c r="O1975" s="34">
        <f t="shared" si="264"/>
        <v>0.24003459391225723</v>
      </c>
      <c r="P1975" s="34">
        <f t="shared" si="265"/>
        <v>0.72278087129108526</v>
      </c>
      <c r="Q1975" s="34">
        <f t="shared" si="266"/>
        <v>0.75996540608774277</v>
      </c>
      <c r="R1975" s="46">
        <f t="shared" si="267"/>
        <v>10.263488372232558</v>
      </c>
    </row>
    <row r="1976" spans="2:18" ht="12.75" customHeight="1" x14ac:dyDescent="0.25">
      <c r="B1976" s="17" t="s">
        <v>0</v>
      </c>
      <c r="C1976" s="44" t="s">
        <v>250</v>
      </c>
      <c r="D1976" s="22" t="s">
        <v>2</v>
      </c>
      <c r="E1976" s="20">
        <v>1</v>
      </c>
      <c r="F1976" s="17" t="s">
        <v>289</v>
      </c>
      <c r="G1976" s="17" t="s">
        <v>296</v>
      </c>
      <c r="H1976" s="17" t="s">
        <v>297</v>
      </c>
      <c r="I1976" s="17" t="s">
        <v>298</v>
      </c>
      <c r="J1976" s="27" t="s">
        <v>251</v>
      </c>
      <c r="K1976" s="29">
        <v>65</v>
      </c>
      <c r="L1976" s="31">
        <v>2129.6400000000003</v>
      </c>
      <c r="M1976" s="31">
        <v>561.12</v>
      </c>
      <c r="N1976" s="31">
        <v>424.57000000079995</v>
      </c>
      <c r="O1976" s="34">
        <f t="shared" si="264"/>
        <v>0.2634811517439567</v>
      </c>
      <c r="P1976" s="34">
        <f t="shared" si="265"/>
        <v>0.75664741944824632</v>
      </c>
      <c r="Q1976" s="34">
        <f t="shared" si="266"/>
        <v>0.7365188482560433</v>
      </c>
      <c r="R1976" s="46">
        <f t="shared" si="267"/>
        <v>6.5318461538584609</v>
      </c>
    </row>
    <row r="1977" spans="2:18" ht="12.75" customHeight="1" x14ac:dyDescent="0.25">
      <c r="B1977" s="17" t="s">
        <v>0</v>
      </c>
      <c r="C1977" s="44" t="s">
        <v>68</v>
      </c>
      <c r="D1977" s="22" t="s">
        <v>2</v>
      </c>
      <c r="E1977" s="20">
        <v>1</v>
      </c>
      <c r="F1977" s="17" t="s">
        <v>289</v>
      </c>
      <c r="G1977" s="17" t="s">
        <v>296</v>
      </c>
      <c r="H1977" s="17" t="s">
        <v>297</v>
      </c>
      <c r="I1977" s="17" t="s">
        <v>298</v>
      </c>
      <c r="J1977" s="27" t="s">
        <v>69</v>
      </c>
      <c r="K1977" s="29">
        <v>67</v>
      </c>
      <c r="L1977" s="31">
        <v>3620.319999977</v>
      </c>
      <c r="M1977" s="31">
        <v>519.24000000019998</v>
      </c>
      <c r="N1977" s="31">
        <v>377.21000000079999</v>
      </c>
      <c r="O1977" s="34">
        <f t="shared" si="264"/>
        <v>0.14342378574366318</v>
      </c>
      <c r="P1977" s="34">
        <f t="shared" si="265"/>
        <v>0.72646560357571588</v>
      </c>
      <c r="Q1977" s="34">
        <f t="shared" si="266"/>
        <v>0.85657621425633679</v>
      </c>
      <c r="R1977" s="46">
        <f t="shared" si="267"/>
        <v>5.6300000000119406</v>
      </c>
    </row>
    <row r="1978" spans="2:18" ht="12.75" customHeight="1" x14ac:dyDescent="0.25">
      <c r="B1978" s="17" t="s">
        <v>0</v>
      </c>
      <c r="C1978" s="44" t="s">
        <v>153</v>
      </c>
      <c r="D1978" s="22" t="s">
        <v>2</v>
      </c>
      <c r="E1978" s="20">
        <v>1</v>
      </c>
      <c r="F1978" s="17" t="s">
        <v>289</v>
      </c>
      <c r="G1978" s="17" t="s">
        <v>296</v>
      </c>
      <c r="H1978" s="17" t="s">
        <v>297</v>
      </c>
      <c r="I1978" s="17" t="s">
        <v>298</v>
      </c>
      <c r="J1978" s="27" t="s">
        <v>154</v>
      </c>
      <c r="K1978" s="29">
        <v>38</v>
      </c>
      <c r="L1978" s="31">
        <v>1482</v>
      </c>
      <c r="M1978" s="31">
        <v>317.94000000139999</v>
      </c>
      <c r="N1978" s="31">
        <v>251.0100000004</v>
      </c>
      <c r="O1978" s="34">
        <f t="shared" si="264"/>
        <v>0.21453441295641026</v>
      </c>
      <c r="P1978" s="34">
        <f t="shared" si="265"/>
        <v>0.78948858274924427</v>
      </c>
      <c r="Q1978" s="34">
        <f t="shared" si="266"/>
        <v>0.78546558704358971</v>
      </c>
      <c r="R1978" s="46">
        <f t="shared" si="267"/>
        <v>6.6055263157999997</v>
      </c>
    </row>
    <row r="1979" spans="2:18" ht="12.75" customHeight="1" x14ac:dyDescent="0.25">
      <c r="B1979" s="17" t="s">
        <v>0</v>
      </c>
      <c r="C1979" s="44" t="s">
        <v>170</v>
      </c>
      <c r="D1979" s="22" t="s">
        <v>2</v>
      </c>
      <c r="E1979" s="20">
        <v>1</v>
      </c>
      <c r="F1979" s="17" t="s">
        <v>289</v>
      </c>
      <c r="G1979" s="17" t="s">
        <v>296</v>
      </c>
      <c r="H1979" s="17" t="s">
        <v>297</v>
      </c>
      <c r="I1979" s="17" t="s">
        <v>298</v>
      </c>
      <c r="J1979" s="27" t="s">
        <v>171</v>
      </c>
      <c r="K1979" s="29">
        <v>38</v>
      </c>
      <c r="L1979" s="31">
        <v>2053.84000001</v>
      </c>
      <c r="M1979" s="31">
        <v>294.81999999930002</v>
      </c>
      <c r="N1979" s="31">
        <v>223.01999999899999</v>
      </c>
      <c r="O1979" s="34">
        <f t="shared" si="264"/>
        <v>0.14354574845064103</v>
      </c>
      <c r="P1979" s="34">
        <f t="shared" si="265"/>
        <v>0.75646156976979007</v>
      </c>
      <c r="Q1979" s="34">
        <f t="shared" si="266"/>
        <v>0.85645425154935895</v>
      </c>
      <c r="R1979" s="46">
        <f t="shared" si="267"/>
        <v>5.8689473683947364</v>
      </c>
    </row>
    <row r="1980" spans="2:18" ht="12.75" customHeight="1" x14ac:dyDescent="0.25">
      <c r="B1980" s="17" t="s">
        <v>0</v>
      </c>
      <c r="C1980" s="44" t="s">
        <v>20</v>
      </c>
      <c r="D1980" s="22" t="s">
        <v>9</v>
      </c>
      <c r="E1980" s="20">
        <v>2</v>
      </c>
      <c r="F1980" s="17" t="s">
        <v>289</v>
      </c>
      <c r="G1980" s="17" t="s">
        <v>296</v>
      </c>
      <c r="H1980" s="17" t="s">
        <v>297</v>
      </c>
      <c r="I1980" s="17" t="s">
        <v>298</v>
      </c>
      <c r="J1980" s="27" t="s">
        <v>21</v>
      </c>
      <c r="K1980" s="29">
        <v>20</v>
      </c>
      <c r="L1980" s="31">
        <v>511.59999999999997</v>
      </c>
      <c r="M1980" s="31">
        <v>246.84</v>
      </c>
      <c r="N1980" s="31">
        <v>196.63</v>
      </c>
      <c r="O1980" s="34">
        <f t="shared" si="264"/>
        <v>0.48248631743549653</v>
      </c>
      <c r="P1980" s="34">
        <f t="shared" si="265"/>
        <v>0.79658888348727919</v>
      </c>
      <c r="Q1980" s="34">
        <f t="shared" si="266"/>
        <v>0.51751368256450347</v>
      </c>
      <c r="R1980" s="46">
        <f t="shared" si="267"/>
        <v>9.8315000000000001</v>
      </c>
    </row>
    <row r="1981" spans="2:18" ht="12.75" customHeight="1" x14ac:dyDescent="0.25">
      <c r="B1981" s="17" t="s">
        <v>0</v>
      </c>
      <c r="C1981" s="44" t="s">
        <v>145</v>
      </c>
      <c r="D1981" s="22" t="s">
        <v>9</v>
      </c>
      <c r="E1981" s="20">
        <v>2</v>
      </c>
      <c r="F1981" s="17" t="s">
        <v>289</v>
      </c>
      <c r="G1981" s="17" t="s">
        <v>296</v>
      </c>
      <c r="H1981" s="17" t="s">
        <v>297</v>
      </c>
      <c r="I1981" s="17" t="s">
        <v>298</v>
      </c>
      <c r="J1981" s="27" t="s">
        <v>146</v>
      </c>
      <c r="K1981" s="29">
        <v>36</v>
      </c>
      <c r="L1981" s="31">
        <v>1872</v>
      </c>
      <c r="M1981" s="31">
        <v>219.09999999980002</v>
      </c>
      <c r="N1981" s="31">
        <v>174.58</v>
      </c>
      <c r="O1981" s="34">
        <f t="shared" si="264"/>
        <v>0.11704059829049146</v>
      </c>
      <c r="P1981" s="34">
        <f t="shared" si="265"/>
        <v>0.79680511182181357</v>
      </c>
      <c r="Q1981" s="34">
        <f t="shared" si="266"/>
        <v>0.8829594017095086</v>
      </c>
      <c r="R1981" s="46">
        <f t="shared" si="267"/>
        <v>4.8494444444444449</v>
      </c>
    </row>
    <row r="1982" spans="2:18" ht="12.75" customHeight="1" x14ac:dyDescent="0.25">
      <c r="B1982" s="17" t="s">
        <v>0</v>
      </c>
      <c r="C1982" s="44" t="s">
        <v>170</v>
      </c>
      <c r="D1982" s="22" t="s">
        <v>9</v>
      </c>
      <c r="E1982" s="20">
        <v>2</v>
      </c>
      <c r="F1982" s="17" t="s">
        <v>289</v>
      </c>
      <c r="G1982" s="17" t="s">
        <v>296</v>
      </c>
      <c r="H1982" s="17" t="s">
        <v>297</v>
      </c>
      <c r="I1982" s="17" t="s">
        <v>298</v>
      </c>
      <c r="J1982" s="27" t="s">
        <v>171</v>
      </c>
      <c r="K1982" s="29">
        <v>13</v>
      </c>
      <c r="L1982" s="31">
        <v>380.49999999699997</v>
      </c>
      <c r="M1982" s="31">
        <v>187.16000000100001</v>
      </c>
      <c r="N1982" s="31">
        <v>149.08999999399998</v>
      </c>
      <c r="O1982" s="34">
        <f t="shared" si="264"/>
        <v>0.49187910644540256</v>
      </c>
      <c r="P1982" s="34">
        <f t="shared" si="265"/>
        <v>0.79659115191923158</v>
      </c>
      <c r="Q1982" s="34">
        <f t="shared" si="266"/>
        <v>0.50812089355459744</v>
      </c>
      <c r="R1982" s="46">
        <f t="shared" si="267"/>
        <v>11.468461537999998</v>
      </c>
    </row>
    <row r="1983" spans="2:18" ht="12.75" customHeight="1" x14ac:dyDescent="0.25">
      <c r="B1983" s="17" t="s">
        <v>0</v>
      </c>
      <c r="C1983" s="44" t="s">
        <v>34</v>
      </c>
      <c r="D1983" s="22" t="s">
        <v>9</v>
      </c>
      <c r="E1983" s="20">
        <v>2</v>
      </c>
      <c r="F1983" s="17" t="s">
        <v>289</v>
      </c>
      <c r="G1983" s="17" t="s">
        <v>296</v>
      </c>
      <c r="H1983" s="17" t="s">
        <v>297</v>
      </c>
      <c r="I1983" s="17" t="s">
        <v>298</v>
      </c>
      <c r="J1983" s="27" t="s">
        <v>35</v>
      </c>
      <c r="K1983" s="29">
        <v>13</v>
      </c>
      <c r="L1983" s="31">
        <v>325</v>
      </c>
      <c r="M1983" s="31">
        <v>186.17000000299998</v>
      </c>
      <c r="N1983" s="31">
        <v>148.29000000100001</v>
      </c>
      <c r="O1983" s="34">
        <f t="shared" si="264"/>
        <v>0.57283076923999998</v>
      </c>
      <c r="P1983" s="34">
        <f t="shared" si="265"/>
        <v>0.79653005316973968</v>
      </c>
      <c r="Q1983" s="34">
        <f t="shared" si="266"/>
        <v>0.42716923076000002</v>
      </c>
      <c r="R1983" s="46">
        <f t="shared" si="267"/>
        <v>11.406923077</v>
      </c>
    </row>
    <row r="1984" spans="2:18" ht="12.75" customHeight="1" x14ac:dyDescent="0.25">
      <c r="B1984" s="17" t="s">
        <v>0</v>
      </c>
      <c r="C1984" s="44" t="s">
        <v>68</v>
      </c>
      <c r="D1984" s="22" t="s">
        <v>9</v>
      </c>
      <c r="E1984" s="20">
        <v>2</v>
      </c>
      <c r="F1984" s="17" t="s">
        <v>289</v>
      </c>
      <c r="G1984" s="17" t="s">
        <v>296</v>
      </c>
      <c r="H1984" s="17" t="s">
        <v>297</v>
      </c>
      <c r="I1984" s="17" t="s">
        <v>298</v>
      </c>
      <c r="J1984" s="27" t="s">
        <v>69</v>
      </c>
      <c r="K1984" s="29">
        <v>13</v>
      </c>
      <c r="L1984" s="31">
        <v>936</v>
      </c>
      <c r="M1984" s="31">
        <v>175.78000000599999</v>
      </c>
      <c r="N1984" s="31">
        <v>140.02000000299998</v>
      </c>
      <c r="O1984" s="34">
        <f t="shared" si="264"/>
        <v>0.18779914530555555</v>
      </c>
      <c r="P1984" s="34">
        <f t="shared" si="265"/>
        <v>0.79656388666640454</v>
      </c>
      <c r="Q1984" s="34">
        <f t="shared" si="266"/>
        <v>0.81220085469444447</v>
      </c>
      <c r="R1984" s="46">
        <f t="shared" si="267"/>
        <v>10.770769230999999</v>
      </c>
    </row>
    <row r="1985" spans="2:18" ht="12.75" customHeight="1" x14ac:dyDescent="0.25">
      <c r="B1985" s="17" t="s">
        <v>0</v>
      </c>
      <c r="C1985" s="44" t="s">
        <v>127</v>
      </c>
      <c r="D1985" s="22" t="s">
        <v>2</v>
      </c>
      <c r="E1985" s="20">
        <v>1</v>
      </c>
      <c r="F1985" s="17" t="s">
        <v>289</v>
      </c>
      <c r="G1985" s="17" t="s">
        <v>296</v>
      </c>
      <c r="H1985" s="17" t="s">
        <v>297</v>
      </c>
      <c r="I1985" s="17" t="s">
        <v>298</v>
      </c>
      <c r="J1985" s="27" t="s">
        <v>128</v>
      </c>
      <c r="K1985" s="29">
        <v>21</v>
      </c>
      <c r="L1985" s="31">
        <v>1260</v>
      </c>
      <c r="M1985" s="31">
        <v>282.65000000999999</v>
      </c>
      <c r="N1985" s="31">
        <v>139.32000000029998</v>
      </c>
      <c r="O1985" s="34">
        <f t="shared" si="264"/>
        <v>0.22432539683333333</v>
      </c>
      <c r="P1985" s="34">
        <f t="shared" si="265"/>
        <v>0.4929064213528071</v>
      </c>
      <c r="Q1985" s="34">
        <f t="shared" si="266"/>
        <v>0.7756746031666667</v>
      </c>
      <c r="R1985" s="46">
        <f t="shared" si="267"/>
        <v>6.6342857142999989</v>
      </c>
    </row>
    <row r="1986" spans="2:18" ht="12.75" customHeight="1" x14ac:dyDescent="0.25">
      <c r="B1986" s="17" t="s">
        <v>0</v>
      </c>
      <c r="C1986" s="44" t="s">
        <v>94</v>
      </c>
      <c r="D1986" s="22" t="s">
        <v>9</v>
      </c>
      <c r="E1986" s="20">
        <v>2</v>
      </c>
      <c r="F1986" s="17" t="s">
        <v>289</v>
      </c>
      <c r="G1986" s="17" t="s">
        <v>296</v>
      </c>
      <c r="H1986" s="17" t="s">
        <v>297</v>
      </c>
      <c r="I1986" s="17" t="s">
        <v>298</v>
      </c>
      <c r="J1986" s="27" t="s">
        <v>95</v>
      </c>
      <c r="K1986" s="29">
        <v>11</v>
      </c>
      <c r="L1986" s="31">
        <v>300.52</v>
      </c>
      <c r="M1986" s="31">
        <v>149.229999996</v>
      </c>
      <c r="N1986" s="31">
        <v>97.200000000399996</v>
      </c>
      <c r="O1986" s="34">
        <f t="shared" si="264"/>
        <v>0.49657260746705717</v>
      </c>
      <c r="P1986" s="34">
        <f t="shared" si="265"/>
        <v>0.65134356364675583</v>
      </c>
      <c r="Q1986" s="34">
        <f t="shared" si="266"/>
        <v>0.50342739253294289</v>
      </c>
      <c r="R1986" s="46">
        <f t="shared" si="267"/>
        <v>8.8363636363999998</v>
      </c>
    </row>
    <row r="1987" spans="2:18" ht="12.75" customHeight="1" thickBot="1" x14ac:dyDescent="0.3">
      <c r="B1987" s="15" t="s">
        <v>0</v>
      </c>
      <c r="C1987" s="50" t="s">
        <v>16</v>
      </c>
      <c r="D1987" s="19" t="s">
        <v>2</v>
      </c>
      <c r="E1987" s="16">
        <v>1</v>
      </c>
      <c r="F1987" s="15" t="s">
        <v>289</v>
      </c>
      <c r="G1987" s="15" t="s">
        <v>296</v>
      </c>
      <c r="H1987" s="15" t="s">
        <v>297</v>
      </c>
      <c r="I1987" s="15" t="s">
        <v>298</v>
      </c>
      <c r="J1987" s="24" t="s">
        <v>17</v>
      </c>
      <c r="K1987" s="26">
        <v>14</v>
      </c>
      <c r="L1987" s="28">
        <v>1566.00000004</v>
      </c>
      <c r="M1987" s="28">
        <v>109.1800000004</v>
      </c>
      <c r="N1987" s="28">
        <v>74.62</v>
      </c>
      <c r="O1987" s="32">
        <f t="shared" si="264"/>
        <v>6.9719029372676392E-2</v>
      </c>
      <c r="P1987" s="32">
        <f t="shared" si="265"/>
        <v>0.68345850888190718</v>
      </c>
      <c r="Q1987" s="32">
        <f t="shared" si="266"/>
        <v>0.93028097062732362</v>
      </c>
      <c r="R1987" s="49">
        <f t="shared" si="267"/>
        <v>5.33</v>
      </c>
    </row>
    <row r="1988" spans="2:18" ht="17.25" customHeight="1" x14ac:dyDescent="0.25">
      <c r="B1988" s="48"/>
      <c r="C1988" s="58"/>
      <c r="D1988" s="51" t="s">
        <v>366</v>
      </c>
      <c r="E1988" s="52"/>
      <c r="F1988" s="52"/>
      <c r="G1988" s="53"/>
      <c r="H1988" s="53"/>
      <c r="I1988" s="53"/>
      <c r="J1988" s="54"/>
      <c r="K1988" s="55">
        <f>SUM(K1910:K1987)</f>
        <v>2765766</v>
      </c>
      <c r="L1988" s="56">
        <f>SUM(L1910:L1987)</f>
        <v>484425194.5000236</v>
      </c>
      <c r="M1988" s="56">
        <f>SUM(M1910:M1987)</f>
        <v>173979918.32945895</v>
      </c>
      <c r="N1988" s="56">
        <f>SUM(N1910:N1987)</f>
        <v>134200658.23032753</v>
      </c>
      <c r="O1988" s="57">
        <f>IFERROR(M1988/L1988,0)</f>
        <v>0.35914713005178034</v>
      </c>
      <c r="P1988" s="57">
        <f>IFERROR(N1988/M1988,0)</f>
        <v>0.77135717454584041</v>
      </c>
      <c r="Q1988" s="57">
        <f>IFERROR(1-(M1988/L1988),0)</f>
        <v>0.64085286994821966</v>
      </c>
      <c r="R1988" s="59">
        <f>IFERROR(N1988/K1988,0)</f>
        <v>48.522057986947388</v>
      </c>
    </row>
    <row r="1989" spans="2:18" ht="15.75" thickBot="1" x14ac:dyDescent="0.3">
      <c r="B1989" s="60"/>
      <c r="C1989" s="64"/>
      <c r="D1989" s="62" t="s">
        <v>298</v>
      </c>
      <c r="E1989" s="61"/>
      <c r="F1989" s="61"/>
      <c r="G1989" s="61"/>
      <c r="H1989" s="61"/>
      <c r="I1989" s="61"/>
      <c r="J1989" s="61"/>
      <c r="K1989" s="63"/>
      <c r="L1989" s="63"/>
      <c r="M1989" s="63"/>
      <c r="N1989" s="63"/>
      <c r="O1989" s="63"/>
      <c r="P1989" s="63"/>
      <c r="Q1989" s="63"/>
      <c r="R1989" s="65"/>
    </row>
    <row r="1990" spans="2:18" ht="15.75" thickBot="1" x14ac:dyDescent="0.3"/>
    <row r="1991" spans="2:18" ht="15.75" x14ac:dyDescent="0.25">
      <c r="B1991" s="1"/>
      <c r="C1991" s="7" t="s">
        <v>348</v>
      </c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9"/>
    </row>
    <row r="1992" spans="2:18" ht="18" x14ac:dyDescent="0.25">
      <c r="B1992" s="2"/>
      <c r="C1992" s="8" t="s">
        <v>301</v>
      </c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10"/>
    </row>
    <row r="1993" spans="2:18" ht="15.75" thickBot="1" x14ac:dyDescent="0.3">
      <c r="B1993" s="3"/>
      <c r="C1993" s="11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12"/>
    </row>
    <row r="1994" spans="2:18" ht="17.25" customHeight="1" thickBot="1" x14ac:dyDescent="0.3">
      <c r="B1994" s="14" t="s">
        <v>349</v>
      </c>
      <c r="C1994" s="18" t="s">
        <v>350</v>
      </c>
      <c r="D1994" s="21" t="s">
        <v>351</v>
      </c>
      <c r="E1994" s="23" t="s">
        <v>352</v>
      </c>
      <c r="F1994" s="21" t="s">
        <v>353</v>
      </c>
      <c r="G1994" s="23" t="s">
        <v>354</v>
      </c>
      <c r="H1994" s="23" t="s">
        <v>355</v>
      </c>
      <c r="I1994" s="23" t="s">
        <v>356</v>
      </c>
      <c r="J1994" s="25" t="s">
        <v>357</v>
      </c>
      <c r="K1994" s="25" t="s">
        <v>358</v>
      </c>
      <c r="L1994" s="30" t="s">
        <v>359</v>
      </c>
      <c r="M1994" s="30" t="s">
        <v>360</v>
      </c>
      <c r="N1994" s="30" t="s">
        <v>361</v>
      </c>
      <c r="O1994" s="33" t="s">
        <v>362</v>
      </c>
      <c r="P1994" s="33" t="s">
        <v>363</v>
      </c>
      <c r="Q1994" s="33" t="s">
        <v>364</v>
      </c>
      <c r="R1994" s="35" t="s">
        <v>365</v>
      </c>
    </row>
    <row r="1995" spans="2:18" ht="12.75" customHeight="1" x14ac:dyDescent="0.25">
      <c r="B1995" s="17" t="s">
        <v>0</v>
      </c>
      <c r="C1995" s="43" t="s">
        <v>288</v>
      </c>
      <c r="D1995" s="37" t="s">
        <v>9</v>
      </c>
      <c r="E1995" s="36">
        <v>2</v>
      </c>
      <c r="F1995" s="38" t="s">
        <v>289</v>
      </c>
      <c r="G1995" s="38" t="s">
        <v>299</v>
      </c>
      <c r="H1995" s="38" t="s">
        <v>300</v>
      </c>
      <c r="I1995" s="38" t="s">
        <v>301</v>
      </c>
      <c r="J1995" s="39" t="s">
        <v>293</v>
      </c>
      <c r="K1995" s="40">
        <v>21110861</v>
      </c>
      <c r="L1995" s="41">
        <v>1443762183.266762</v>
      </c>
      <c r="M1995" s="41">
        <v>235201008.7749584</v>
      </c>
      <c r="N1995" s="41">
        <v>235192866.4349584</v>
      </c>
      <c r="O1995" s="42">
        <f t="shared" ref="O1995:O2026" si="268">IFERROR(M1995/L1995,0)</f>
        <v>0.16290841490443764</v>
      </c>
      <c r="P1995" s="42">
        <f t="shared" ref="P1995:P2026" si="269">IFERROR(N1995/M1995,0)</f>
        <v>0.99996538135596269</v>
      </c>
      <c r="Q1995" s="42">
        <f t="shared" ref="Q1995:Q2026" si="270">IFERROR(1-(M1995/L1995),0)</f>
        <v>0.83709158509556236</v>
      </c>
      <c r="R1995" s="45">
        <f t="shared" ref="R1995:R2026" si="271">IFERROR(N1995/K1995,0)</f>
        <v>11.140846715582013</v>
      </c>
    </row>
    <row r="1996" spans="2:18" ht="12.75" customHeight="1" x14ac:dyDescent="0.25">
      <c r="B1996" s="17" t="s">
        <v>0</v>
      </c>
      <c r="C1996" s="44" t="s">
        <v>30</v>
      </c>
      <c r="D1996" s="22" t="s">
        <v>9</v>
      </c>
      <c r="E1996" s="20">
        <v>2</v>
      </c>
      <c r="F1996" s="17" t="s">
        <v>289</v>
      </c>
      <c r="G1996" s="17" t="s">
        <v>299</v>
      </c>
      <c r="H1996" s="17" t="s">
        <v>300</v>
      </c>
      <c r="I1996" s="17" t="s">
        <v>301</v>
      </c>
      <c r="J1996" s="27" t="s">
        <v>31</v>
      </c>
      <c r="K1996" s="29">
        <v>1356001</v>
      </c>
      <c r="L1996" s="31">
        <v>54366650.900008589</v>
      </c>
      <c r="M1996" s="31">
        <v>15417494.540001301</v>
      </c>
      <c r="N1996" s="31">
        <v>15417352.270002129</v>
      </c>
      <c r="O1996" s="34">
        <f t="shared" si="268"/>
        <v>0.28358367279892288</v>
      </c>
      <c r="P1996" s="34">
        <f t="shared" si="269"/>
        <v>0.99999077217126275</v>
      </c>
      <c r="Q1996" s="34">
        <f t="shared" si="270"/>
        <v>0.71641632720107706</v>
      </c>
      <c r="R1996" s="46">
        <f t="shared" si="271"/>
        <v>11.369720427936358</v>
      </c>
    </row>
    <row r="1997" spans="2:18" ht="12.75" customHeight="1" x14ac:dyDescent="0.25">
      <c r="B1997" s="17" t="s">
        <v>0</v>
      </c>
      <c r="C1997" s="44" t="s">
        <v>54</v>
      </c>
      <c r="D1997" s="22" t="s">
        <v>9</v>
      </c>
      <c r="E1997" s="20">
        <v>2</v>
      </c>
      <c r="F1997" s="17" t="s">
        <v>289</v>
      </c>
      <c r="G1997" s="17" t="s">
        <v>299</v>
      </c>
      <c r="H1997" s="17" t="s">
        <v>300</v>
      </c>
      <c r="I1997" s="17" t="s">
        <v>301</v>
      </c>
      <c r="J1997" s="27" t="s">
        <v>55</v>
      </c>
      <c r="K1997" s="29">
        <v>1426613</v>
      </c>
      <c r="L1997" s="31">
        <v>57241029.930028096</v>
      </c>
      <c r="M1997" s="31">
        <v>15151299.420007585</v>
      </c>
      <c r="N1997" s="31">
        <v>15151267.980007555</v>
      </c>
      <c r="O1997" s="34">
        <f t="shared" si="268"/>
        <v>0.2646929909983915</v>
      </c>
      <c r="P1997" s="34">
        <f t="shared" si="269"/>
        <v>0.9999979249304527</v>
      </c>
      <c r="Q1997" s="34">
        <f t="shared" si="270"/>
        <v>0.7353070090016085</v>
      </c>
      <c r="R1997" s="46">
        <f t="shared" si="271"/>
        <v>10.620447157012837</v>
      </c>
    </row>
    <row r="1998" spans="2:18" ht="12.75" customHeight="1" x14ac:dyDescent="0.25">
      <c r="B1998" s="17" t="s">
        <v>0</v>
      </c>
      <c r="C1998" s="44" t="s">
        <v>46</v>
      </c>
      <c r="D1998" s="22" t="s">
        <v>9</v>
      </c>
      <c r="E1998" s="20">
        <v>2</v>
      </c>
      <c r="F1998" s="17" t="s">
        <v>289</v>
      </c>
      <c r="G1998" s="17" t="s">
        <v>299</v>
      </c>
      <c r="H1998" s="17" t="s">
        <v>300</v>
      </c>
      <c r="I1998" s="17" t="s">
        <v>301</v>
      </c>
      <c r="J1998" s="27" t="s">
        <v>47</v>
      </c>
      <c r="K1998" s="29">
        <v>781828</v>
      </c>
      <c r="L1998" s="31">
        <v>47621064.349997148</v>
      </c>
      <c r="M1998" s="31">
        <v>12448525.350008927</v>
      </c>
      <c r="N1998" s="31">
        <v>12448492.940009046</v>
      </c>
      <c r="O1998" s="34">
        <f t="shared" si="268"/>
        <v>0.26140796137013833</v>
      </c>
      <c r="P1998" s="34">
        <f t="shared" si="269"/>
        <v>0.99999739647878205</v>
      </c>
      <c r="Q1998" s="34">
        <f t="shared" si="270"/>
        <v>0.73859203862986167</v>
      </c>
      <c r="R1998" s="46">
        <f t="shared" si="271"/>
        <v>15.922291015426726</v>
      </c>
    </row>
    <row r="1999" spans="2:18" ht="12.75" customHeight="1" x14ac:dyDescent="0.25">
      <c r="B1999" s="17" t="s">
        <v>0</v>
      </c>
      <c r="C1999" s="44" t="s">
        <v>180</v>
      </c>
      <c r="D1999" s="22" t="s">
        <v>9</v>
      </c>
      <c r="E1999" s="20">
        <v>2</v>
      </c>
      <c r="F1999" s="17" t="s">
        <v>289</v>
      </c>
      <c r="G1999" s="17" t="s">
        <v>299</v>
      </c>
      <c r="H1999" s="17" t="s">
        <v>300</v>
      </c>
      <c r="I1999" s="17" t="s">
        <v>301</v>
      </c>
      <c r="J1999" s="27" t="s">
        <v>181</v>
      </c>
      <c r="K1999" s="29">
        <v>973544</v>
      </c>
      <c r="L1999" s="31">
        <v>63409664.919756554</v>
      </c>
      <c r="M1999" s="31">
        <v>11420072.680002907</v>
      </c>
      <c r="N1999" s="31">
        <v>11395004.430004083</v>
      </c>
      <c r="O1999" s="34">
        <f t="shared" si="268"/>
        <v>0.18009987427712704</v>
      </c>
      <c r="P1999" s="34">
        <f t="shared" si="269"/>
        <v>0.99780489575668641</v>
      </c>
      <c r="Q1999" s="34">
        <f t="shared" si="270"/>
        <v>0.81990012572287296</v>
      </c>
      <c r="R1999" s="46">
        <f t="shared" si="271"/>
        <v>11.704662994178058</v>
      </c>
    </row>
    <row r="2000" spans="2:18" ht="12.75" customHeight="1" x14ac:dyDescent="0.25">
      <c r="B2000" s="17" t="s">
        <v>0</v>
      </c>
      <c r="C2000" s="44" t="s">
        <v>145</v>
      </c>
      <c r="D2000" s="22" t="s">
        <v>9</v>
      </c>
      <c r="E2000" s="20">
        <v>2</v>
      </c>
      <c r="F2000" s="17" t="s">
        <v>289</v>
      </c>
      <c r="G2000" s="17" t="s">
        <v>299</v>
      </c>
      <c r="H2000" s="17" t="s">
        <v>300</v>
      </c>
      <c r="I2000" s="17" t="s">
        <v>301</v>
      </c>
      <c r="J2000" s="27" t="s">
        <v>146</v>
      </c>
      <c r="K2000" s="29">
        <v>773498</v>
      </c>
      <c r="L2000" s="31">
        <v>32540208.729999371</v>
      </c>
      <c r="M2000" s="31">
        <v>7239378.1300068786</v>
      </c>
      <c r="N2000" s="31">
        <v>7239378.1300068786</v>
      </c>
      <c r="O2000" s="34">
        <f t="shared" si="268"/>
        <v>0.22247485226893376</v>
      </c>
      <c r="P2000" s="34">
        <f t="shared" si="269"/>
        <v>1</v>
      </c>
      <c r="Q2000" s="34">
        <f t="shared" si="270"/>
        <v>0.77752514773106629</v>
      </c>
      <c r="R2000" s="46">
        <f t="shared" si="271"/>
        <v>9.3592719438277516</v>
      </c>
    </row>
    <row r="2001" spans="2:18" ht="12.75" customHeight="1" x14ac:dyDescent="0.25">
      <c r="B2001" s="17" t="s">
        <v>0</v>
      </c>
      <c r="C2001" s="44" t="s">
        <v>7</v>
      </c>
      <c r="D2001" s="22" t="s">
        <v>9</v>
      </c>
      <c r="E2001" s="20">
        <v>2</v>
      </c>
      <c r="F2001" s="17" t="s">
        <v>289</v>
      </c>
      <c r="G2001" s="17" t="s">
        <v>299</v>
      </c>
      <c r="H2001" s="17" t="s">
        <v>300</v>
      </c>
      <c r="I2001" s="17" t="s">
        <v>301</v>
      </c>
      <c r="J2001" s="27" t="s">
        <v>8</v>
      </c>
      <c r="K2001" s="29">
        <v>63383</v>
      </c>
      <c r="L2001" s="31">
        <v>25618934.340001367</v>
      </c>
      <c r="M2001" s="31">
        <v>6371955.7600204656</v>
      </c>
      <c r="N2001" s="31">
        <v>6371955.7600204656</v>
      </c>
      <c r="O2001" s="34">
        <f t="shared" si="268"/>
        <v>0.24872056251267655</v>
      </c>
      <c r="P2001" s="34">
        <f t="shared" si="269"/>
        <v>1</v>
      </c>
      <c r="Q2001" s="34">
        <f t="shared" si="270"/>
        <v>0.75127943748732351</v>
      </c>
      <c r="R2001" s="46">
        <f t="shared" si="271"/>
        <v>100.5309903289599</v>
      </c>
    </row>
    <row r="2002" spans="2:18" ht="12.75" customHeight="1" x14ac:dyDescent="0.25">
      <c r="B2002" s="17" t="s">
        <v>0</v>
      </c>
      <c r="C2002" s="44" t="s">
        <v>157</v>
      </c>
      <c r="D2002" s="22" t="s">
        <v>9</v>
      </c>
      <c r="E2002" s="20">
        <v>2</v>
      </c>
      <c r="F2002" s="17" t="s">
        <v>289</v>
      </c>
      <c r="G2002" s="17" t="s">
        <v>299</v>
      </c>
      <c r="H2002" s="17" t="s">
        <v>300</v>
      </c>
      <c r="I2002" s="17" t="s">
        <v>301</v>
      </c>
      <c r="J2002" s="27" t="s">
        <v>158</v>
      </c>
      <c r="K2002" s="29">
        <v>575471</v>
      </c>
      <c r="L2002" s="31">
        <v>24403258.850000363</v>
      </c>
      <c r="M2002" s="31">
        <v>5456147.2699991744</v>
      </c>
      <c r="N2002" s="31">
        <v>5456147.2699991744</v>
      </c>
      <c r="O2002" s="34">
        <f t="shared" si="268"/>
        <v>0.22358273145142224</v>
      </c>
      <c r="P2002" s="34">
        <f t="shared" si="269"/>
        <v>1</v>
      </c>
      <c r="Q2002" s="34">
        <f t="shared" si="270"/>
        <v>0.77641726854857773</v>
      </c>
      <c r="R2002" s="46">
        <f t="shared" si="271"/>
        <v>9.4811854463546812</v>
      </c>
    </row>
    <row r="2003" spans="2:18" ht="12.75" customHeight="1" x14ac:dyDescent="0.25">
      <c r="B2003" s="17" t="s">
        <v>0</v>
      </c>
      <c r="C2003" s="44" t="s">
        <v>50</v>
      </c>
      <c r="D2003" s="22" t="s">
        <v>9</v>
      </c>
      <c r="E2003" s="20">
        <v>2</v>
      </c>
      <c r="F2003" s="17" t="s">
        <v>289</v>
      </c>
      <c r="G2003" s="17" t="s">
        <v>299</v>
      </c>
      <c r="H2003" s="17" t="s">
        <v>300</v>
      </c>
      <c r="I2003" s="17" t="s">
        <v>301</v>
      </c>
      <c r="J2003" s="27" t="s">
        <v>51</v>
      </c>
      <c r="K2003" s="29">
        <v>333973</v>
      </c>
      <c r="L2003" s="31">
        <v>18472906.079998951</v>
      </c>
      <c r="M2003" s="31">
        <v>4874980.2000038289</v>
      </c>
      <c r="N2003" s="31">
        <v>4874958.3800038332</v>
      </c>
      <c r="O2003" s="34">
        <f t="shared" si="268"/>
        <v>0.26389893278795395</v>
      </c>
      <c r="P2003" s="34">
        <f t="shared" si="269"/>
        <v>0.99999552408438586</v>
      </c>
      <c r="Q2003" s="34">
        <f t="shared" si="270"/>
        <v>0.73610106721204605</v>
      </c>
      <c r="R2003" s="46">
        <f t="shared" si="271"/>
        <v>14.596863758459017</v>
      </c>
    </row>
    <row r="2004" spans="2:18" ht="12.75" customHeight="1" x14ac:dyDescent="0.25">
      <c r="B2004" s="17" t="s">
        <v>0</v>
      </c>
      <c r="C2004" s="44" t="s">
        <v>20</v>
      </c>
      <c r="D2004" s="22" t="s">
        <v>9</v>
      </c>
      <c r="E2004" s="20">
        <v>2</v>
      </c>
      <c r="F2004" s="17" t="s">
        <v>289</v>
      </c>
      <c r="G2004" s="17" t="s">
        <v>299</v>
      </c>
      <c r="H2004" s="17" t="s">
        <v>300</v>
      </c>
      <c r="I2004" s="17" t="s">
        <v>301</v>
      </c>
      <c r="J2004" s="27" t="s">
        <v>21</v>
      </c>
      <c r="K2004" s="29">
        <v>42429</v>
      </c>
      <c r="L2004" s="31">
        <v>17898680.620005842</v>
      </c>
      <c r="M2004" s="31">
        <v>4661301.6599945212</v>
      </c>
      <c r="N2004" s="31">
        <v>4661301.6599945212</v>
      </c>
      <c r="O2004" s="34">
        <f t="shared" si="268"/>
        <v>0.26042710962641891</v>
      </c>
      <c r="P2004" s="34">
        <f t="shared" si="269"/>
        <v>1</v>
      </c>
      <c r="Q2004" s="34">
        <f t="shared" si="270"/>
        <v>0.73957289037358109</v>
      </c>
      <c r="R2004" s="46">
        <f t="shared" si="271"/>
        <v>109.86121897745696</v>
      </c>
    </row>
    <row r="2005" spans="2:18" ht="12.75" customHeight="1" x14ac:dyDescent="0.25">
      <c r="B2005" s="17" t="s">
        <v>0</v>
      </c>
      <c r="C2005" s="44" t="s">
        <v>16</v>
      </c>
      <c r="D2005" s="22" t="s">
        <v>9</v>
      </c>
      <c r="E2005" s="20">
        <v>2</v>
      </c>
      <c r="F2005" s="17" t="s">
        <v>289</v>
      </c>
      <c r="G2005" s="17" t="s">
        <v>299</v>
      </c>
      <c r="H2005" s="17" t="s">
        <v>300</v>
      </c>
      <c r="I2005" s="17" t="s">
        <v>301</v>
      </c>
      <c r="J2005" s="27" t="s">
        <v>17</v>
      </c>
      <c r="K2005" s="29">
        <v>48019</v>
      </c>
      <c r="L2005" s="31">
        <v>16801939.390005574</v>
      </c>
      <c r="M2005" s="31">
        <v>4518880.3600005899</v>
      </c>
      <c r="N2005" s="31">
        <v>4518776.0000002142</v>
      </c>
      <c r="O2005" s="34">
        <f t="shared" si="268"/>
        <v>0.26894992626199987</v>
      </c>
      <c r="P2005" s="34">
        <f t="shared" si="269"/>
        <v>0.99997690578372034</v>
      </c>
      <c r="Q2005" s="34">
        <f t="shared" si="270"/>
        <v>0.73105007373800013</v>
      </c>
      <c r="R2005" s="46">
        <f t="shared" si="271"/>
        <v>94.103917199446343</v>
      </c>
    </row>
    <row r="2006" spans="2:18" ht="12.75" customHeight="1" x14ac:dyDescent="0.25">
      <c r="B2006" s="17" t="s">
        <v>0</v>
      </c>
      <c r="C2006" s="44" t="s">
        <v>114</v>
      </c>
      <c r="D2006" s="22" t="s">
        <v>9</v>
      </c>
      <c r="E2006" s="20">
        <v>2</v>
      </c>
      <c r="F2006" s="17" t="s">
        <v>289</v>
      </c>
      <c r="G2006" s="17" t="s">
        <v>299</v>
      </c>
      <c r="H2006" s="17" t="s">
        <v>300</v>
      </c>
      <c r="I2006" s="17" t="s">
        <v>301</v>
      </c>
      <c r="J2006" s="27" t="s">
        <v>118</v>
      </c>
      <c r="K2006" s="29">
        <v>324460</v>
      </c>
      <c r="L2006" s="31">
        <v>12034385.240004707</v>
      </c>
      <c r="M2006" s="31">
        <v>3576231.690001301</v>
      </c>
      <c r="N2006" s="31">
        <v>3576231.690001301</v>
      </c>
      <c r="O2006" s="34">
        <f t="shared" si="268"/>
        <v>0.29716779201260657</v>
      </c>
      <c r="P2006" s="34">
        <f t="shared" si="269"/>
        <v>1</v>
      </c>
      <c r="Q2006" s="34">
        <f t="shared" si="270"/>
        <v>0.70283220798739343</v>
      </c>
      <c r="R2006" s="46">
        <f t="shared" si="271"/>
        <v>11.022103464221479</v>
      </c>
    </row>
    <row r="2007" spans="2:18" ht="12.75" customHeight="1" x14ac:dyDescent="0.25">
      <c r="B2007" s="17" t="s">
        <v>0</v>
      </c>
      <c r="C2007" s="44" t="s">
        <v>56</v>
      </c>
      <c r="D2007" s="22" t="s">
        <v>9</v>
      </c>
      <c r="E2007" s="20">
        <v>2</v>
      </c>
      <c r="F2007" s="17" t="s">
        <v>289</v>
      </c>
      <c r="G2007" s="17" t="s">
        <v>299</v>
      </c>
      <c r="H2007" s="17" t="s">
        <v>300</v>
      </c>
      <c r="I2007" s="17" t="s">
        <v>301</v>
      </c>
      <c r="J2007" s="27" t="s">
        <v>57</v>
      </c>
      <c r="K2007" s="29">
        <v>398086</v>
      </c>
      <c r="L2007" s="31">
        <v>9427178.9099983145</v>
      </c>
      <c r="M2007" s="31">
        <v>2596972.7699993695</v>
      </c>
      <c r="N2007" s="31">
        <v>2596972.7699993695</v>
      </c>
      <c r="O2007" s="34">
        <f t="shared" si="268"/>
        <v>0.27547719151113831</v>
      </c>
      <c r="P2007" s="34">
        <f t="shared" si="269"/>
        <v>1</v>
      </c>
      <c r="Q2007" s="34">
        <f t="shared" si="270"/>
        <v>0.72452280848886175</v>
      </c>
      <c r="R2007" s="46">
        <f t="shared" si="271"/>
        <v>6.5236475786623229</v>
      </c>
    </row>
    <row r="2008" spans="2:18" ht="12.75" customHeight="1" x14ac:dyDescent="0.25">
      <c r="B2008" s="17" t="s">
        <v>0</v>
      </c>
      <c r="C2008" s="44" t="s">
        <v>94</v>
      </c>
      <c r="D2008" s="22" t="s">
        <v>9</v>
      </c>
      <c r="E2008" s="20">
        <v>2</v>
      </c>
      <c r="F2008" s="17" t="s">
        <v>289</v>
      </c>
      <c r="G2008" s="17" t="s">
        <v>299</v>
      </c>
      <c r="H2008" s="17" t="s">
        <v>300</v>
      </c>
      <c r="I2008" s="17" t="s">
        <v>301</v>
      </c>
      <c r="J2008" s="27" t="s">
        <v>95</v>
      </c>
      <c r="K2008" s="29">
        <v>259679</v>
      </c>
      <c r="L2008" s="31">
        <v>7466031.6199976001</v>
      </c>
      <c r="M2008" s="31">
        <v>2588261.8399972767</v>
      </c>
      <c r="N2008" s="31">
        <v>2588261.8399972767</v>
      </c>
      <c r="O2008" s="34">
        <f t="shared" si="268"/>
        <v>0.34667169545125881</v>
      </c>
      <c r="P2008" s="34">
        <f t="shared" si="269"/>
        <v>1</v>
      </c>
      <c r="Q2008" s="34">
        <f t="shared" si="270"/>
        <v>0.65332830454874125</v>
      </c>
      <c r="R2008" s="46">
        <f t="shared" si="271"/>
        <v>9.9671588384015521</v>
      </c>
    </row>
    <row r="2009" spans="2:18" ht="12.75" customHeight="1" x14ac:dyDescent="0.25">
      <c r="B2009" s="17" t="s">
        <v>0</v>
      </c>
      <c r="C2009" s="44" t="s">
        <v>58</v>
      </c>
      <c r="D2009" s="22" t="s">
        <v>9</v>
      </c>
      <c r="E2009" s="20">
        <v>2</v>
      </c>
      <c r="F2009" s="17" t="s">
        <v>289</v>
      </c>
      <c r="G2009" s="17" t="s">
        <v>299</v>
      </c>
      <c r="H2009" s="17" t="s">
        <v>300</v>
      </c>
      <c r="I2009" s="17" t="s">
        <v>301</v>
      </c>
      <c r="J2009" s="27" t="s">
        <v>59</v>
      </c>
      <c r="K2009" s="29">
        <v>22201</v>
      </c>
      <c r="L2009" s="31">
        <v>10467224.620000545</v>
      </c>
      <c r="M2009" s="31">
        <v>2321054.2500042869</v>
      </c>
      <c r="N2009" s="31">
        <v>2321054.2500042869</v>
      </c>
      <c r="O2009" s="34">
        <f t="shared" si="268"/>
        <v>0.22174495477714951</v>
      </c>
      <c r="P2009" s="34">
        <f t="shared" si="269"/>
        <v>1</v>
      </c>
      <c r="Q2009" s="34">
        <f t="shared" si="270"/>
        <v>0.77825504522285049</v>
      </c>
      <c r="R2009" s="46">
        <f t="shared" si="271"/>
        <v>104.54728390632344</v>
      </c>
    </row>
    <row r="2010" spans="2:18" ht="12.75" customHeight="1" x14ac:dyDescent="0.25">
      <c r="B2010" s="17" t="s">
        <v>0</v>
      </c>
      <c r="C2010" s="44" t="s">
        <v>288</v>
      </c>
      <c r="D2010" s="22" t="s">
        <v>2</v>
      </c>
      <c r="E2010" s="20">
        <v>1</v>
      </c>
      <c r="F2010" s="17" t="s">
        <v>289</v>
      </c>
      <c r="G2010" s="17" t="s">
        <v>299</v>
      </c>
      <c r="H2010" s="17" t="s">
        <v>300</v>
      </c>
      <c r="I2010" s="17" t="s">
        <v>301</v>
      </c>
      <c r="J2010" s="27" t="s">
        <v>293</v>
      </c>
      <c r="K2010" s="29">
        <v>778070</v>
      </c>
      <c r="L2010" s="31">
        <v>3403658.114919778</v>
      </c>
      <c r="M2010" s="31">
        <v>1798663.4221205621</v>
      </c>
      <c r="N2010" s="31">
        <v>1798663.4221205621</v>
      </c>
      <c r="O2010" s="34">
        <f t="shared" si="268"/>
        <v>0.52845008558180506</v>
      </c>
      <c r="P2010" s="34">
        <f t="shared" si="269"/>
        <v>1</v>
      </c>
      <c r="Q2010" s="34">
        <f t="shared" si="270"/>
        <v>0.47154991441819494</v>
      </c>
      <c r="R2010" s="46">
        <f t="shared" si="271"/>
        <v>2.3116987187792386</v>
      </c>
    </row>
    <row r="2011" spans="2:18" ht="12.75" customHeight="1" x14ac:dyDescent="0.25">
      <c r="B2011" s="17" t="s">
        <v>0</v>
      </c>
      <c r="C2011" s="44" t="s">
        <v>180</v>
      </c>
      <c r="D2011" s="22" t="s">
        <v>2</v>
      </c>
      <c r="E2011" s="20">
        <v>1</v>
      </c>
      <c r="F2011" s="17" t="s">
        <v>289</v>
      </c>
      <c r="G2011" s="17" t="s">
        <v>299</v>
      </c>
      <c r="H2011" s="17" t="s">
        <v>300</v>
      </c>
      <c r="I2011" s="17" t="s">
        <v>301</v>
      </c>
      <c r="J2011" s="27" t="s">
        <v>181</v>
      </c>
      <c r="K2011" s="29">
        <v>53989</v>
      </c>
      <c r="L2011" s="31">
        <v>5107489.6799999094</v>
      </c>
      <c r="M2011" s="31">
        <v>915797.29000254953</v>
      </c>
      <c r="N2011" s="31">
        <v>728618.910005135</v>
      </c>
      <c r="O2011" s="34">
        <f t="shared" si="268"/>
        <v>0.17930477541416506</v>
      </c>
      <c r="P2011" s="34">
        <f t="shared" si="269"/>
        <v>0.79561155941300787</v>
      </c>
      <c r="Q2011" s="34">
        <f t="shared" si="270"/>
        <v>0.82069522458583499</v>
      </c>
      <c r="R2011" s="46">
        <f t="shared" si="271"/>
        <v>13.495691900297006</v>
      </c>
    </row>
    <row r="2012" spans="2:18" ht="12.75" customHeight="1" x14ac:dyDescent="0.25">
      <c r="B2012" s="17" t="s">
        <v>0</v>
      </c>
      <c r="C2012" s="44" t="s">
        <v>66</v>
      </c>
      <c r="D2012" s="22" t="s">
        <v>9</v>
      </c>
      <c r="E2012" s="20">
        <v>2</v>
      </c>
      <c r="F2012" s="17" t="s">
        <v>289</v>
      </c>
      <c r="G2012" s="17" t="s">
        <v>299</v>
      </c>
      <c r="H2012" s="17" t="s">
        <v>300</v>
      </c>
      <c r="I2012" s="17" t="s">
        <v>301</v>
      </c>
      <c r="J2012" s="27" t="s">
        <v>67</v>
      </c>
      <c r="K2012" s="29">
        <v>8023</v>
      </c>
      <c r="L2012" s="31">
        <v>1355439.6500000334</v>
      </c>
      <c r="M2012" s="31">
        <v>494122.16000073543</v>
      </c>
      <c r="N2012" s="31">
        <v>494122.16000073543</v>
      </c>
      <c r="O2012" s="34">
        <f t="shared" si="268"/>
        <v>0.36454751784834039</v>
      </c>
      <c r="P2012" s="34">
        <f t="shared" si="269"/>
        <v>1</v>
      </c>
      <c r="Q2012" s="34">
        <f t="shared" si="270"/>
        <v>0.63545248215165961</v>
      </c>
      <c r="R2012" s="46">
        <f t="shared" si="271"/>
        <v>61.588203913839642</v>
      </c>
    </row>
    <row r="2013" spans="2:18" ht="12.75" customHeight="1" x14ac:dyDescent="0.25">
      <c r="B2013" s="17" t="s">
        <v>0</v>
      </c>
      <c r="C2013" s="44" t="s">
        <v>34</v>
      </c>
      <c r="D2013" s="22" t="s">
        <v>9</v>
      </c>
      <c r="E2013" s="20">
        <v>2</v>
      </c>
      <c r="F2013" s="17" t="s">
        <v>289</v>
      </c>
      <c r="G2013" s="17" t="s">
        <v>299</v>
      </c>
      <c r="H2013" s="17" t="s">
        <v>300</v>
      </c>
      <c r="I2013" s="17" t="s">
        <v>301</v>
      </c>
      <c r="J2013" s="27" t="s">
        <v>35</v>
      </c>
      <c r="K2013" s="29">
        <v>23014</v>
      </c>
      <c r="L2013" s="31">
        <v>1322345.4800015432</v>
      </c>
      <c r="M2013" s="31">
        <v>464493.04999818298</v>
      </c>
      <c r="N2013" s="31">
        <v>464493.04999818298</v>
      </c>
      <c r="O2013" s="34">
        <f t="shared" si="268"/>
        <v>0.3512645197665295</v>
      </c>
      <c r="P2013" s="34">
        <f t="shared" si="269"/>
        <v>1</v>
      </c>
      <c r="Q2013" s="34">
        <f t="shared" si="270"/>
        <v>0.6487354802334705</v>
      </c>
      <c r="R2013" s="46">
        <f t="shared" si="271"/>
        <v>20.183064656217216</v>
      </c>
    </row>
    <row r="2014" spans="2:18" ht="12.75" customHeight="1" x14ac:dyDescent="0.25">
      <c r="B2014" s="17" t="s">
        <v>0</v>
      </c>
      <c r="C2014" s="44" t="s">
        <v>24</v>
      </c>
      <c r="D2014" s="22" t="s">
        <v>9</v>
      </c>
      <c r="E2014" s="20">
        <v>2</v>
      </c>
      <c r="F2014" s="17" t="s">
        <v>289</v>
      </c>
      <c r="G2014" s="17" t="s">
        <v>299</v>
      </c>
      <c r="H2014" s="17" t="s">
        <v>300</v>
      </c>
      <c r="I2014" s="17" t="s">
        <v>301</v>
      </c>
      <c r="J2014" s="27" t="s">
        <v>25</v>
      </c>
      <c r="K2014" s="29">
        <v>47785</v>
      </c>
      <c r="L2014" s="31">
        <v>1534072.9699999492</v>
      </c>
      <c r="M2014" s="31">
        <v>402148.4300002876</v>
      </c>
      <c r="N2014" s="31">
        <v>402148.4300002876</v>
      </c>
      <c r="O2014" s="34">
        <f t="shared" si="268"/>
        <v>0.26214426423294646</v>
      </c>
      <c r="P2014" s="34">
        <f t="shared" si="269"/>
        <v>1</v>
      </c>
      <c r="Q2014" s="34">
        <f t="shared" si="270"/>
        <v>0.73785573576705354</v>
      </c>
      <c r="R2014" s="46">
        <f t="shared" si="271"/>
        <v>8.4157880087953885</v>
      </c>
    </row>
    <row r="2015" spans="2:18" ht="12.75" customHeight="1" x14ac:dyDescent="0.25">
      <c r="B2015" s="17" t="s">
        <v>0</v>
      </c>
      <c r="C2015" s="44" t="s">
        <v>14</v>
      </c>
      <c r="D2015" s="22" t="s">
        <v>9</v>
      </c>
      <c r="E2015" s="20">
        <v>2</v>
      </c>
      <c r="F2015" s="17" t="s">
        <v>289</v>
      </c>
      <c r="G2015" s="17" t="s">
        <v>299</v>
      </c>
      <c r="H2015" s="17" t="s">
        <v>300</v>
      </c>
      <c r="I2015" s="17" t="s">
        <v>301</v>
      </c>
      <c r="J2015" s="27" t="s">
        <v>15</v>
      </c>
      <c r="K2015" s="29">
        <v>44189</v>
      </c>
      <c r="L2015" s="31">
        <v>1070713.5700001777</v>
      </c>
      <c r="M2015" s="31">
        <v>319846.86999985448</v>
      </c>
      <c r="N2015" s="31">
        <v>319846.86999985448</v>
      </c>
      <c r="O2015" s="34">
        <f t="shared" si="268"/>
        <v>0.29872309360924731</v>
      </c>
      <c r="P2015" s="34">
        <f t="shared" si="269"/>
        <v>1</v>
      </c>
      <c r="Q2015" s="34">
        <f t="shared" si="270"/>
        <v>0.70127690639075269</v>
      </c>
      <c r="R2015" s="46">
        <f t="shared" si="271"/>
        <v>7.2381558758934235</v>
      </c>
    </row>
    <row r="2016" spans="2:18" ht="12.75" customHeight="1" x14ac:dyDescent="0.25">
      <c r="B2016" s="17" t="s">
        <v>0</v>
      </c>
      <c r="C2016" s="44" t="s">
        <v>28</v>
      </c>
      <c r="D2016" s="22" t="s">
        <v>9</v>
      </c>
      <c r="E2016" s="20">
        <v>2</v>
      </c>
      <c r="F2016" s="17" t="s">
        <v>289</v>
      </c>
      <c r="G2016" s="17" t="s">
        <v>299</v>
      </c>
      <c r="H2016" s="17" t="s">
        <v>300</v>
      </c>
      <c r="I2016" s="17" t="s">
        <v>301</v>
      </c>
      <c r="J2016" s="27" t="s">
        <v>29</v>
      </c>
      <c r="K2016" s="29">
        <v>19656</v>
      </c>
      <c r="L2016" s="31">
        <v>1069039.3199995733</v>
      </c>
      <c r="M2016" s="31">
        <v>305693.44999962609</v>
      </c>
      <c r="N2016" s="31">
        <v>305689.90999962908</v>
      </c>
      <c r="O2016" s="34">
        <f t="shared" si="268"/>
        <v>0.28595154947130297</v>
      </c>
      <c r="P2016" s="34">
        <f t="shared" si="269"/>
        <v>0.9999884197715162</v>
      </c>
      <c r="Q2016" s="34">
        <f t="shared" si="270"/>
        <v>0.71404845052869703</v>
      </c>
      <c r="R2016" s="46">
        <f t="shared" si="271"/>
        <v>15.551989723220853</v>
      </c>
    </row>
    <row r="2017" spans="2:18" ht="12.75" customHeight="1" x14ac:dyDescent="0.25">
      <c r="B2017" s="17" t="s">
        <v>0</v>
      </c>
      <c r="C2017" s="44" t="s">
        <v>149</v>
      </c>
      <c r="D2017" s="22" t="s">
        <v>9</v>
      </c>
      <c r="E2017" s="20">
        <v>2</v>
      </c>
      <c r="F2017" s="17" t="s">
        <v>289</v>
      </c>
      <c r="G2017" s="17" t="s">
        <v>299</v>
      </c>
      <c r="H2017" s="17" t="s">
        <v>300</v>
      </c>
      <c r="I2017" s="17" t="s">
        <v>301</v>
      </c>
      <c r="J2017" s="27" t="s">
        <v>150</v>
      </c>
      <c r="K2017" s="29">
        <v>1945</v>
      </c>
      <c r="L2017" s="31">
        <v>1292400</v>
      </c>
      <c r="M2017" s="31">
        <v>284279.83999805897</v>
      </c>
      <c r="N2017" s="31">
        <v>284279.83999805897</v>
      </c>
      <c r="O2017" s="34">
        <f t="shared" si="268"/>
        <v>0.2199627359935461</v>
      </c>
      <c r="P2017" s="34">
        <f t="shared" si="269"/>
        <v>1</v>
      </c>
      <c r="Q2017" s="34">
        <f t="shared" si="270"/>
        <v>0.7800372640064539</v>
      </c>
      <c r="R2017" s="46">
        <f t="shared" si="271"/>
        <v>146.15930077021028</v>
      </c>
    </row>
    <row r="2018" spans="2:18" ht="12.75" customHeight="1" x14ac:dyDescent="0.25">
      <c r="B2018" s="17" t="s">
        <v>0</v>
      </c>
      <c r="C2018" s="44" t="s">
        <v>70</v>
      </c>
      <c r="D2018" s="22" t="s">
        <v>9</v>
      </c>
      <c r="E2018" s="20">
        <v>2</v>
      </c>
      <c r="F2018" s="17" t="s">
        <v>289</v>
      </c>
      <c r="G2018" s="17" t="s">
        <v>299</v>
      </c>
      <c r="H2018" s="17" t="s">
        <v>300</v>
      </c>
      <c r="I2018" s="17" t="s">
        <v>301</v>
      </c>
      <c r="J2018" s="27" t="s">
        <v>71</v>
      </c>
      <c r="K2018" s="29">
        <v>17680</v>
      </c>
      <c r="L2018" s="31">
        <v>766286.04000005429</v>
      </c>
      <c r="M2018" s="31">
        <v>243737.70999916812</v>
      </c>
      <c r="N2018" s="31">
        <v>243737.70999916812</v>
      </c>
      <c r="O2018" s="34">
        <f t="shared" si="268"/>
        <v>0.31807666755765363</v>
      </c>
      <c r="P2018" s="34">
        <f t="shared" si="269"/>
        <v>1</v>
      </c>
      <c r="Q2018" s="34">
        <f t="shared" si="270"/>
        <v>0.68192333244234637</v>
      </c>
      <c r="R2018" s="46">
        <f t="shared" si="271"/>
        <v>13.786069570088694</v>
      </c>
    </row>
    <row r="2019" spans="2:18" ht="12.75" customHeight="1" x14ac:dyDescent="0.25">
      <c r="B2019" s="17" t="s">
        <v>0</v>
      </c>
      <c r="C2019" s="44" t="s">
        <v>110</v>
      </c>
      <c r="D2019" s="22" t="s">
        <v>9</v>
      </c>
      <c r="E2019" s="20">
        <v>2</v>
      </c>
      <c r="F2019" s="17" t="s">
        <v>289</v>
      </c>
      <c r="G2019" s="17" t="s">
        <v>299</v>
      </c>
      <c r="H2019" s="17" t="s">
        <v>300</v>
      </c>
      <c r="I2019" s="17" t="s">
        <v>301</v>
      </c>
      <c r="J2019" s="27" t="s">
        <v>111</v>
      </c>
      <c r="K2019" s="29">
        <v>29341</v>
      </c>
      <c r="L2019" s="31">
        <v>862627.58000009728</v>
      </c>
      <c r="M2019" s="31">
        <v>223536.31000012651</v>
      </c>
      <c r="N2019" s="31">
        <v>223536.31000012651</v>
      </c>
      <c r="O2019" s="34">
        <f t="shared" si="268"/>
        <v>0.25913420250266206</v>
      </c>
      <c r="P2019" s="34">
        <f t="shared" si="269"/>
        <v>1</v>
      </c>
      <c r="Q2019" s="34">
        <f t="shared" si="270"/>
        <v>0.74086579749733794</v>
      </c>
      <c r="R2019" s="46">
        <f t="shared" si="271"/>
        <v>7.6185648069297747</v>
      </c>
    </row>
    <row r="2020" spans="2:18" ht="12.75" customHeight="1" x14ac:dyDescent="0.25">
      <c r="B2020" s="17" t="s">
        <v>0</v>
      </c>
      <c r="C2020" s="44" t="s">
        <v>172</v>
      </c>
      <c r="D2020" s="22" t="s">
        <v>9</v>
      </c>
      <c r="E2020" s="20">
        <v>2</v>
      </c>
      <c r="F2020" s="17" t="s">
        <v>289</v>
      </c>
      <c r="G2020" s="17" t="s">
        <v>299</v>
      </c>
      <c r="H2020" s="17" t="s">
        <v>300</v>
      </c>
      <c r="I2020" s="17" t="s">
        <v>301</v>
      </c>
      <c r="J2020" s="27" t="s">
        <v>173</v>
      </c>
      <c r="K2020" s="29">
        <v>20502</v>
      </c>
      <c r="L2020" s="31">
        <v>1053956.4800000491</v>
      </c>
      <c r="M2020" s="31">
        <v>212438.65999952189</v>
      </c>
      <c r="N2020" s="31">
        <v>212438.65999952189</v>
      </c>
      <c r="O2020" s="34">
        <f t="shared" si="268"/>
        <v>0.20156302848435639</v>
      </c>
      <c r="P2020" s="34">
        <f t="shared" si="269"/>
        <v>1</v>
      </c>
      <c r="Q2020" s="34">
        <f t="shared" si="270"/>
        <v>0.79843697151564363</v>
      </c>
      <c r="R2020" s="46">
        <f t="shared" si="271"/>
        <v>10.361850551142419</v>
      </c>
    </row>
    <row r="2021" spans="2:18" ht="12.75" customHeight="1" x14ac:dyDescent="0.25">
      <c r="B2021" s="17" t="s">
        <v>0</v>
      </c>
      <c r="C2021" s="44" t="s">
        <v>166</v>
      </c>
      <c r="D2021" s="22" t="s">
        <v>9</v>
      </c>
      <c r="E2021" s="20">
        <v>2</v>
      </c>
      <c r="F2021" s="17" t="s">
        <v>289</v>
      </c>
      <c r="G2021" s="17" t="s">
        <v>299</v>
      </c>
      <c r="H2021" s="17" t="s">
        <v>300</v>
      </c>
      <c r="I2021" s="17" t="s">
        <v>301</v>
      </c>
      <c r="J2021" s="27" t="s">
        <v>167</v>
      </c>
      <c r="K2021" s="29">
        <v>10397</v>
      </c>
      <c r="L2021" s="31">
        <v>478018.89999961096</v>
      </c>
      <c r="M2021" s="31">
        <v>206773.82000068203</v>
      </c>
      <c r="N2021" s="31">
        <v>206773.82000068203</v>
      </c>
      <c r="O2021" s="34">
        <f t="shared" si="268"/>
        <v>0.43256410991458771</v>
      </c>
      <c r="P2021" s="34">
        <f t="shared" si="269"/>
        <v>1</v>
      </c>
      <c r="Q2021" s="34">
        <f t="shared" si="270"/>
        <v>0.56743589008541229</v>
      </c>
      <c r="R2021" s="46">
        <f t="shared" si="271"/>
        <v>19.887834952455712</v>
      </c>
    </row>
    <row r="2022" spans="2:18" ht="12.75" customHeight="1" x14ac:dyDescent="0.25">
      <c r="B2022" s="17" t="s">
        <v>0</v>
      </c>
      <c r="C2022" s="44" t="s">
        <v>48</v>
      </c>
      <c r="D2022" s="22" t="s">
        <v>9</v>
      </c>
      <c r="E2022" s="20">
        <v>2</v>
      </c>
      <c r="F2022" s="17" t="s">
        <v>289</v>
      </c>
      <c r="G2022" s="17" t="s">
        <v>299</v>
      </c>
      <c r="H2022" s="17" t="s">
        <v>300</v>
      </c>
      <c r="I2022" s="17" t="s">
        <v>301</v>
      </c>
      <c r="J2022" s="27" t="s">
        <v>49</v>
      </c>
      <c r="K2022" s="29">
        <v>14779</v>
      </c>
      <c r="L2022" s="31">
        <v>615518.36999982805</v>
      </c>
      <c r="M2022" s="31">
        <v>175564.77000033594</v>
      </c>
      <c r="N2022" s="31">
        <v>175564.77000033594</v>
      </c>
      <c r="O2022" s="34">
        <f t="shared" si="268"/>
        <v>0.28523075598927289</v>
      </c>
      <c r="P2022" s="34">
        <f t="shared" si="269"/>
        <v>1</v>
      </c>
      <c r="Q2022" s="34">
        <f t="shared" si="270"/>
        <v>0.71476924401072717</v>
      </c>
      <c r="R2022" s="46">
        <f t="shared" si="271"/>
        <v>11.879340280149938</v>
      </c>
    </row>
    <row r="2023" spans="2:18" ht="12.75" customHeight="1" x14ac:dyDescent="0.25">
      <c r="B2023" s="17" t="s">
        <v>0</v>
      </c>
      <c r="C2023" s="44" t="s">
        <v>12</v>
      </c>
      <c r="D2023" s="22" t="s">
        <v>9</v>
      </c>
      <c r="E2023" s="20">
        <v>2</v>
      </c>
      <c r="F2023" s="17" t="s">
        <v>289</v>
      </c>
      <c r="G2023" s="17" t="s">
        <v>299</v>
      </c>
      <c r="H2023" s="17" t="s">
        <v>300</v>
      </c>
      <c r="I2023" s="17" t="s">
        <v>301</v>
      </c>
      <c r="J2023" s="27" t="s">
        <v>13</v>
      </c>
      <c r="K2023" s="29">
        <v>18140</v>
      </c>
      <c r="L2023" s="31">
        <v>471441.77000004909</v>
      </c>
      <c r="M2023" s="31">
        <v>164136.66000009447</v>
      </c>
      <c r="N2023" s="31">
        <v>164136.66000009447</v>
      </c>
      <c r="O2023" s="34">
        <f t="shared" si="268"/>
        <v>0.3481589253325546</v>
      </c>
      <c r="P2023" s="34">
        <f t="shared" si="269"/>
        <v>1</v>
      </c>
      <c r="Q2023" s="34">
        <f t="shared" si="270"/>
        <v>0.65184107466744545</v>
      </c>
      <c r="R2023" s="46">
        <f t="shared" si="271"/>
        <v>9.0483274531474347</v>
      </c>
    </row>
    <row r="2024" spans="2:18" ht="12.75" customHeight="1" x14ac:dyDescent="0.25">
      <c r="B2024" s="17" t="s">
        <v>0</v>
      </c>
      <c r="C2024" s="44" t="s">
        <v>159</v>
      </c>
      <c r="D2024" s="22" t="s">
        <v>9</v>
      </c>
      <c r="E2024" s="20">
        <v>2</v>
      </c>
      <c r="F2024" s="17" t="s">
        <v>289</v>
      </c>
      <c r="G2024" s="17" t="s">
        <v>299</v>
      </c>
      <c r="H2024" s="17" t="s">
        <v>300</v>
      </c>
      <c r="I2024" s="17" t="s">
        <v>301</v>
      </c>
      <c r="J2024" s="27" t="s">
        <v>160</v>
      </c>
      <c r="K2024" s="29">
        <v>15120</v>
      </c>
      <c r="L2024" s="31">
        <v>902684</v>
      </c>
      <c r="M2024" s="31">
        <v>154860.8800002365</v>
      </c>
      <c r="N2024" s="31">
        <v>154860.8800002365</v>
      </c>
      <c r="O2024" s="34">
        <f t="shared" si="268"/>
        <v>0.17155602625086575</v>
      </c>
      <c r="P2024" s="34">
        <f t="shared" si="269"/>
        <v>1</v>
      </c>
      <c r="Q2024" s="34">
        <f t="shared" si="270"/>
        <v>0.82844397374913425</v>
      </c>
      <c r="R2024" s="46">
        <f t="shared" si="271"/>
        <v>10.242121693137335</v>
      </c>
    </row>
    <row r="2025" spans="2:18" ht="12.75" customHeight="1" x14ac:dyDescent="0.25">
      <c r="B2025" s="17" t="s">
        <v>0</v>
      </c>
      <c r="C2025" s="44" t="s">
        <v>161</v>
      </c>
      <c r="D2025" s="22" t="s">
        <v>9</v>
      </c>
      <c r="E2025" s="20">
        <v>2</v>
      </c>
      <c r="F2025" s="17" t="s">
        <v>289</v>
      </c>
      <c r="G2025" s="17" t="s">
        <v>299</v>
      </c>
      <c r="H2025" s="17" t="s">
        <v>300</v>
      </c>
      <c r="I2025" s="17" t="s">
        <v>301</v>
      </c>
      <c r="J2025" s="27" t="s">
        <v>162</v>
      </c>
      <c r="K2025" s="29">
        <v>8695</v>
      </c>
      <c r="L2025" s="31">
        <v>306822.57999976107</v>
      </c>
      <c r="M2025" s="31">
        <v>82255.839999946795</v>
      </c>
      <c r="N2025" s="31">
        <v>82255.839999946795</v>
      </c>
      <c r="O2025" s="34">
        <f t="shared" si="268"/>
        <v>0.26808926513821391</v>
      </c>
      <c r="P2025" s="34">
        <f t="shared" si="269"/>
        <v>1</v>
      </c>
      <c r="Q2025" s="34">
        <f t="shared" si="270"/>
        <v>0.73191073486178615</v>
      </c>
      <c r="R2025" s="46">
        <f t="shared" si="271"/>
        <v>9.4601311098271186</v>
      </c>
    </row>
    <row r="2026" spans="2:18" ht="12.75" customHeight="1" x14ac:dyDescent="0.25">
      <c r="B2026" s="17" t="s">
        <v>0</v>
      </c>
      <c r="C2026" s="44" t="s">
        <v>44</v>
      </c>
      <c r="D2026" s="22" t="s">
        <v>9</v>
      </c>
      <c r="E2026" s="20">
        <v>2</v>
      </c>
      <c r="F2026" s="17" t="s">
        <v>289</v>
      </c>
      <c r="G2026" s="17" t="s">
        <v>299</v>
      </c>
      <c r="H2026" s="17" t="s">
        <v>300</v>
      </c>
      <c r="I2026" s="17" t="s">
        <v>301</v>
      </c>
      <c r="J2026" s="27" t="s">
        <v>45</v>
      </c>
      <c r="K2026" s="29">
        <v>7202</v>
      </c>
      <c r="L2026" s="31">
        <v>191678.6500003204</v>
      </c>
      <c r="M2026" s="31">
        <v>72085.560000124009</v>
      </c>
      <c r="N2026" s="31">
        <v>71817.070000108011</v>
      </c>
      <c r="O2026" s="34">
        <f t="shared" si="268"/>
        <v>0.37607506104620164</v>
      </c>
      <c r="P2026" s="34">
        <f t="shared" si="269"/>
        <v>0.99627539829037137</v>
      </c>
      <c r="Q2026" s="34">
        <f t="shared" si="270"/>
        <v>0.62392493895379841</v>
      </c>
      <c r="R2026" s="46">
        <f t="shared" si="271"/>
        <v>9.9718231047081378</v>
      </c>
    </row>
    <row r="2027" spans="2:18" ht="12.75" customHeight="1" x14ac:dyDescent="0.25">
      <c r="B2027" s="17" t="s">
        <v>0</v>
      </c>
      <c r="C2027" s="44" t="s">
        <v>135</v>
      </c>
      <c r="D2027" s="22" t="s">
        <v>9</v>
      </c>
      <c r="E2027" s="20">
        <v>2</v>
      </c>
      <c r="F2027" s="17" t="s">
        <v>289</v>
      </c>
      <c r="G2027" s="17" t="s">
        <v>299</v>
      </c>
      <c r="H2027" s="17" t="s">
        <v>300</v>
      </c>
      <c r="I2027" s="17" t="s">
        <v>301</v>
      </c>
      <c r="J2027" s="27" t="s">
        <v>136</v>
      </c>
      <c r="K2027" s="29">
        <v>6892</v>
      </c>
      <c r="L2027" s="31">
        <v>279169.70000000199</v>
      </c>
      <c r="M2027" s="31">
        <v>63575.040000045927</v>
      </c>
      <c r="N2027" s="31">
        <v>63575.040000045927</v>
      </c>
      <c r="O2027" s="34">
        <f t="shared" ref="O2027:O2062" si="272">IFERROR(M2027/L2027,0)</f>
        <v>0.22772901213865787</v>
      </c>
      <c r="P2027" s="34">
        <f t="shared" ref="P2027:P2062" si="273">IFERROR(N2027/M2027,0)</f>
        <v>1</v>
      </c>
      <c r="Q2027" s="34">
        <f t="shared" ref="Q2027:Q2062" si="274">IFERROR(1-(M2027/L2027),0)</f>
        <v>0.77227098786134207</v>
      </c>
      <c r="R2027" s="46">
        <f t="shared" ref="R2027:R2062" si="275">IFERROR(N2027/K2027,0)</f>
        <v>9.224468949513339</v>
      </c>
    </row>
    <row r="2028" spans="2:18" ht="12.75" customHeight="1" x14ac:dyDescent="0.25">
      <c r="B2028" s="17" t="s">
        <v>0</v>
      </c>
      <c r="C2028" s="44" t="s">
        <v>96</v>
      </c>
      <c r="D2028" s="22" t="s">
        <v>9</v>
      </c>
      <c r="E2028" s="20">
        <v>2</v>
      </c>
      <c r="F2028" s="17" t="s">
        <v>289</v>
      </c>
      <c r="G2028" s="17" t="s">
        <v>299</v>
      </c>
      <c r="H2028" s="17" t="s">
        <v>300</v>
      </c>
      <c r="I2028" s="17" t="s">
        <v>301</v>
      </c>
      <c r="J2028" s="27" t="s">
        <v>97</v>
      </c>
      <c r="K2028" s="29">
        <v>5247</v>
      </c>
      <c r="L2028" s="31">
        <v>176287.039999973</v>
      </c>
      <c r="M2028" s="31">
        <v>58184.780000096092</v>
      </c>
      <c r="N2028" s="31">
        <v>58184.780000096092</v>
      </c>
      <c r="O2028" s="34">
        <f t="shared" si="272"/>
        <v>0.33005704786979806</v>
      </c>
      <c r="P2028" s="34">
        <f t="shared" si="273"/>
        <v>1</v>
      </c>
      <c r="Q2028" s="34">
        <f t="shared" si="274"/>
        <v>0.66994295213020194</v>
      </c>
      <c r="R2028" s="46">
        <f t="shared" si="275"/>
        <v>11.089151896340022</v>
      </c>
    </row>
    <row r="2029" spans="2:18" ht="12.75" customHeight="1" x14ac:dyDescent="0.25">
      <c r="B2029" s="17" t="s">
        <v>0</v>
      </c>
      <c r="C2029" s="44" t="s">
        <v>18</v>
      </c>
      <c r="D2029" s="22" t="s">
        <v>9</v>
      </c>
      <c r="E2029" s="20">
        <v>2</v>
      </c>
      <c r="F2029" s="17" t="s">
        <v>289</v>
      </c>
      <c r="G2029" s="17" t="s">
        <v>299</v>
      </c>
      <c r="H2029" s="17" t="s">
        <v>300</v>
      </c>
      <c r="I2029" s="17" t="s">
        <v>301</v>
      </c>
      <c r="J2029" s="27" t="s">
        <v>19</v>
      </c>
      <c r="K2029" s="29">
        <v>9097</v>
      </c>
      <c r="L2029" s="31">
        <v>200154.810000072</v>
      </c>
      <c r="M2029" s="31">
        <v>53435.080000055401</v>
      </c>
      <c r="N2029" s="31">
        <v>53335.0100000604</v>
      </c>
      <c r="O2029" s="34">
        <f t="shared" si="272"/>
        <v>0.26696875283704735</v>
      </c>
      <c r="P2029" s="34">
        <f t="shared" si="273"/>
        <v>0.99812726021941212</v>
      </c>
      <c r="Q2029" s="34">
        <f t="shared" si="274"/>
        <v>0.73303124716295265</v>
      </c>
      <c r="R2029" s="46">
        <f t="shared" si="275"/>
        <v>5.8629229416357482</v>
      </c>
    </row>
    <row r="2030" spans="2:18" ht="12.75" customHeight="1" x14ac:dyDescent="0.25">
      <c r="B2030" s="17" t="s">
        <v>0</v>
      </c>
      <c r="C2030" s="44" t="s">
        <v>90</v>
      </c>
      <c r="D2030" s="22" t="s">
        <v>9</v>
      </c>
      <c r="E2030" s="20">
        <v>2</v>
      </c>
      <c r="F2030" s="17" t="s">
        <v>289</v>
      </c>
      <c r="G2030" s="17" t="s">
        <v>299</v>
      </c>
      <c r="H2030" s="17" t="s">
        <v>300</v>
      </c>
      <c r="I2030" s="17" t="s">
        <v>301</v>
      </c>
      <c r="J2030" s="27" t="s">
        <v>91</v>
      </c>
      <c r="K2030" s="29">
        <v>2677</v>
      </c>
      <c r="L2030" s="31">
        <v>151867.75</v>
      </c>
      <c r="M2030" s="31">
        <v>41457.220000051806</v>
      </c>
      <c r="N2030" s="31">
        <v>41457.220000051806</v>
      </c>
      <c r="O2030" s="34">
        <f t="shared" si="272"/>
        <v>0.27298238105227612</v>
      </c>
      <c r="P2030" s="34">
        <f t="shared" si="273"/>
        <v>1</v>
      </c>
      <c r="Q2030" s="34">
        <f t="shared" si="274"/>
        <v>0.72701761894772388</v>
      </c>
      <c r="R2030" s="46">
        <f t="shared" si="275"/>
        <v>15.486447515895334</v>
      </c>
    </row>
    <row r="2031" spans="2:18" ht="12.75" customHeight="1" x14ac:dyDescent="0.25">
      <c r="B2031" s="17" t="s">
        <v>0</v>
      </c>
      <c r="C2031" s="44" t="s">
        <v>137</v>
      </c>
      <c r="D2031" s="22" t="s">
        <v>9</v>
      </c>
      <c r="E2031" s="20">
        <v>2</v>
      </c>
      <c r="F2031" s="17" t="s">
        <v>289</v>
      </c>
      <c r="G2031" s="17" t="s">
        <v>299</v>
      </c>
      <c r="H2031" s="17" t="s">
        <v>300</v>
      </c>
      <c r="I2031" s="17" t="s">
        <v>301</v>
      </c>
      <c r="J2031" s="27" t="s">
        <v>138</v>
      </c>
      <c r="K2031" s="29">
        <v>3321</v>
      </c>
      <c r="L2031" s="31">
        <v>59315.630000017401</v>
      </c>
      <c r="M2031" s="31">
        <v>29993.930000004697</v>
      </c>
      <c r="N2031" s="31">
        <v>29993.930000004697</v>
      </c>
      <c r="O2031" s="34">
        <f t="shared" si="272"/>
        <v>0.50566655028355756</v>
      </c>
      <c r="P2031" s="34">
        <f t="shared" si="273"/>
        <v>1</v>
      </c>
      <c r="Q2031" s="34">
        <f t="shared" si="274"/>
        <v>0.49433344971644244</v>
      </c>
      <c r="R2031" s="46">
        <f t="shared" si="275"/>
        <v>9.0315959048493522</v>
      </c>
    </row>
    <row r="2032" spans="2:18" ht="12.75" customHeight="1" x14ac:dyDescent="0.25">
      <c r="B2032" s="17" t="s">
        <v>0</v>
      </c>
      <c r="C2032" s="44" t="s">
        <v>62</v>
      </c>
      <c r="D2032" s="22" t="s">
        <v>9</v>
      </c>
      <c r="E2032" s="20">
        <v>2</v>
      </c>
      <c r="F2032" s="17" t="s">
        <v>289</v>
      </c>
      <c r="G2032" s="17" t="s">
        <v>299</v>
      </c>
      <c r="H2032" s="17" t="s">
        <v>300</v>
      </c>
      <c r="I2032" s="17" t="s">
        <v>301</v>
      </c>
      <c r="J2032" s="27" t="s">
        <v>63</v>
      </c>
      <c r="K2032" s="29">
        <v>1459</v>
      </c>
      <c r="L2032" s="31">
        <v>70161.549999980401</v>
      </c>
      <c r="M2032" s="31">
        <v>25454.170000000897</v>
      </c>
      <c r="N2032" s="31">
        <v>25454.170000000897</v>
      </c>
      <c r="O2032" s="34">
        <f t="shared" si="272"/>
        <v>0.36279372391299802</v>
      </c>
      <c r="P2032" s="34">
        <f t="shared" si="273"/>
        <v>1</v>
      </c>
      <c r="Q2032" s="34">
        <f t="shared" si="274"/>
        <v>0.63720627608700198</v>
      </c>
      <c r="R2032" s="46">
        <f t="shared" si="275"/>
        <v>17.446312542838175</v>
      </c>
    </row>
    <row r="2033" spans="2:18" ht="12.75" customHeight="1" x14ac:dyDescent="0.25">
      <c r="B2033" s="17" t="s">
        <v>0</v>
      </c>
      <c r="C2033" s="44" t="s">
        <v>127</v>
      </c>
      <c r="D2033" s="22" t="s">
        <v>9</v>
      </c>
      <c r="E2033" s="20">
        <v>2</v>
      </c>
      <c r="F2033" s="17" t="s">
        <v>289</v>
      </c>
      <c r="G2033" s="17" t="s">
        <v>299</v>
      </c>
      <c r="H2033" s="17" t="s">
        <v>300</v>
      </c>
      <c r="I2033" s="17" t="s">
        <v>301</v>
      </c>
      <c r="J2033" s="27" t="s">
        <v>128</v>
      </c>
      <c r="K2033" s="29">
        <v>1555</v>
      </c>
      <c r="L2033" s="31">
        <v>70211.670000001002</v>
      </c>
      <c r="M2033" s="31">
        <v>24667.370000003</v>
      </c>
      <c r="N2033" s="31">
        <v>24667.370000003</v>
      </c>
      <c r="O2033" s="34">
        <f t="shared" si="272"/>
        <v>0.35132863240544837</v>
      </c>
      <c r="P2033" s="34">
        <f t="shared" si="273"/>
        <v>1</v>
      </c>
      <c r="Q2033" s="34">
        <f t="shared" si="274"/>
        <v>0.64867136759455168</v>
      </c>
      <c r="R2033" s="46">
        <f t="shared" si="275"/>
        <v>15.8632604501627</v>
      </c>
    </row>
    <row r="2034" spans="2:18" ht="12.75" customHeight="1" x14ac:dyDescent="0.25">
      <c r="B2034" s="17" t="s">
        <v>0</v>
      </c>
      <c r="C2034" s="44" t="s">
        <v>92</v>
      </c>
      <c r="D2034" s="22" t="s">
        <v>9</v>
      </c>
      <c r="E2034" s="20">
        <v>2</v>
      </c>
      <c r="F2034" s="17" t="s">
        <v>289</v>
      </c>
      <c r="G2034" s="17" t="s">
        <v>299</v>
      </c>
      <c r="H2034" s="17" t="s">
        <v>300</v>
      </c>
      <c r="I2034" s="17" t="s">
        <v>301</v>
      </c>
      <c r="J2034" s="27" t="s">
        <v>93</v>
      </c>
      <c r="K2034" s="29">
        <v>2112</v>
      </c>
      <c r="L2034" s="31">
        <v>67193.389999991996</v>
      </c>
      <c r="M2034" s="31">
        <v>23014.559999993497</v>
      </c>
      <c r="N2034" s="31">
        <v>23014.559999993497</v>
      </c>
      <c r="O2034" s="34">
        <f t="shared" si="272"/>
        <v>0.34251226199476226</v>
      </c>
      <c r="P2034" s="34">
        <f t="shared" si="273"/>
        <v>1</v>
      </c>
      <c r="Q2034" s="34">
        <f t="shared" si="274"/>
        <v>0.65748773800523774</v>
      </c>
      <c r="R2034" s="46">
        <f t="shared" si="275"/>
        <v>10.897045454542376</v>
      </c>
    </row>
    <row r="2035" spans="2:18" ht="12.75" customHeight="1" x14ac:dyDescent="0.25">
      <c r="B2035" s="17" t="s">
        <v>0</v>
      </c>
      <c r="C2035" s="44" t="s">
        <v>36</v>
      </c>
      <c r="D2035" s="22" t="s">
        <v>9</v>
      </c>
      <c r="E2035" s="20">
        <v>2</v>
      </c>
      <c r="F2035" s="17" t="s">
        <v>289</v>
      </c>
      <c r="G2035" s="17" t="s">
        <v>299</v>
      </c>
      <c r="H2035" s="17" t="s">
        <v>300</v>
      </c>
      <c r="I2035" s="17" t="s">
        <v>301</v>
      </c>
      <c r="J2035" s="27" t="s">
        <v>37</v>
      </c>
      <c r="K2035" s="29">
        <v>2089</v>
      </c>
      <c r="L2035" s="31">
        <v>71747.380000011995</v>
      </c>
      <c r="M2035" s="31">
        <v>20795.2599999837</v>
      </c>
      <c r="N2035" s="31">
        <v>20795.2599999837</v>
      </c>
      <c r="O2035" s="34">
        <f t="shared" si="272"/>
        <v>0.28983999136944405</v>
      </c>
      <c r="P2035" s="34">
        <f t="shared" si="273"/>
        <v>1</v>
      </c>
      <c r="Q2035" s="34">
        <f t="shared" si="274"/>
        <v>0.71016000863055595</v>
      </c>
      <c r="R2035" s="46">
        <f t="shared" si="275"/>
        <v>9.9546481570051224</v>
      </c>
    </row>
    <row r="2036" spans="2:18" ht="12.75" customHeight="1" x14ac:dyDescent="0.25">
      <c r="B2036" s="17" t="s">
        <v>0</v>
      </c>
      <c r="C2036" s="44" t="s">
        <v>22</v>
      </c>
      <c r="D2036" s="22" t="s">
        <v>9</v>
      </c>
      <c r="E2036" s="20">
        <v>2</v>
      </c>
      <c r="F2036" s="17" t="s">
        <v>289</v>
      </c>
      <c r="G2036" s="17" t="s">
        <v>299</v>
      </c>
      <c r="H2036" s="17" t="s">
        <v>300</v>
      </c>
      <c r="I2036" s="17" t="s">
        <v>301</v>
      </c>
      <c r="J2036" s="27" t="s">
        <v>23</v>
      </c>
      <c r="K2036" s="29">
        <v>2279</v>
      </c>
      <c r="L2036" s="31">
        <v>51935.229999921889</v>
      </c>
      <c r="M2036" s="31">
        <v>16733.030000071012</v>
      </c>
      <c r="N2036" s="31">
        <v>16733.030000071012</v>
      </c>
      <c r="O2036" s="34">
        <f t="shared" si="272"/>
        <v>0.32219035132984253</v>
      </c>
      <c r="P2036" s="34">
        <f t="shared" si="273"/>
        <v>1</v>
      </c>
      <c r="Q2036" s="34">
        <f t="shared" si="274"/>
        <v>0.67780964867015747</v>
      </c>
      <c r="R2036" s="46">
        <f t="shared" si="275"/>
        <v>7.3422685388639808</v>
      </c>
    </row>
    <row r="2037" spans="2:18" ht="12.75" customHeight="1" x14ac:dyDescent="0.25">
      <c r="B2037" s="17" t="s">
        <v>0</v>
      </c>
      <c r="C2037" s="44" t="s">
        <v>32</v>
      </c>
      <c r="D2037" s="22" t="s">
        <v>9</v>
      </c>
      <c r="E2037" s="20">
        <v>2</v>
      </c>
      <c r="F2037" s="17" t="s">
        <v>289</v>
      </c>
      <c r="G2037" s="17" t="s">
        <v>299</v>
      </c>
      <c r="H2037" s="17" t="s">
        <v>300</v>
      </c>
      <c r="I2037" s="17" t="s">
        <v>301</v>
      </c>
      <c r="J2037" s="27" t="s">
        <v>33</v>
      </c>
      <c r="K2037" s="29">
        <v>2277</v>
      </c>
      <c r="L2037" s="31">
        <v>40919.940000052993</v>
      </c>
      <c r="M2037" s="31">
        <v>15738.270000013601</v>
      </c>
      <c r="N2037" s="31">
        <v>15738.270000013601</v>
      </c>
      <c r="O2037" s="34">
        <f t="shared" si="272"/>
        <v>0.38461126775829141</v>
      </c>
      <c r="P2037" s="34">
        <f t="shared" si="273"/>
        <v>1</v>
      </c>
      <c r="Q2037" s="34">
        <f t="shared" si="274"/>
        <v>0.61538873224170865</v>
      </c>
      <c r="R2037" s="46">
        <f t="shared" si="275"/>
        <v>6.9118445322852882</v>
      </c>
    </row>
    <row r="2038" spans="2:18" ht="12.75" customHeight="1" x14ac:dyDescent="0.25">
      <c r="B2038" s="17" t="s">
        <v>0</v>
      </c>
      <c r="C2038" s="44" t="s">
        <v>38</v>
      </c>
      <c r="D2038" s="22" t="s">
        <v>9</v>
      </c>
      <c r="E2038" s="20">
        <v>2</v>
      </c>
      <c r="F2038" s="17" t="s">
        <v>289</v>
      </c>
      <c r="G2038" s="17" t="s">
        <v>299</v>
      </c>
      <c r="H2038" s="17" t="s">
        <v>300</v>
      </c>
      <c r="I2038" s="17" t="s">
        <v>301</v>
      </c>
      <c r="J2038" s="27" t="s">
        <v>39</v>
      </c>
      <c r="K2038" s="29">
        <v>1750</v>
      </c>
      <c r="L2038" s="31">
        <v>54880.999999997002</v>
      </c>
      <c r="M2038" s="31">
        <v>13685.690000078899</v>
      </c>
      <c r="N2038" s="31">
        <v>13685.690000078899</v>
      </c>
      <c r="O2038" s="34">
        <f t="shared" si="272"/>
        <v>0.24937027386672339</v>
      </c>
      <c r="P2038" s="34">
        <f t="shared" si="273"/>
        <v>1</v>
      </c>
      <c r="Q2038" s="34">
        <f t="shared" si="274"/>
        <v>0.75062972613327661</v>
      </c>
      <c r="R2038" s="46">
        <f t="shared" si="275"/>
        <v>7.8203942857593711</v>
      </c>
    </row>
    <row r="2039" spans="2:18" ht="12.75" customHeight="1" x14ac:dyDescent="0.25">
      <c r="B2039" s="17" t="s">
        <v>0</v>
      </c>
      <c r="C2039" s="44" t="s">
        <v>151</v>
      </c>
      <c r="D2039" s="22" t="s">
        <v>9</v>
      </c>
      <c r="E2039" s="20">
        <v>2</v>
      </c>
      <c r="F2039" s="17" t="s">
        <v>289</v>
      </c>
      <c r="G2039" s="17" t="s">
        <v>299</v>
      </c>
      <c r="H2039" s="17" t="s">
        <v>300</v>
      </c>
      <c r="I2039" s="17" t="s">
        <v>301</v>
      </c>
      <c r="J2039" s="27" t="s">
        <v>152</v>
      </c>
      <c r="K2039" s="29">
        <v>1555</v>
      </c>
      <c r="L2039" s="31">
        <v>60315.470000005997</v>
      </c>
      <c r="M2039" s="31">
        <v>13150.480000047201</v>
      </c>
      <c r="N2039" s="31">
        <v>13150.480000047201</v>
      </c>
      <c r="O2039" s="34">
        <f t="shared" si="272"/>
        <v>0.21802831015071081</v>
      </c>
      <c r="P2039" s="34">
        <f t="shared" si="273"/>
        <v>1</v>
      </c>
      <c r="Q2039" s="34">
        <f t="shared" si="274"/>
        <v>0.78197168984928922</v>
      </c>
      <c r="R2039" s="46">
        <f t="shared" si="275"/>
        <v>8.4569003215737624</v>
      </c>
    </row>
    <row r="2040" spans="2:18" ht="12.75" customHeight="1" x14ac:dyDescent="0.25">
      <c r="B2040" s="17" t="s">
        <v>0</v>
      </c>
      <c r="C2040" s="44" t="s">
        <v>236</v>
      </c>
      <c r="D2040" s="22" t="s">
        <v>9</v>
      </c>
      <c r="E2040" s="20">
        <v>2</v>
      </c>
      <c r="F2040" s="17" t="s">
        <v>289</v>
      </c>
      <c r="G2040" s="17" t="s">
        <v>299</v>
      </c>
      <c r="H2040" s="17" t="s">
        <v>300</v>
      </c>
      <c r="I2040" s="17" t="s">
        <v>301</v>
      </c>
      <c r="J2040" s="27" t="s">
        <v>237</v>
      </c>
      <c r="K2040" s="29">
        <v>1442</v>
      </c>
      <c r="L2040" s="31">
        <v>37890.5</v>
      </c>
      <c r="M2040" s="31">
        <v>12417.890000022</v>
      </c>
      <c r="N2040" s="31">
        <v>12417.890000022</v>
      </c>
      <c r="O2040" s="34">
        <f t="shared" si="272"/>
        <v>0.32773096158725801</v>
      </c>
      <c r="P2040" s="34">
        <f t="shared" si="273"/>
        <v>1</v>
      </c>
      <c r="Q2040" s="34">
        <f t="shared" si="274"/>
        <v>0.67226903841274199</v>
      </c>
      <c r="R2040" s="46">
        <f t="shared" si="275"/>
        <v>8.6115742025117896</v>
      </c>
    </row>
    <row r="2041" spans="2:18" ht="12.75" customHeight="1" x14ac:dyDescent="0.25">
      <c r="B2041" s="17" t="s">
        <v>0</v>
      </c>
      <c r="C2041" s="44" t="s">
        <v>176</v>
      </c>
      <c r="D2041" s="22" t="s">
        <v>9</v>
      </c>
      <c r="E2041" s="20">
        <v>2</v>
      </c>
      <c r="F2041" s="17" t="s">
        <v>289</v>
      </c>
      <c r="G2041" s="17" t="s">
        <v>299</v>
      </c>
      <c r="H2041" s="17" t="s">
        <v>300</v>
      </c>
      <c r="I2041" s="17" t="s">
        <v>301</v>
      </c>
      <c r="J2041" s="27" t="s">
        <v>177</v>
      </c>
      <c r="K2041" s="29">
        <v>1353</v>
      </c>
      <c r="L2041" s="31">
        <v>51661.35</v>
      </c>
      <c r="M2041" s="31">
        <v>12148.149999974699</v>
      </c>
      <c r="N2041" s="31">
        <v>12148.149999974699</v>
      </c>
      <c r="O2041" s="34">
        <f t="shared" si="272"/>
        <v>0.23514968153125498</v>
      </c>
      <c r="P2041" s="34">
        <f t="shared" si="273"/>
        <v>1</v>
      </c>
      <c r="Q2041" s="34">
        <f t="shared" si="274"/>
        <v>0.76485031846874496</v>
      </c>
      <c r="R2041" s="46">
        <f t="shared" si="275"/>
        <v>8.9786770140241678</v>
      </c>
    </row>
    <row r="2042" spans="2:18" ht="12.75" customHeight="1" x14ac:dyDescent="0.25">
      <c r="B2042" s="17" t="s">
        <v>0</v>
      </c>
      <c r="C2042" s="44" t="s">
        <v>103</v>
      </c>
      <c r="D2042" s="22" t="s">
        <v>9</v>
      </c>
      <c r="E2042" s="20">
        <v>2</v>
      </c>
      <c r="F2042" s="17" t="s">
        <v>289</v>
      </c>
      <c r="G2042" s="17" t="s">
        <v>299</v>
      </c>
      <c r="H2042" s="17" t="s">
        <v>300</v>
      </c>
      <c r="I2042" s="17" t="s">
        <v>301</v>
      </c>
      <c r="J2042" s="27" t="s">
        <v>104</v>
      </c>
      <c r="K2042" s="29">
        <v>1294</v>
      </c>
      <c r="L2042" s="31">
        <v>40945</v>
      </c>
      <c r="M2042" s="31">
        <v>11713.509999996</v>
      </c>
      <c r="N2042" s="31">
        <v>11713.509999996</v>
      </c>
      <c r="O2042" s="34">
        <f t="shared" si="272"/>
        <v>0.28607913054087192</v>
      </c>
      <c r="P2042" s="34">
        <f t="shared" si="273"/>
        <v>1</v>
      </c>
      <c r="Q2042" s="34">
        <f t="shared" si="274"/>
        <v>0.71392086945912814</v>
      </c>
      <c r="R2042" s="46">
        <f t="shared" si="275"/>
        <v>9.0521715610479134</v>
      </c>
    </row>
    <row r="2043" spans="2:18" ht="12.75" customHeight="1" x14ac:dyDescent="0.25">
      <c r="B2043" s="17" t="s">
        <v>0</v>
      </c>
      <c r="C2043" s="44" t="s">
        <v>82</v>
      </c>
      <c r="D2043" s="22" t="s">
        <v>9</v>
      </c>
      <c r="E2043" s="20">
        <v>2</v>
      </c>
      <c r="F2043" s="17" t="s">
        <v>289</v>
      </c>
      <c r="G2043" s="17" t="s">
        <v>299</v>
      </c>
      <c r="H2043" s="17" t="s">
        <v>300</v>
      </c>
      <c r="I2043" s="17" t="s">
        <v>301</v>
      </c>
      <c r="J2043" s="27" t="s">
        <v>83</v>
      </c>
      <c r="K2043" s="29">
        <v>1566</v>
      </c>
      <c r="L2043" s="31">
        <v>36875.929999982</v>
      </c>
      <c r="M2043" s="31">
        <v>10744.1499999889</v>
      </c>
      <c r="N2043" s="31">
        <v>10744.1499999889</v>
      </c>
      <c r="O2043" s="34">
        <f t="shared" si="272"/>
        <v>0.29135943147723042</v>
      </c>
      <c r="P2043" s="34">
        <f t="shared" si="273"/>
        <v>1</v>
      </c>
      <c r="Q2043" s="34">
        <f t="shared" si="274"/>
        <v>0.70864056852276958</v>
      </c>
      <c r="R2043" s="46">
        <f t="shared" si="275"/>
        <v>6.8608876117425925</v>
      </c>
    </row>
    <row r="2044" spans="2:18" ht="12.75" customHeight="1" x14ac:dyDescent="0.25">
      <c r="B2044" s="17" t="s">
        <v>0</v>
      </c>
      <c r="C2044" s="44" t="s">
        <v>68</v>
      </c>
      <c r="D2044" s="22" t="s">
        <v>9</v>
      </c>
      <c r="E2044" s="20">
        <v>2</v>
      </c>
      <c r="F2044" s="17" t="s">
        <v>289</v>
      </c>
      <c r="G2044" s="17" t="s">
        <v>299</v>
      </c>
      <c r="H2044" s="17" t="s">
        <v>300</v>
      </c>
      <c r="I2044" s="17" t="s">
        <v>301</v>
      </c>
      <c r="J2044" s="27" t="s">
        <v>69</v>
      </c>
      <c r="K2044" s="29">
        <v>685</v>
      </c>
      <c r="L2044" s="31">
        <v>34716</v>
      </c>
      <c r="M2044" s="31">
        <v>8364.0500000238007</v>
      </c>
      <c r="N2044" s="31">
        <v>8364.0500000238007</v>
      </c>
      <c r="O2044" s="34">
        <f t="shared" si="272"/>
        <v>0.24092781426500176</v>
      </c>
      <c r="P2044" s="34">
        <f t="shared" si="273"/>
        <v>1</v>
      </c>
      <c r="Q2044" s="34">
        <f t="shared" si="274"/>
        <v>0.75907218573499824</v>
      </c>
      <c r="R2044" s="46">
        <f t="shared" si="275"/>
        <v>12.210291970837666</v>
      </c>
    </row>
    <row r="2045" spans="2:18" ht="12.75" customHeight="1" x14ac:dyDescent="0.25">
      <c r="B2045" s="17" t="s">
        <v>0</v>
      </c>
      <c r="C2045" s="44" t="s">
        <v>170</v>
      </c>
      <c r="D2045" s="22" t="s">
        <v>9</v>
      </c>
      <c r="E2045" s="20">
        <v>2</v>
      </c>
      <c r="F2045" s="17" t="s">
        <v>289</v>
      </c>
      <c r="G2045" s="17" t="s">
        <v>299</v>
      </c>
      <c r="H2045" s="17" t="s">
        <v>300</v>
      </c>
      <c r="I2045" s="17" t="s">
        <v>301</v>
      </c>
      <c r="J2045" s="27" t="s">
        <v>171</v>
      </c>
      <c r="K2045" s="29">
        <v>546</v>
      </c>
      <c r="L2045" s="31">
        <v>13537</v>
      </c>
      <c r="M2045" s="31">
        <v>5869.26</v>
      </c>
      <c r="N2045" s="31">
        <v>5869.26</v>
      </c>
      <c r="O2045" s="34">
        <f t="shared" si="272"/>
        <v>0.43357169239861121</v>
      </c>
      <c r="P2045" s="34">
        <f t="shared" si="273"/>
        <v>1</v>
      </c>
      <c r="Q2045" s="34">
        <f t="shared" si="274"/>
        <v>0.56642830760138874</v>
      </c>
      <c r="R2045" s="46">
        <f t="shared" si="275"/>
        <v>10.74956043956044</v>
      </c>
    </row>
    <row r="2046" spans="2:18" ht="12.75" customHeight="1" x14ac:dyDescent="0.25">
      <c r="B2046" s="17" t="s">
        <v>0</v>
      </c>
      <c r="C2046" s="44" t="s">
        <v>182</v>
      </c>
      <c r="D2046" s="22" t="s">
        <v>9</v>
      </c>
      <c r="E2046" s="20">
        <v>2</v>
      </c>
      <c r="F2046" s="17" t="s">
        <v>289</v>
      </c>
      <c r="G2046" s="17" t="s">
        <v>299</v>
      </c>
      <c r="H2046" s="17" t="s">
        <v>300</v>
      </c>
      <c r="I2046" s="17" t="s">
        <v>301</v>
      </c>
      <c r="J2046" s="27" t="s">
        <v>183</v>
      </c>
      <c r="K2046" s="29">
        <v>407</v>
      </c>
      <c r="L2046" s="31">
        <v>18926</v>
      </c>
      <c r="M2046" s="31">
        <v>5105.9799999990009</v>
      </c>
      <c r="N2046" s="31">
        <v>5105.9799999990009</v>
      </c>
      <c r="O2046" s="34">
        <f t="shared" si="272"/>
        <v>0.26978653703894118</v>
      </c>
      <c r="P2046" s="34">
        <f t="shared" si="273"/>
        <v>1</v>
      </c>
      <c r="Q2046" s="34">
        <f t="shared" si="274"/>
        <v>0.73021346296105882</v>
      </c>
      <c r="R2046" s="46">
        <f t="shared" si="275"/>
        <v>12.545405405402951</v>
      </c>
    </row>
    <row r="2047" spans="2:18" ht="12.75" customHeight="1" x14ac:dyDescent="0.25">
      <c r="B2047" s="17" t="s">
        <v>0</v>
      </c>
      <c r="C2047" s="44" t="s">
        <v>155</v>
      </c>
      <c r="D2047" s="22" t="s">
        <v>9</v>
      </c>
      <c r="E2047" s="20">
        <v>2</v>
      </c>
      <c r="F2047" s="17" t="s">
        <v>289</v>
      </c>
      <c r="G2047" s="17" t="s">
        <v>299</v>
      </c>
      <c r="H2047" s="17" t="s">
        <v>300</v>
      </c>
      <c r="I2047" s="17" t="s">
        <v>301</v>
      </c>
      <c r="J2047" s="27" t="s">
        <v>156</v>
      </c>
      <c r="K2047" s="29">
        <v>372</v>
      </c>
      <c r="L2047" s="31">
        <v>18373.000000002001</v>
      </c>
      <c r="M2047" s="31">
        <v>4603.3100000067998</v>
      </c>
      <c r="N2047" s="31">
        <v>4603.3100000067998</v>
      </c>
      <c r="O2047" s="34">
        <f t="shared" si="272"/>
        <v>0.25054754259001244</v>
      </c>
      <c r="P2047" s="34">
        <f t="shared" si="273"/>
        <v>1</v>
      </c>
      <c r="Q2047" s="34">
        <f t="shared" si="274"/>
        <v>0.74945245740998756</v>
      </c>
      <c r="R2047" s="46">
        <f t="shared" si="275"/>
        <v>12.374489247330107</v>
      </c>
    </row>
    <row r="2048" spans="2:18" ht="12.75" customHeight="1" x14ac:dyDescent="0.25">
      <c r="B2048" s="17" t="s">
        <v>0</v>
      </c>
      <c r="C2048" s="44" t="s">
        <v>72</v>
      </c>
      <c r="D2048" s="22" t="s">
        <v>9</v>
      </c>
      <c r="E2048" s="20">
        <v>2</v>
      </c>
      <c r="F2048" s="17" t="s">
        <v>289</v>
      </c>
      <c r="G2048" s="17" t="s">
        <v>299</v>
      </c>
      <c r="H2048" s="17" t="s">
        <v>300</v>
      </c>
      <c r="I2048" s="17" t="s">
        <v>301</v>
      </c>
      <c r="J2048" s="27" t="s">
        <v>73</v>
      </c>
      <c r="K2048" s="29">
        <v>255</v>
      </c>
      <c r="L2048" s="31">
        <v>13058.00000016</v>
      </c>
      <c r="M2048" s="31">
        <v>3639.2000000099997</v>
      </c>
      <c r="N2048" s="31">
        <v>3639.2000000099997</v>
      </c>
      <c r="O2048" s="34">
        <f t="shared" si="272"/>
        <v>0.27869505283852108</v>
      </c>
      <c r="P2048" s="34">
        <f t="shared" si="273"/>
        <v>1</v>
      </c>
      <c r="Q2048" s="34">
        <f t="shared" si="274"/>
        <v>0.72130494716147897</v>
      </c>
      <c r="R2048" s="46">
        <f t="shared" si="275"/>
        <v>14.271372549058823</v>
      </c>
    </row>
    <row r="2049" spans="2:18" ht="12.75" customHeight="1" x14ac:dyDescent="0.25">
      <c r="B2049" s="17" t="s">
        <v>0</v>
      </c>
      <c r="C2049" s="44" t="s">
        <v>250</v>
      </c>
      <c r="D2049" s="22" t="s">
        <v>9</v>
      </c>
      <c r="E2049" s="20">
        <v>2</v>
      </c>
      <c r="F2049" s="17" t="s">
        <v>289</v>
      </c>
      <c r="G2049" s="17" t="s">
        <v>299</v>
      </c>
      <c r="H2049" s="17" t="s">
        <v>300</v>
      </c>
      <c r="I2049" s="17" t="s">
        <v>301</v>
      </c>
      <c r="J2049" s="27" t="s">
        <v>251</v>
      </c>
      <c r="K2049" s="29">
        <v>251</v>
      </c>
      <c r="L2049" s="31">
        <v>8775.000000004</v>
      </c>
      <c r="M2049" s="31">
        <v>2682.21</v>
      </c>
      <c r="N2049" s="31">
        <v>2682.21</v>
      </c>
      <c r="O2049" s="34">
        <f t="shared" si="272"/>
        <v>0.30566495726481796</v>
      </c>
      <c r="P2049" s="34">
        <f t="shared" si="273"/>
        <v>1</v>
      </c>
      <c r="Q2049" s="34">
        <f t="shared" si="274"/>
        <v>0.69433504273518198</v>
      </c>
      <c r="R2049" s="46">
        <f t="shared" si="275"/>
        <v>10.686095617529881</v>
      </c>
    </row>
    <row r="2050" spans="2:18" ht="12.75" customHeight="1" x14ac:dyDescent="0.25">
      <c r="B2050" s="17" t="s">
        <v>0</v>
      </c>
      <c r="C2050" s="44" t="s">
        <v>64</v>
      </c>
      <c r="D2050" s="22" t="s">
        <v>9</v>
      </c>
      <c r="E2050" s="20">
        <v>2</v>
      </c>
      <c r="F2050" s="17" t="s">
        <v>289</v>
      </c>
      <c r="G2050" s="17" t="s">
        <v>299</v>
      </c>
      <c r="H2050" s="17" t="s">
        <v>300</v>
      </c>
      <c r="I2050" s="17" t="s">
        <v>301</v>
      </c>
      <c r="J2050" s="27" t="s">
        <v>65</v>
      </c>
      <c r="K2050" s="29">
        <v>310</v>
      </c>
      <c r="L2050" s="31">
        <v>7230</v>
      </c>
      <c r="M2050" s="31">
        <v>2681.5</v>
      </c>
      <c r="N2050" s="31">
        <v>2681.5</v>
      </c>
      <c r="O2050" s="34">
        <f t="shared" si="272"/>
        <v>0.37088520055325036</v>
      </c>
      <c r="P2050" s="34">
        <f t="shared" si="273"/>
        <v>1</v>
      </c>
      <c r="Q2050" s="34">
        <f t="shared" si="274"/>
        <v>0.62911479944674964</v>
      </c>
      <c r="R2050" s="46">
        <f t="shared" si="275"/>
        <v>8.65</v>
      </c>
    </row>
    <row r="2051" spans="2:18" ht="12.75" customHeight="1" x14ac:dyDescent="0.25">
      <c r="B2051" s="17" t="s">
        <v>0</v>
      </c>
      <c r="C2051" s="44" t="s">
        <v>40</v>
      </c>
      <c r="D2051" s="22" t="s">
        <v>9</v>
      </c>
      <c r="E2051" s="20">
        <v>2</v>
      </c>
      <c r="F2051" s="17" t="s">
        <v>289</v>
      </c>
      <c r="G2051" s="17" t="s">
        <v>299</v>
      </c>
      <c r="H2051" s="17" t="s">
        <v>300</v>
      </c>
      <c r="I2051" s="17" t="s">
        <v>301</v>
      </c>
      <c r="J2051" s="27" t="s">
        <v>41</v>
      </c>
      <c r="K2051" s="29">
        <v>94</v>
      </c>
      <c r="L2051" s="31">
        <v>3973.5600000009999</v>
      </c>
      <c r="M2051" s="31">
        <v>1887.7</v>
      </c>
      <c r="N2051" s="31">
        <v>1887.7</v>
      </c>
      <c r="O2051" s="34">
        <f t="shared" si="272"/>
        <v>0.4750651808452685</v>
      </c>
      <c r="P2051" s="34">
        <f t="shared" si="273"/>
        <v>1</v>
      </c>
      <c r="Q2051" s="34">
        <f t="shared" si="274"/>
        <v>0.5249348191547315</v>
      </c>
      <c r="R2051" s="46">
        <f t="shared" si="275"/>
        <v>20.081914893617022</v>
      </c>
    </row>
    <row r="2052" spans="2:18" ht="12.75" customHeight="1" x14ac:dyDescent="0.25">
      <c r="B2052" s="17" t="s">
        <v>0</v>
      </c>
      <c r="C2052" s="44" t="s">
        <v>42</v>
      </c>
      <c r="D2052" s="22" t="s">
        <v>9</v>
      </c>
      <c r="E2052" s="20">
        <v>2</v>
      </c>
      <c r="F2052" s="17" t="s">
        <v>289</v>
      </c>
      <c r="G2052" s="17" t="s">
        <v>299</v>
      </c>
      <c r="H2052" s="17" t="s">
        <v>300</v>
      </c>
      <c r="I2052" s="17" t="s">
        <v>301</v>
      </c>
      <c r="J2052" s="27" t="s">
        <v>43</v>
      </c>
      <c r="K2052" s="29">
        <v>140</v>
      </c>
      <c r="L2052" s="31">
        <v>2100</v>
      </c>
      <c r="M2052" s="31">
        <v>1211</v>
      </c>
      <c r="N2052" s="31">
        <v>1211</v>
      </c>
      <c r="O2052" s="34">
        <f t="shared" si="272"/>
        <v>0.57666666666666666</v>
      </c>
      <c r="P2052" s="34">
        <f t="shared" si="273"/>
        <v>1</v>
      </c>
      <c r="Q2052" s="34">
        <f t="shared" si="274"/>
        <v>0.42333333333333334</v>
      </c>
      <c r="R2052" s="46">
        <f t="shared" si="275"/>
        <v>8.65</v>
      </c>
    </row>
    <row r="2053" spans="2:18" ht="12.75" customHeight="1" x14ac:dyDescent="0.25">
      <c r="B2053" s="17" t="s">
        <v>0</v>
      </c>
      <c r="C2053" s="44" t="s">
        <v>153</v>
      </c>
      <c r="D2053" s="22" t="s">
        <v>9</v>
      </c>
      <c r="E2053" s="20">
        <v>2</v>
      </c>
      <c r="F2053" s="17" t="s">
        <v>289</v>
      </c>
      <c r="G2053" s="17" t="s">
        <v>299</v>
      </c>
      <c r="H2053" s="17" t="s">
        <v>300</v>
      </c>
      <c r="I2053" s="17" t="s">
        <v>301</v>
      </c>
      <c r="J2053" s="27" t="s">
        <v>154</v>
      </c>
      <c r="K2053" s="29">
        <v>80</v>
      </c>
      <c r="L2053" s="31">
        <v>3976</v>
      </c>
      <c r="M2053" s="31">
        <v>645.58999999599996</v>
      </c>
      <c r="N2053" s="31">
        <v>645.58999999599996</v>
      </c>
      <c r="O2053" s="34">
        <f t="shared" si="272"/>
        <v>0.16237173038128772</v>
      </c>
      <c r="P2053" s="34">
        <f t="shared" si="273"/>
        <v>1</v>
      </c>
      <c r="Q2053" s="34">
        <f t="shared" si="274"/>
        <v>0.83762826961871228</v>
      </c>
      <c r="R2053" s="46">
        <f t="shared" si="275"/>
        <v>8.0698749999499988</v>
      </c>
    </row>
    <row r="2054" spans="2:18" ht="12.75" customHeight="1" x14ac:dyDescent="0.25">
      <c r="B2054" s="17" t="s">
        <v>0</v>
      </c>
      <c r="C2054" s="44" t="s">
        <v>105</v>
      </c>
      <c r="D2054" s="22" t="s">
        <v>9</v>
      </c>
      <c r="E2054" s="20">
        <v>2</v>
      </c>
      <c r="F2054" s="17" t="s">
        <v>289</v>
      </c>
      <c r="G2054" s="17" t="s">
        <v>299</v>
      </c>
      <c r="H2054" s="17" t="s">
        <v>300</v>
      </c>
      <c r="I2054" s="17" t="s">
        <v>301</v>
      </c>
      <c r="J2054" s="27" t="s">
        <v>106</v>
      </c>
      <c r="K2054" s="29">
        <v>88</v>
      </c>
      <c r="L2054" s="31">
        <v>2090</v>
      </c>
      <c r="M2054" s="31">
        <v>625.68999999999994</v>
      </c>
      <c r="N2054" s="31">
        <v>625.68999999999994</v>
      </c>
      <c r="O2054" s="34">
        <f t="shared" si="272"/>
        <v>0.29937320574162679</v>
      </c>
      <c r="P2054" s="34">
        <f t="shared" si="273"/>
        <v>1</v>
      </c>
      <c r="Q2054" s="34">
        <f t="shared" si="274"/>
        <v>0.70062679425837326</v>
      </c>
      <c r="R2054" s="46">
        <f t="shared" si="275"/>
        <v>7.1101136363636357</v>
      </c>
    </row>
    <row r="2055" spans="2:18" ht="12.75" customHeight="1" x14ac:dyDescent="0.25">
      <c r="B2055" s="17" t="s">
        <v>0</v>
      </c>
      <c r="C2055" s="44" t="s">
        <v>191</v>
      </c>
      <c r="D2055" s="22" t="s">
        <v>9</v>
      </c>
      <c r="E2055" s="20">
        <v>2</v>
      </c>
      <c r="F2055" s="17" t="s">
        <v>289</v>
      </c>
      <c r="G2055" s="17" t="s">
        <v>299</v>
      </c>
      <c r="H2055" s="17" t="s">
        <v>300</v>
      </c>
      <c r="I2055" s="17" t="s">
        <v>301</v>
      </c>
      <c r="J2055" s="27" t="s">
        <v>192</v>
      </c>
      <c r="K2055" s="29">
        <v>63</v>
      </c>
      <c r="L2055" s="31">
        <v>1300.000000004</v>
      </c>
      <c r="M2055" s="31">
        <v>544.95000000000005</v>
      </c>
      <c r="N2055" s="31">
        <v>544.95000000000005</v>
      </c>
      <c r="O2055" s="34">
        <f t="shared" si="272"/>
        <v>0.4191923076910179</v>
      </c>
      <c r="P2055" s="34">
        <f t="shared" si="273"/>
        <v>1</v>
      </c>
      <c r="Q2055" s="34">
        <f t="shared" si="274"/>
        <v>0.5808076923089821</v>
      </c>
      <c r="R2055" s="46">
        <f t="shared" si="275"/>
        <v>8.65</v>
      </c>
    </row>
    <row r="2056" spans="2:18" ht="12.75" customHeight="1" x14ac:dyDescent="0.25">
      <c r="B2056" s="17" t="s">
        <v>0</v>
      </c>
      <c r="C2056" s="44" t="s">
        <v>52</v>
      </c>
      <c r="D2056" s="22" t="s">
        <v>9</v>
      </c>
      <c r="E2056" s="20">
        <v>2</v>
      </c>
      <c r="F2056" s="17" t="s">
        <v>289</v>
      </c>
      <c r="G2056" s="17" t="s">
        <v>299</v>
      </c>
      <c r="H2056" s="17" t="s">
        <v>300</v>
      </c>
      <c r="I2056" s="17" t="s">
        <v>301</v>
      </c>
      <c r="J2056" s="27" t="s">
        <v>53</v>
      </c>
      <c r="K2056" s="29">
        <v>115</v>
      </c>
      <c r="L2056" s="31">
        <v>1150</v>
      </c>
      <c r="M2056" s="31">
        <v>483.01999999500003</v>
      </c>
      <c r="N2056" s="31">
        <v>483.01999999500003</v>
      </c>
      <c r="O2056" s="34">
        <f t="shared" si="272"/>
        <v>0.42001739130000004</v>
      </c>
      <c r="P2056" s="34">
        <f t="shared" si="273"/>
        <v>1</v>
      </c>
      <c r="Q2056" s="34">
        <f t="shared" si="274"/>
        <v>0.57998260869999996</v>
      </c>
      <c r="R2056" s="46">
        <f t="shared" si="275"/>
        <v>4.2001739130000004</v>
      </c>
    </row>
    <row r="2057" spans="2:18" ht="12.75" customHeight="1" x14ac:dyDescent="0.25">
      <c r="B2057" s="17" t="s">
        <v>0</v>
      </c>
      <c r="C2057" s="44" t="s">
        <v>30</v>
      </c>
      <c r="D2057" s="22" t="s">
        <v>2</v>
      </c>
      <c r="E2057" s="20">
        <v>1</v>
      </c>
      <c r="F2057" s="17" t="s">
        <v>289</v>
      </c>
      <c r="G2057" s="17" t="s">
        <v>299</v>
      </c>
      <c r="H2057" s="17" t="s">
        <v>300</v>
      </c>
      <c r="I2057" s="17" t="s">
        <v>301</v>
      </c>
      <c r="J2057" s="27" t="s">
        <v>31</v>
      </c>
      <c r="K2057" s="29">
        <v>43</v>
      </c>
      <c r="L2057" s="31">
        <v>486.32000000080001</v>
      </c>
      <c r="M2057" s="31">
        <v>349.81000000040001</v>
      </c>
      <c r="N2057" s="31">
        <v>349.81000000040001</v>
      </c>
      <c r="O2057" s="34">
        <f t="shared" si="272"/>
        <v>0.71930004934986136</v>
      </c>
      <c r="P2057" s="34">
        <f t="shared" si="273"/>
        <v>1</v>
      </c>
      <c r="Q2057" s="34">
        <f t="shared" si="274"/>
        <v>0.28069995065013864</v>
      </c>
      <c r="R2057" s="46">
        <f t="shared" si="275"/>
        <v>8.1351162790790692</v>
      </c>
    </row>
    <row r="2058" spans="2:18" ht="12.75" customHeight="1" x14ac:dyDescent="0.25">
      <c r="B2058" s="17" t="s">
        <v>0</v>
      </c>
      <c r="C2058" s="44" t="s">
        <v>26</v>
      </c>
      <c r="D2058" s="22" t="s">
        <v>9</v>
      </c>
      <c r="E2058" s="20">
        <v>2</v>
      </c>
      <c r="F2058" s="17" t="s">
        <v>289</v>
      </c>
      <c r="G2058" s="17" t="s">
        <v>299</v>
      </c>
      <c r="H2058" s="17" t="s">
        <v>300</v>
      </c>
      <c r="I2058" s="17" t="s">
        <v>301</v>
      </c>
      <c r="J2058" s="27" t="s">
        <v>27</v>
      </c>
      <c r="K2058" s="29">
        <v>60</v>
      </c>
      <c r="L2058" s="31">
        <v>1416</v>
      </c>
      <c r="M2058" s="31">
        <v>292.65999999899998</v>
      </c>
      <c r="N2058" s="31">
        <v>292.65999999899998</v>
      </c>
      <c r="O2058" s="34">
        <f t="shared" si="272"/>
        <v>0.20668079095974576</v>
      </c>
      <c r="P2058" s="34">
        <f t="shared" si="273"/>
        <v>1</v>
      </c>
      <c r="Q2058" s="34">
        <f t="shared" si="274"/>
        <v>0.79331920904025421</v>
      </c>
      <c r="R2058" s="46">
        <f t="shared" si="275"/>
        <v>4.8776666666499997</v>
      </c>
    </row>
    <row r="2059" spans="2:18" ht="12.75" customHeight="1" x14ac:dyDescent="0.25">
      <c r="B2059" s="17" t="s">
        <v>0</v>
      </c>
      <c r="C2059" s="44" t="s">
        <v>46</v>
      </c>
      <c r="D2059" s="22" t="s">
        <v>2</v>
      </c>
      <c r="E2059" s="20">
        <v>1</v>
      </c>
      <c r="F2059" s="17" t="s">
        <v>289</v>
      </c>
      <c r="G2059" s="17" t="s">
        <v>299</v>
      </c>
      <c r="H2059" s="17" t="s">
        <v>300</v>
      </c>
      <c r="I2059" s="17" t="s">
        <v>301</v>
      </c>
      <c r="J2059" s="27" t="s">
        <v>47</v>
      </c>
      <c r="K2059" s="29">
        <v>23</v>
      </c>
      <c r="L2059" s="31">
        <v>391</v>
      </c>
      <c r="M2059" s="31">
        <v>192.00000000099999</v>
      </c>
      <c r="N2059" s="31">
        <v>192.00000000099999</v>
      </c>
      <c r="O2059" s="34">
        <f t="shared" si="272"/>
        <v>0.49104859335294115</v>
      </c>
      <c r="P2059" s="34">
        <f t="shared" si="273"/>
        <v>1</v>
      </c>
      <c r="Q2059" s="34">
        <f t="shared" si="274"/>
        <v>0.50895140664705885</v>
      </c>
      <c r="R2059" s="46">
        <f t="shared" si="275"/>
        <v>8.3478260869999996</v>
      </c>
    </row>
    <row r="2060" spans="2:18" ht="12.75" customHeight="1" x14ac:dyDescent="0.25">
      <c r="B2060" s="17" t="s">
        <v>0</v>
      </c>
      <c r="C2060" s="44" t="s">
        <v>186</v>
      </c>
      <c r="D2060" s="22" t="s">
        <v>9</v>
      </c>
      <c r="E2060" s="20">
        <v>2</v>
      </c>
      <c r="F2060" s="17" t="s">
        <v>289</v>
      </c>
      <c r="G2060" s="17" t="s">
        <v>299</v>
      </c>
      <c r="H2060" s="17" t="s">
        <v>300</v>
      </c>
      <c r="I2060" s="17" t="s">
        <v>301</v>
      </c>
      <c r="J2060" s="27" t="s">
        <v>187</v>
      </c>
      <c r="K2060" s="29">
        <v>42</v>
      </c>
      <c r="L2060" s="31">
        <v>694.00000000800003</v>
      </c>
      <c r="M2060" s="31">
        <v>176.4</v>
      </c>
      <c r="N2060" s="31">
        <v>176.4</v>
      </c>
      <c r="O2060" s="34">
        <f t="shared" si="272"/>
        <v>0.25417867434865499</v>
      </c>
      <c r="P2060" s="34">
        <f t="shared" si="273"/>
        <v>1</v>
      </c>
      <c r="Q2060" s="34">
        <f t="shared" si="274"/>
        <v>0.74582132565134507</v>
      </c>
      <c r="R2060" s="46">
        <f t="shared" si="275"/>
        <v>4.2</v>
      </c>
    </row>
    <row r="2061" spans="2:18" ht="12.75" customHeight="1" x14ac:dyDescent="0.25">
      <c r="B2061" s="17" t="s">
        <v>0</v>
      </c>
      <c r="C2061" s="44" t="s">
        <v>48</v>
      </c>
      <c r="D2061" s="22" t="s">
        <v>2</v>
      </c>
      <c r="E2061" s="20">
        <v>1</v>
      </c>
      <c r="F2061" s="17" t="s">
        <v>289</v>
      </c>
      <c r="G2061" s="17" t="s">
        <v>299</v>
      </c>
      <c r="H2061" s="17" t="s">
        <v>300</v>
      </c>
      <c r="I2061" s="17" t="s">
        <v>301</v>
      </c>
      <c r="J2061" s="27" t="s">
        <v>49</v>
      </c>
      <c r="K2061" s="29">
        <v>19</v>
      </c>
      <c r="L2061" s="31">
        <v>323</v>
      </c>
      <c r="M2061" s="31">
        <v>157.39999999970001</v>
      </c>
      <c r="N2061" s="31">
        <v>157.39999999970001</v>
      </c>
      <c r="O2061" s="34">
        <f t="shared" si="272"/>
        <v>0.48730650154705885</v>
      </c>
      <c r="P2061" s="34">
        <f t="shared" si="273"/>
        <v>1</v>
      </c>
      <c r="Q2061" s="34">
        <f t="shared" si="274"/>
        <v>0.51269349845294121</v>
      </c>
      <c r="R2061" s="46">
        <f t="shared" si="275"/>
        <v>8.2842105263000008</v>
      </c>
    </row>
    <row r="2062" spans="2:18" ht="12.75" customHeight="1" thickBot="1" x14ac:dyDescent="0.3">
      <c r="B2062" s="15" t="s">
        <v>0</v>
      </c>
      <c r="C2062" s="50" t="s">
        <v>223</v>
      </c>
      <c r="D2062" s="19" t="s">
        <v>9</v>
      </c>
      <c r="E2062" s="16">
        <v>2</v>
      </c>
      <c r="F2062" s="15" t="s">
        <v>289</v>
      </c>
      <c r="G2062" s="15" t="s">
        <v>299</v>
      </c>
      <c r="H2062" s="15" t="s">
        <v>300</v>
      </c>
      <c r="I2062" s="15" t="s">
        <v>301</v>
      </c>
      <c r="J2062" s="24" t="s">
        <v>224</v>
      </c>
      <c r="K2062" s="26">
        <v>19</v>
      </c>
      <c r="L2062" s="28">
        <v>570</v>
      </c>
      <c r="M2062" s="28">
        <v>41.800000000000004</v>
      </c>
      <c r="N2062" s="28">
        <v>41.800000000000004</v>
      </c>
      <c r="O2062" s="32">
        <f t="shared" si="272"/>
        <v>7.3333333333333348E-2</v>
      </c>
      <c r="P2062" s="32">
        <f t="shared" si="273"/>
        <v>1</v>
      </c>
      <c r="Q2062" s="32">
        <f t="shared" si="274"/>
        <v>0.92666666666666664</v>
      </c>
      <c r="R2062" s="49">
        <f t="shared" si="275"/>
        <v>2.2000000000000002</v>
      </c>
    </row>
    <row r="2063" spans="2:18" ht="17.25" customHeight="1" x14ac:dyDescent="0.25">
      <c r="B2063" s="48"/>
      <c r="C2063" s="58"/>
      <c r="D2063" s="51" t="s">
        <v>366</v>
      </c>
      <c r="E2063" s="52"/>
      <c r="F2063" s="52"/>
      <c r="G2063" s="53"/>
      <c r="H2063" s="53"/>
      <c r="I2063" s="53"/>
      <c r="J2063" s="54"/>
      <c r="K2063" s="55">
        <f>SUM(K1995:K2062)</f>
        <v>29660150</v>
      </c>
      <c r="L2063" s="56">
        <f>SUM(L1995:L2062)</f>
        <v>1864990153.1414864</v>
      </c>
      <c r="M2063" s="56">
        <f>SUM(M1995:M2062)</f>
        <v>340850461.52712727</v>
      </c>
      <c r="N2063" s="56">
        <f>SUM(N1995:N2062)</f>
        <v>340629368.15713155</v>
      </c>
      <c r="O2063" s="57">
        <f>IFERROR(M2063/L2063,0)</f>
        <v>0.18276260652260337</v>
      </c>
      <c r="P2063" s="57">
        <f>IFERROR(N2063/M2063,0)</f>
        <v>0.99935134789313429</v>
      </c>
      <c r="Q2063" s="57">
        <f>IFERROR(1-(M2063/L2063),0)</f>
        <v>0.81723739347739666</v>
      </c>
      <c r="R2063" s="59">
        <f>IFERROR(N2063/K2063,0)</f>
        <v>11.484411513668391</v>
      </c>
    </row>
    <row r="2064" spans="2:18" ht="15.75" thickBot="1" x14ac:dyDescent="0.3">
      <c r="B2064" s="60"/>
      <c r="C2064" s="64"/>
      <c r="D2064" s="62" t="s">
        <v>301</v>
      </c>
      <c r="E2064" s="61"/>
      <c r="F2064" s="61"/>
      <c r="G2064" s="61"/>
      <c r="H2064" s="61"/>
      <c r="I2064" s="61"/>
      <c r="J2064" s="61"/>
      <c r="K2064" s="63"/>
      <c r="L2064" s="63"/>
      <c r="M2064" s="63"/>
      <c r="N2064" s="63"/>
      <c r="O2064" s="63"/>
      <c r="P2064" s="63"/>
      <c r="Q2064" s="63"/>
      <c r="R2064" s="65"/>
    </row>
    <row r="2065" spans="2:18" ht="15.75" thickBot="1" x14ac:dyDescent="0.3"/>
    <row r="2066" spans="2:18" ht="15.75" x14ac:dyDescent="0.25">
      <c r="B2066" s="1"/>
      <c r="C2066" s="7" t="s">
        <v>348</v>
      </c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9"/>
    </row>
    <row r="2067" spans="2:18" ht="18" x14ac:dyDescent="0.25">
      <c r="B2067" s="2"/>
      <c r="C2067" s="8" t="s">
        <v>304</v>
      </c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10"/>
    </row>
    <row r="2068" spans="2:18" ht="15.75" thickBot="1" x14ac:dyDescent="0.3">
      <c r="B2068" s="3"/>
      <c r="C2068" s="11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12"/>
    </row>
    <row r="2069" spans="2:18" ht="17.25" customHeight="1" thickBot="1" x14ac:dyDescent="0.3">
      <c r="B2069" s="14" t="s">
        <v>349</v>
      </c>
      <c r="C2069" s="18" t="s">
        <v>350</v>
      </c>
      <c r="D2069" s="21" t="s">
        <v>351</v>
      </c>
      <c r="E2069" s="23" t="s">
        <v>352</v>
      </c>
      <c r="F2069" s="21" t="s">
        <v>353</v>
      </c>
      <c r="G2069" s="23" t="s">
        <v>354</v>
      </c>
      <c r="H2069" s="23" t="s">
        <v>355</v>
      </c>
      <c r="I2069" s="23" t="s">
        <v>356</v>
      </c>
      <c r="J2069" s="25" t="s">
        <v>357</v>
      </c>
      <c r="K2069" s="25" t="s">
        <v>358</v>
      </c>
      <c r="L2069" s="30" t="s">
        <v>359</v>
      </c>
      <c r="M2069" s="30" t="s">
        <v>360</v>
      </c>
      <c r="N2069" s="30" t="s">
        <v>361</v>
      </c>
      <c r="O2069" s="33" t="s">
        <v>362</v>
      </c>
      <c r="P2069" s="33" t="s">
        <v>363</v>
      </c>
      <c r="Q2069" s="33" t="s">
        <v>364</v>
      </c>
      <c r="R2069" s="35" t="s">
        <v>365</v>
      </c>
    </row>
    <row r="2070" spans="2:18" ht="12.75" customHeight="1" x14ac:dyDescent="0.25">
      <c r="B2070" s="17" t="s">
        <v>0</v>
      </c>
      <c r="C2070" s="43" t="s">
        <v>288</v>
      </c>
      <c r="D2070" s="37" t="s">
        <v>9</v>
      </c>
      <c r="E2070" s="36">
        <v>2</v>
      </c>
      <c r="F2070" s="38" t="s">
        <v>289</v>
      </c>
      <c r="G2070" s="38" t="s">
        <v>302</v>
      </c>
      <c r="H2070" s="38" t="s">
        <v>303</v>
      </c>
      <c r="I2070" s="38" t="s">
        <v>304</v>
      </c>
      <c r="J2070" s="39" t="s">
        <v>293</v>
      </c>
      <c r="K2070" s="40">
        <v>7731114</v>
      </c>
      <c r="L2070" s="41">
        <v>715852792.28055477</v>
      </c>
      <c r="M2070" s="41">
        <v>471058383.47991747</v>
      </c>
      <c r="N2070" s="41">
        <v>470704392.8599093</v>
      </c>
      <c r="O2070" s="42">
        <f t="shared" ref="O2070:O2104" si="276">IFERROR(M2070/L2070,0)</f>
        <v>0.65803806112039542</v>
      </c>
      <c r="P2070" s="42">
        <f t="shared" ref="P2070:P2104" si="277">IFERROR(N2070/M2070,0)</f>
        <v>0.99924852070906145</v>
      </c>
      <c r="Q2070" s="42">
        <f t="shared" ref="Q2070:Q2104" si="278">IFERROR(1-(M2070/L2070),0)</f>
        <v>0.34196193887960458</v>
      </c>
      <c r="R2070" s="45">
        <f t="shared" ref="R2070:R2104" si="279">IFERROR(N2070/K2070,0)</f>
        <v>60.884420131420811</v>
      </c>
    </row>
    <row r="2071" spans="2:18" ht="12.75" customHeight="1" x14ac:dyDescent="0.25">
      <c r="B2071" s="17" t="s">
        <v>0</v>
      </c>
      <c r="C2071" s="44" t="s">
        <v>56</v>
      </c>
      <c r="D2071" s="22" t="s">
        <v>9</v>
      </c>
      <c r="E2071" s="20">
        <v>2</v>
      </c>
      <c r="F2071" s="17" t="s">
        <v>289</v>
      </c>
      <c r="G2071" s="17" t="s">
        <v>302</v>
      </c>
      <c r="H2071" s="17" t="s">
        <v>303</v>
      </c>
      <c r="I2071" s="17" t="s">
        <v>304</v>
      </c>
      <c r="J2071" s="27" t="s">
        <v>57</v>
      </c>
      <c r="K2071" s="29">
        <v>350963</v>
      </c>
      <c r="L2071" s="31">
        <v>33600416.670012265</v>
      </c>
      <c r="M2071" s="31">
        <v>13156761.889992822</v>
      </c>
      <c r="N2071" s="31">
        <v>13156761.889992822</v>
      </c>
      <c r="O2071" s="34">
        <f t="shared" si="276"/>
        <v>0.39156543858383108</v>
      </c>
      <c r="P2071" s="34">
        <f t="shared" si="277"/>
        <v>1</v>
      </c>
      <c r="Q2071" s="34">
        <f t="shared" si="278"/>
        <v>0.60843456141616892</v>
      </c>
      <c r="R2071" s="46">
        <f t="shared" si="279"/>
        <v>37.487603792971974</v>
      </c>
    </row>
    <row r="2072" spans="2:18" ht="12.75" customHeight="1" x14ac:dyDescent="0.25">
      <c r="B2072" s="17" t="s">
        <v>0</v>
      </c>
      <c r="C2072" s="44" t="s">
        <v>180</v>
      </c>
      <c r="D2072" s="22" t="s">
        <v>9</v>
      </c>
      <c r="E2072" s="20">
        <v>2</v>
      </c>
      <c r="F2072" s="17" t="s">
        <v>289</v>
      </c>
      <c r="G2072" s="17" t="s">
        <v>302</v>
      </c>
      <c r="H2072" s="17" t="s">
        <v>303</v>
      </c>
      <c r="I2072" s="17" t="s">
        <v>304</v>
      </c>
      <c r="J2072" s="27" t="s">
        <v>181</v>
      </c>
      <c r="K2072" s="29">
        <v>112259</v>
      </c>
      <c r="L2072" s="31">
        <v>11971066.190053571</v>
      </c>
      <c r="M2072" s="31">
        <v>4936386.1200114349</v>
      </c>
      <c r="N2072" s="31">
        <v>4903791.8300116109</v>
      </c>
      <c r="O2072" s="34">
        <f t="shared" si="276"/>
        <v>0.41235977160605308</v>
      </c>
      <c r="P2072" s="34">
        <f t="shared" si="277"/>
        <v>0.99339713523063133</v>
      </c>
      <c r="Q2072" s="34">
        <f t="shared" si="278"/>
        <v>0.58764022839394692</v>
      </c>
      <c r="R2072" s="46">
        <f t="shared" si="279"/>
        <v>43.682839059777933</v>
      </c>
    </row>
    <row r="2073" spans="2:18" ht="12.75" customHeight="1" x14ac:dyDescent="0.25">
      <c r="B2073" s="17" t="s">
        <v>0</v>
      </c>
      <c r="C2073" s="44" t="s">
        <v>103</v>
      </c>
      <c r="D2073" s="22" t="s">
        <v>9</v>
      </c>
      <c r="E2073" s="20">
        <v>2</v>
      </c>
      <c r="F2073" s="17" t="s">
        <v>289</v>
      </c>
      <c r="G2073" s="17" t="s">
        <v>302</v>
      </c>
      <c r="H2073" s="17" t="s">
        <v>303</v>
      </c>
      <c r="I2073" s="17" t="s">
        <v>304</v>
      </c>
      <c r="J2073" s="27" t="s">
        <v>104</v>
      </c>
      <c r="K2073" s="29">
        <v>135457</v>
      </c>
      <c r="L2073" s="31">
        <v>9184652.9900109582</v>
      </c>
      <c r="M2073" s="31">
        <v>4901087.5199984731</v>
      </c>
      <c r="N2073" s="31">
        <v>4901087.5199984731</v>
      </c>
      <c r="O2073" s="34">
        <f t="shared" si="276"/>
        <v>0.53361705938469273</v>
      </c>
      <c r="P2073" s="34">
        <f t="shared" si="277"/>
        <v>1</v>
      </c>
      <c r="Q2073" s="34">
        <f t="shared" si="278"/>
        <v>0.46638294061530727</v>
      </c>
      <c r="R2073" s="46">
        <f t="shared" si="279"/>
        <v>36.181869670806776</v>
      </c>
    </row>
    <row r="2074" spans="2:18" ht="12.75" customHeight="1" x14ac:dyDescent="0.25">
      <c r="B2074" s="17" t="s">
        <v>0</v>
      </c>
      <c r="C2074" s="44" t="s">
        <v>46</v>
      </c>
      <c r="D2074" s="22" t="s">
        <v>9</v>
      </c>
      <c r="E2074" s="20">
        <v>2</v>
      </c>
      <c r="F2074" s="17" t="s">
        <v>289</v>
      </c>
      <c r="G2074" s="17" t="s">
        <v>302</v>
      </c>
      <c r="H2074" s="17" t="s">
        <v>303</v>
      </c>
      <c r="I2074" s="17" t="s">
        <v>304</v>
      </c>
      <c r="J2074" s="27" t="s">
        <v>47</v>
      </c>
      <c r="K2074" s="29">
        <v>72484</v>
      </c>
      <c r="L2074" s="31">
        <v>9216009.9400031324</v>
      </c>
      <c r="M2074" s="31">
        <v>3881118.2099942975</v>
      </c>
      <c r="N2074" s="31">
        <v>3881118.2099942975</v>
      </c>
      <c r="O2074" s="34">
        <f t="shared" si="276"/>
        <v>0.42112782378281355</v>
      </c>
      <c r="P2074" s="34">
        <f t="shared" si="277"/>
        <v>1</v>
      </c>
      <c r="Q2074" s="34">
        <f t="shared" si="278"/>
        <v>0.57887217621718645</v>
      </c>
      <c r="R2074" s="46">
        <f t="shared" si="279"/>
        <v>53.544481678636629</v>
      </c>
    </row>
    <row r="2075" spans="2:18" ht="12.75" customHeight="1" x14ac:dyDescent="0.25">
      <c r="B2075" s="17" t="s">
        <v>0</v>
      </c>
      <c r="C2075" s="44" t="s">
        <v>50</v>
      </c>
      <c r="D2075" s="22" t="s">
        <v>9</v>
      </c>
      <c r="E2075" s="20">
        <v>2</v>
      </c>
      <c r="F2075" s="17" t="s">
        <v>289</v>
      </c>
      <c r="G2075" s="17" t="s">
        <v>302</v>
      </c>
      <c r="H2075" s="17" t="s">
        <v>303</v>
      </c>
      <c r="I2075" s="17" t="s">
        <v>304</v>
      </c>
      <c r="J2075" s="27" t="s">
        <v>51</v>
      </c>
      <c r="K2075" s="29">
        <v>64378</v>
      </c>
      <c r="L2075" s="31">
        <v>7523402.8600000385</v>
      </c>
      <c r="M2075" s="31">
        <v>3048517.0800003782</v>
      </c>
      <c r="N2075" s="31">
        <v>3048517.0800003782</v>
      </c>
      <c r="O2075" s="34">
        <f t="shared" si="276"/>
        <v>0.40520455128204613</v>
      </c>
      <c r="P2075" s="34">
        <f t="shared" si="277"/>
        <v>1</v>
      </c>
      <c r="Q2075" s="34">
        <f t="shared" si="278"/>
        <v>0.59479544871795387</v>
      </c>
      <c r="R2075" s="46">
        <f t="shared" si="279"/>
        <v>47.353398365907267</v>
      </c>
    </row>
    <row r="2076" spans="2:18" ht="12.75" customHeight="1" x14ac:dyDescent="0.25">
      <c r="B2076" s="17" t="s">
        <v>0</v>
      </c>
      <c r="C2076" s="44" t="s">
        <v>54</v>
      </c>
      <c r="D2076" s="22" t="s">
        <v>9</v>
      </c>
      <c r="E2076" s="20">
        <v>2</v>
      </c>
      <c r="F2076" s="17" t="s">
        <v>289</v>
      </c>
      <c r="G2076" s="17" t="s">
        <v>302</v>
      </c>
      <c r="H2076" s="17" t="s">
        <v>303</v>
      </c>
      <c r="I2076" s="17" t="s">
        <v>304</v>
      </c>
      <c r="J2076" s="27" t="s">
        <v>55</v>
      </c>
      <c r="K2076" s="29">
        <v>39487</v>
      </c>
      <c r="L2076" s="31">
        <v>6223712.6600035457</v>
      </c>
      <c r="M2076" s="31">
        <v>2477832.0999985123</v>
      </c>
      <c r="N2076" s="31">
        <v>2477832.0999985123</v>
      </c>
      <c r="O2076" s="34">
        <f t="shared" si="276"/>
        <v>0.3981276507063391</v>
      </c>
      <c r="P2076" s="34">
        <f t="shared" si="277"/>
        <v>1</v>
      </c>
      <c r="Q2076" s="34">
        <f t="shared" si="278"/>
        <v>0.60187234929366085</v>
      </c>
      <c r="R2076" s="46">
        <f t="shared" si="279"/>
        <v>62.750578671423817</v>
      </c>
    </row>
    <row r="2077" spans="2:18" ht="12.75" customHeight="1" x14ac:dyDescent="0.25">
      <c r="B2077" s="17" t="s">
        <v>0</v>
      </c>
      <c r="C2077" s="44" t="s">
        <v>30</v>
      </c>
      <c r="D2077" s="22" t="s">
        <v>9</v>
      </c>
      <c r="E2077" s="20">
        <v>2</v>
      </c>
      <c r="F2077" s="17" t="s">
        <v>289</v>
      </c>
      <c r="G2077" s="17" t="s">
        <v>302</v>
      </c>
      <c r="H2077" s="17" t="s">
        <v>303</v>
      </c>
      <c r="I2077" s="17" t="s">
        <v>304</v>
      </c>
      <c r="J2077" s="27" t="s">
        <v>31</v>
      </c>
      <c r="K2077" s="29">
        <v>33445</v>
      </c>
      <c r="L2077" s="31">
        <v>3511532.31000034</v>
      </c>
      <c r="M2077" s="31">
        <v>1854840.3500025666</v>
      </c>
      <c r="N2077" s="31">
        <v>1854840.3500025666</v>
      </c>
      <c r="O2077" s="34">
        <f t="shared" si="276"/>
        <v>0.52821394942608035</v>
      </c>
      <c r="P2077" s="34">
        <f t="shared" si="277"/>
        <v>1</v>
      </c>
      <c r="Q2077" s="34">
        <f t="shared" si="278"/>
        <v>0.47178605057391965</v>
      </c>
      <c r="R2077" s="46">
        <f t="shared" si="279"/>
        <v>55.459421438258829</v>
      </c>
    </row>
    <row r="2078" spans="2:18" ht="12.75" customHeight="1" x14ac:dyDescent="0.25">
      <c r="B2078" s="17" t="s">
        <v>0</v>
      </c>
      <c r="C2078" s="44" t="s">
        <v>180</v>
      </c>
      <c r="D2078" s="22" t="s">
        <v>2</v>
      </c>
      <c r="E2078" s="20">
        <v>1</v>
      </c>
      <c r="F2078" s="17" t="s">
        <v>289</v>
      </c>
      <c r="G2078" s="17" t="s">
        <v>302</v>
      </c>
      <c r="H2078" s="17" t="s">
        <v>303</v>
      </c>
      <c r="I2078" s="17" t="s">
        <v>304</v>
      </c>
      <c r="J2078" s="27" t="s">
        <v>181</v>
      </c>
      <c r="K2078" s="29">
        <v>31924</v>
      </c>
      <c r="L2078" s="31">
        <v>7363283.1400084309</v>
      </c>
      <c r="M2078" s="31">
        <v>1271817.4200005997</v>
      </c>
      <c r="N2078" s="31">
        <v>982646.38000126369</v>
      </c>
      <c r="O2078" s="34">
        <f t="shared" si="276"/>
        <v>0.17272423127261999</v>
      </c>
      <c r="P2078" s="34">
        <f t="shared" si="277"/>
        <v>0.77263164079070434</v>
      </c>
      <c r="Q2078" s="34">
        <f t="shared" si="278"/>
        <v>0.82727576872737996</v>
      </c>
      <c r="R2078" s="46">
        <f t="shared" si="279"/>
        <v>30.780803784026553</v>
      </c>
    </row>
    <row r="2079" spans="2:18" ht="12.75" customHeight="1" x14ac:dyDescent="0.25">
      <c r="B2079" s="17" t="s">
        <v>0</v>
      </c>
      <c r="C2079" s="44" t="s">
        <v>145</v>
      </c>
      <c r="D2079" s="22" t="s">
        <v>9</v>
      </c>
      <c r="E2079" s="20">
        <v>2</v>
      </c>
      <c r="F2079" s="17" t="s">
        <v>289</v>
      </c>
      <c r="G2079" s="17" t="s">
        <v>302</v>
      </c>
      <c r="H2079" s="17" t="s">
        <v>303</v>
      </c>
      <c r="I2079" s="17" t="s">
        <v>304</v>
      </c>
      <c r="J2079" s="27" t="s">
        <v>146</v>
      </c>
      <c r="K2079" s="29">
        <v>6682</v>
      </c>
      <c r="L2079" s="31">
        <v>1006746.42000316</v>
      </c>
      <c r="M2079" s="31">
        <v>249030.96000117098</v>
      </c>
      <c r="N2079" s="31">
        <v>249030.96000117098</v>
      </c>
      <c r="O2079" s="34">
        <f t="shared" si="276"/>
        <v>0.24736215103738765</v>
      </c>
      <c r="P2079" s="34">
        <f t="shared" si="277"/>
        <v>1</v>
      </c>
      <c r="Q2079" s="34">
        <f t="shared" si="278"/>
        <v>0.75263784896261232</v>
      </c>
      <c r="R2079" s="46">
        <f t="shared" si="279"/>
        <v>37.26892547159099</v>
      </c>
    </row>
    <row r="2080" spans="2:18" ht="12.75" customHeight="1" x14ac:dyDescent="0.25">
      <c r="B2080" s="17" t="s">
        <v>0</v>
      </c>
      <c r="C2080" s="44" t="s">
        <v>110</v>
      </c>
      <c r="D2080" s="22" t="s">
        <v>9</v>
      </c>
      <c r="E2080" s="20">
        <v>2</v>
      </c>
      <c r="F2080" s="17" t="s">
        <v>289</v>
      </c>
      <c r="G2080" s="17" t="s">
        <v>302</v>
      </c>
      <c r="H2080" s="17" t="s">
        <v>303</v>
      </c>
      <c r="I2080" s="17" t="s">
        <v>304</v>
      </c>
      <c r="J2080" s="27" t="s">
        <v>111</v>
      </c>
      <c r="K2080" s="29">
        <v>3745</v>
      </c>
      <c r="L2080" s="31">
        <v>411361.07000115805</v>
      </c>
      <c r="M2080" s="31">
        <v>149118.74000010802</v>
      </c>
      <c r="N2080" s="31">
        <v>149118.74000010802</v>
      </c>
      <c r="O2080" s="34">
        <f t="shared" si="276"/>
        <v>0.36250085599905757</v>
      </c>
      <c r="P2080" s="34">
        <f t="shared" si="277"/>
        <v>1</v>
      </c>
      <c r="Q2080" s="34">
        <f t="shared" si="278"/>
        <v>0.63749914400094243</v>
      </c>
      <c r="R2080" s="46">
        <f t="shared" si="279"/>
        <v>39.818088117518833</v>
      </c>
    </row>
    <row r="2081" spans="2:18" ht="12.75" customHeight="1" x14ac:dyDescent="0.25">
      <c r="B2081" s="17" t="s">
        <v>0</v>
      </c>
      <c r="C2081" s="44" t="s">
        <v>28</v>
      </c>
      <c r="D2081" s="22" t="s">
        <v>9</v>
      </c>
      <c r="E2081" s="20">
        <v>2</v>
      </c>
      <c r="F2081" s="17" t="s">
        <v>289</v>
      </c>
      <c r="G2081" s="17" t="s">
        <v>302</v>
      </c>
      <c r="H2081" s="17" t="s">
        <v>303</v>
      </c>
      <c r="I2081" s="17" t="s">
        <v>304</v>
      </c>
      <c r="J2081" s="27" t="s">
        <v>29</v>
      </c>
      <c r="K2081" s="29">
        <v>1378</v>
      </c>
      <c r="L2081" s="31">
        <v>267592.30000046996</v>
      </c>
      <c r="M2081" s="31">
        <v>118192.180000747</v>
      </c>
      <c r="N2081" s="31">
        <v>118192.180000747</v>
      </c>
      <c r="O2081" s="34">
        <f t="shared" si="276"/>
        <v>0.44168752240082926</v>
      </c>
      <c r="P2081" s="34">
        <f t="shared" si="277"/>
        <v>1</v>
      </c>
      <c r="Q2081" s="34">
        <f t="shared" si="278"/>
        <v>0.5583124775991708</v>
      </c>
      <c r="R2081" s="46">
        <f t="shared" si="279"/>
        <v>85.770812772675612</v>
      </c>
    </row>
    <row r="2082" spans="2:18" ht="12.75" customHeight="1" x14ac:dyDescent="0.25">
      <c r="B2082" s="17" t="s">
        <v>0</v>
      </c>
      <c r="C2082" s="44" t="s">
        <v>48</v>
      </c>
      <c r="D2082" s="22" t="s">
        <v>9</v>
      </c>
      <c r="E2082" s="20">
        <v>2</v>
      </c>
      <c r="F2082" s="17" t="s">
        <v>289</v>
      </c>
      <c r="G2082" s="17" t="s">
        <v>302</v>
      </c>
      <c r="H2082" s="17" t="s">
        <v>303</v>
      </c>
      <c r="I2082" s="17" t="s">
        <v>304</v>
      </c>
      <c r="J2082" s="27" t="s">
        <v>49</v>
      </c>
      <c r="K2082" s="29">
        <v>431</v>
      </c>
      <c r="L2082" s="31">
        <v>161420</v>
      </c>
      <c r="M2082" s="31">
        <v>70292.590000003998</v>
      </c>
      <c r="N2082" s="31">
        <v>70292.590000003998</v>
      </c>
      <c r="O2082" s="34">
        <f t="shared" si="276"/>
        <v>0.43546394498825425</v>
      </c>
      <c r="P2082" s="34">
        <f t="shared" si="277"/>
        <v>1</v>
      </c>
      <c r="Q2082" s="34">
        <f t="shared" si="278"/>
        <v>0.56453605501174575</v>
      </c>
      <c r="R2082" s="46">
        <f t="shared" si="279"/>
        <v>163.09185614850117</v>
      </c>
    </row>
    <row r="2083" spans="2:18" ht="12.75" customHeight="1" x14ac:dyDescent="0.25">
      <c r="B2083" s="17" t="s">
        <v>0</v>
      </c>
      <c r="C2083" s="44" t="s">
        <v>184</v>
      </c>
      <c r="D2083" s="22" t="s">
        <v>9</v>
      </c>
      <c r="E2083" s="20">
        <v>2</v>
      </c>
      <c r="F2083" s="17" t="s">
        <v>289</v>
      </c>
      <c r="G2083" s="17" t="s">
        <v>302</v>
      </c>
      <c r="H2083" s="17" t="s">
        <v>303</v>
      </c>
      <c r="I2083" s="17" t="s">
        <v>304</v>
      </c>
      <c r="J2083" s="27" t="s">
        <v>185</v>
      </c>
      <c r="K2083" s="29">
        <v>1669</v>
      </c>
      <c r="L2083" s="31">
        <v>61347.420000736005</v>
      </c>
      <c r="M2083" s="31">
        <v>56657.259999773996</v>
      </c>
      <c r="N2083" s="31">
        <v>56657.259999773996</v>
      </c>
      <c r="O2083" s="34">
        <f t="shared" si="276"/>
        <v>0.923547559116492</v>
      </c>
      <c r="P2083" s="34">
        <f t="shared" si="277"/>
        <v>1</v>
      </c>
      <c r="Q2083" s="34">
        <f t="shared" si="278"/>
        <v>7.6452440883507999E-2</v>
      </c>
      <c r="R2083" s="46">
        <f t="shared" si="279"/>
        <v>33.946830437252245</v>
      </c>
    </row>
    <row r="2084" spans="2:18" ht="12.75" customHeight="1" x14ac:dyDescent="0.25">
      <c r="B2084" s="17" t="s">
        <v>0</v>
      </c>
      <c r="C2084" s="44" t="s">
        <v>70</v>
      </c>
      <c r="D2084" s="22" t="s">
        <v>9</v>
      </c>
      <c r="E2084" s="20">
        <v>2</v>
      </c>
      <c r="F2084" s="17" t="s">
        <v>289</v>
      </c>
      <c r="G2084" s="17" t="s">
        <v>302</v>
      </c>
      <c r="H2084" s="17" t="s">
        <v>303</v>
      </c>
      <c r="I2084" s="17" t="s">
        <v>304</v>
      </c>
      <c r="J2084" s="27" t="s">
        <v>71</v>
      </c>
      <c r="K2084" s="29">
        <v>1188</v>
      </c>
      <c r="L2084" s="31">
        <v>172439.02</v>
      </c>
      <c r="M2084" s="31">
        <v>56593.960000017003</v>
      </c>
      <c r="N2084" s="31">
        <v>56593.960000017003</v>
      </c>
      <c r="O2084" s="34">
        <f t="shared" si="276"/>
        <v>0.32819694753552303</v>
      </c>
      <c r="P2084" s="34">
        <f t="shared" si="277"/>
        <v>1</v>
      </c>
      <c r="Q2084" s="34">
        <f t="shared" si="278"/>
        <v>0.67180305246447691</v>
      </c>
      <c r="R2084" s="46">
        <f t="shared" si="279"/>
        <v>47.638013468027779</v>
      </c>
    </row>
    <row r="2085" spans="2:18" ht="12.75" customHeight="1" x14ac:dyDescent="0.25">
      <c r="B2085" s="17" t="s">
        <v>0</v>
      </c>
      <c r="C2085" s="44" t="s">
        <v>288</v>
      </c>
      <c r="D2085" s="22" t="s">
        <v>2</v>
      </c>
      <c r="E2085" s="20">
        <v>1</v>
      </c>
      <c r="F2085" s="17" t="s">
        <v>289</v>
      </c>
      <c r="G2085" s="17" t="s">
        <v>302</v>
      </c>
      <c r="H2085" s="17" t="s">
        <v>303</v>
      </c>
      <c r="I2085" s="17" t="s">
        <v>304</v>
      </c>
      <c r="J2085" s="27" t="s">
        <v>293</v>
      </c>
      <c r="K2085" s="29">
        <v>1233</v>
      </c>
      <c r="L2085" s="31">
        <v>63110.25</v>
      </c>
      <c r="M2085" s="31">
        <v>48928.150000160997</v>
      </c>
      <c r="N2085" s="31">
        <v>48563.540000193003</v>
      </c>
      <c r="O2085" s="34">
        <f t="shared" si="276"/>
        <v>0.77528056060879169</v>
      </c>
      <c r="P2085" s="34">
        <f t="shared" si="277"/>
        <v>0.99254805260434342</v>
      </c>
      <c r="Q2085" s="34">
        <f t="shared" si="278"/>
        <v>0.22471943939120831</v>
      </c>
      <c r="R2085" s="46">
        <f t="shared" si="279"/>
        <v>39.386488240221411</v>
      </c>
    </row>
    <row r="2086" spans="2:18" ht="12.75" customHeight="1" x14ac:dyDescent="0.25">
      <c r="B2086" s="17" t="s">
        <v>0</v>
      </c>
      <c r="C2086" s="44" t="s">
        <v>82</v>
      </c>
      <c r="D2086" s="22" t="s">
        <v>9</v>
      </c>
      <c r="E2086" s="20">
        <v>2</v>
      </c>
      <c r="F2086" s="17" t="s">
        <v>289</v>
      </c>
      <c r="G2086" s="17" t="s">
        <v>302</v>
      </c>
      <c r="H2086" s="17" t="s">
        <v>303</v>
      </c>
      <c r="I2086" s="17" t="s">
        <v>304</v>
      </c>
      <c r="J2086" s="27" t="s">
        <v>83</v>
      </c>
      <c r="K2086" s="29">
        <v>1155</v>
      </c>
      <c r="L2086" s="31">
        <v>82856.779999299994</v>
      </c>
      <c r="M2086" s="31">
        <v>40298.899999727997</v>
      </c>
      <c r="N2086" s="31">
        <v>39804.669999728001</v>
      </c>
      <c r="O2086" s="34">
        <f t="shared" si="276"/>
        <v>0.48636816444071879</v>
      </c>
      <c r="P2086" s="34">
        <f t="shared" si="277"/>
        <v>0.98773589353547286</v>
      </c>
      <c r="Q2086" s="34">
        <f t="shared" si="278"/>
        <v>0.51363183555928127</v>
      </c>
      <c r="R2086" s="46">
        <f t="shared" si="279"/>
        <v>34.462917748682251</v>
      </c>
    </row>
    <row r="2087" spans="2:18" ht="12.75" customHeight="1" x14ac:dyDescent="0.25">
      <c r="B2087" s="17" t="s">
        <v>0</v>
      </c>
      <c r="C2087" s="44" t="s">
        <v>44</v>
      </c>
      <c r="D2087" s="22" t="s">
        <v>9</v>
      </c>
      <c r="E2087" s="20">
        <v>2</v>
      </c>
      <c r="F2087" s="17" t="s">
        <v>289</v>
      </c>
      <c r="G2087" s="17" t="s">
        <v>302</v>
      </c>
      <c r="H2087" s="17" t="s">
        <v>303</v>
      </c>
      <c r="I2087" s="17" t="s">
        <v>304</v>
      </c>
      <c r="J2087" s="27" t="s">
        <v>45</v>
      </c>
      <c r="K2087" s="29">
        <v>749</v>
      </c>
      <c r="L2087" s="31">
        <v>88689.200000084995</v>
      </c>
      <c r="M2087" s="31">
        <v>35974.669999887992</v>
      </c>
      <c r="N2087" s="31">
        <v>35974.669999887992</v>
      </c>
      <c r="O2087" s="34">
        <f t="shared" si="276"/>
        <v>0.40562627692947412</v>
      </c>
      <c r="P2087" s="34">
        <f t="shared" si="277"/>
        <v>1</v>
      </c>
      <c r="Q2087" s="34">
        <f t="shared" si="278"/>
        <v>0.59437372307052594</v>
      </c>
      <c r="R2087" s="46">
        <f t="shared" si="279"/>
        <v>48.030267022547385</v>
      </c>
    </row>
    <row r="2088" spans="2:18" ht="12.75" customHeight="1" x14ac:dyDescent="0.25">
      <c r="B2088" s="17" t="s">
        <v>0</v>
      </c>
      <c r="C2088" s="44" t="s">
        <v>24</v>
      </c>
      <c r="D2088" s="22" t="s">
        <v>9</v>
      </c>
      <c r="E2088" s="20">
        <v>2</v>
      </c>
      <c r="F2088" s="17" t="s">
        <v>289</v>
      </c>
      <c r="G2088" s="17" t="s">
        <v>302</v>
      </c>
      <c r="H2088" s="17" t="s">
        <v>303</v>
      </c>
      <c r="I2088" s="17" t="s">
        <v>304</v>
      </c>
      <c r="J2088" s="27" t="s">
        <v>25</v>
      </c>
      <c r="K2088" s="29">
        <v>303</v>
      </c>
      <c r="L2088" s="31">
        <v>80576.999999930005</v>
      </c>
      <c r="M2088" s="31">
        <v>33735.399999994996</v>
      </c>
      <c r="N2088" s="31">
        <v>33735.399999994996</v>
      </c>
      <c r="O2088" s="34">
        <f t="shared" si="276"/>
        <v>0.41867282226968366</v>
      </c>
      <c r="P2088" s="34">
        <f t="shared" si="277"/>
        <v>1</v>
      </c>
      <c r="Q2088" s="34">
        <f t="shared" si="278"/>
        <v>0.58132717773031639</v>
      </c>
      <c r="R2088" s="46">
        <f t="shared" si="279"/>
        <v>111.33795379536302</v>
      </c>
    </row>
    <row r="2089" spans="2:18" ht="12.75" customHeight="1" x14ac:dyDescent="0.25">
      <c r="B2089" s="17" t="s">
        <v>0</v>
      </c>
      <c r="C2089" s="44" t="s">
        <v>137</v>
      </c>
      <c r="D2089" s="22" t="s">
        <v>9</v>
      </c>
      <c r="E2089" s="20">
        <v>2</v>
      </c>
      <c r="F2089" s="17" t="s">
        <v>289</v>
      </c>
      <c r="G2089" s="17" t="s">
        <v>302</v>
      </c>
      <c r="H2089" s="17" t="s">
        <v>303</v>
      </c>
      <c r="I2089" s="17" t="s">
        <v>304</v>
      </c>
      <c r="J2089" s="27" t="s">
        <v>138</v>
      </c>
      <c r="K2089" s="29">
        <v>252</v>
      </c>
      <c r="L2089" s="31">
        <v>22292.10999999</v>
      </c>
      <c r="M2089" s="31">
        <v>17770.660000009</v>
      </c>
      <c r="N2089" s="31">
        <v>17770.660000009</v>
      </c>
      <c r="O2089" s="34">
        <f t="shared" si="276"/>
        <v>0.7971726319319693</v>
      </c>
      <c r="P2089" s="34">
        <f t="shared" si="277"/>
        <v>1</v>
      </c>
      <c r="Q2089" s="34">
        <f t="shared" si="278"/>
        <v>0.2028273680680307</v>
      </c>
      <c r="R2089" s="46">
        <f t="shared" si="279"/>
        <v>70.518492063527773</v>
      </c>
    </row>
    <row r="2090" spans="2:18" ht="12.75" customHeight="1" x14ac:dyDescent="0.25">
      <c r="B2090" s="17" t="s">
        <v>0</v>
      </c>
      <c r="C2090" s="44" t="s">
        <v>58</v>
      </c>
      <c r="D2090" s="22" t="s">
        <v>9</v>
      </c>
      <c r="E2090" s="20">
        <v>2</v>
      </c>
      <c r="F2090" s="17" t="s">
        <v>289</v>
      </c>
      <c r="G2090" s="17" t="s">
        <v>302</v>
      </c>
      <c r="H2090" s="17" t="s">
        <v>303</v>
      </c>
      <c r="I2090" s="17" t="s">
        <v>304</v>
      </c>
      <c r="J2090" s="27" t="s">
        <v>59</v>
      </c>
      <c r="K2090" s="29">
        <v>50</v>
      </c>
      <c r="L2090" s="31">
        <v>17550</v>
      </c>
      <c r="M2090" s="31">
        <v>13691.97</v>
      </c>
      <c r="N2090" s="31">
        <v>13691.97</v>
      </c>
      <c r="O2090" s="34">
        <f t="shared" si="276"/>
        <v>0.78016923076923073</v>
      </c>
      <c r="P2090" s="34">
        <f t="shared" si="277"/>
        <v>1</v>
      </c>
      <c r="Q2090" s="34">
        <f t="shared" si="278"/>
        <v>0.21983076923076927</v>
      </c>
      <c r="R2090" s="46">
        <f t="shared" si="279"/>
        <v>273.83940000000001</v>
      </c>
    </row>
    <row r="2091" spans="2:18" ht="12.75" customHeight="1" x14ac:dyDescent="0.25">
      <c r="B2091" s="17" t="s">
        <v>0</v>
      </c>
      <c r="C2091" s="44" t="s">
        <v>96</v>
      </c>
      <c r="D2091" s="22" t="s">
        <v>9</v>
      </c>
      <c r="E2091" s="20">
        <v>2</v>
      </c>
      <c r="F2091" s="17" t="s">
        <v>289</v>
      </c>
      <c r="G2091" s="17" t="s">
        <v>302</v>
      </c>
      <c r="H2091" s="17" t="s">
        <v>303</v>
      </c>
      <c r="I2091" s="17" t="s">
        <v>304</v>
      </c>
      <c r="J2091" s="27" t="s">
        <v>97</v>
      </c>
      <c r="K2091" s="29">
        <v>102</v>
      </c>
      <c r="L2091" s="31">
        <v>20859</v>
      </c>
      <c r="M2091" s="31">
        <v>9526.8800000129995</v>
      </c>
      <c r="N2091" s="31">
        <v>9526.8800000129995</v>
      </c>
      <c r="O2091" s="34">
        <f t="shared" si="276"/>
        <v>0.45672755165698259</v>
      </c>
      <c r="P2091" s="34">
        <f t="shared" si="277"/>
        <v>1</v>
      </c>
      <c r="Q2091" s="34">
        <f t="shared" si="278"/>
        <v>0.54327244834301736</v>
      </c>
      <c r="R2091" s="46">
        <f t="shared" si="279"/>
        <v>93.400784313852938</v>
      </c>
    </row>
    <row r="2092" spans="2:18" ht="12.75" customHeight="1" x14ac:dyDescent="0.25">
      <c r="B2092" s="17" t="s">
        <v>0</v>
      </c>
      <c r="C2092" s="44" t="s">
        <v>155</v>
      </c>
      <c r="D2092" s="22" t="s">
        <v>9</v>
      </c>
      <c r="E2092" s="20">
        <v>2</v>
      </c>
      <c r="F2092" s="17" t="s">
        <v>289</v>
      </c>
      <c r="G2092" s="17" t="s">
        <v>302</v>
      </c>
      <c r="H2092" s="17" t="s">
        <v>303</v>
      </c>
      <c r="I2092" s="17" t="s">
        <v>304</v>
      </c>
      <c r="J2092" s="27" t="s">
        <v>156</v>
      </c>
      <c r="K2092" s="29">
        <v>56</v>
      </c>
      <c r="L2092" s="31">
        <v>19992</v>
      </c>
      <c r="M2092" s="31">
        <v>7535.3799998400009</v>
      </c>
      <c r="N2092" s="31">
        <v>7535.3799998400009</v>
      </c>
      <c r="O2092" s="34">
        <f t="shared" si="276"/>
        <v>0.37691976789915971</v>
      </c>
      <c r="P2092" s="34">
        <f t="shared" si="277"/>
        <v>1</v>
      </c>
      <c r="Q2092" s="34">
        <f t="shared" si="278"/>
        <v>0.62308023210084029</v>
      </c>
      <c r="R2092" s="46">
        <f t="shared" si="279"/>
        <v>134.56035714000001</v>
      </c>
    </row>
    <row r="2093" spans="2:18" ht="12.75" customHeight="1" x14ac:dyDescent="0.25">
      <c r="B2093" s="17" t="s">
        <v>0</v>
      </c>
      <c r="C2093" s="44" t="s">
        <v>16</v>
      </c>
      <c r="D2093" s="22" t="s">
        <v>9</v>
      </c>
      <c r="E2093" s="20">
        <v>2</v>
      </c>
      <c r="F2093" s="17" t="s">
        <v>289</v>
      </c>
      <c r="G2093" s="17" t="s">
        <v>302</v>
      </c>
      <c r="H2093" s="17" t="s">
        <v>303</v>
      </c>
      <c r="I2093" s="17" t="s">
        <v>304</v>
      </c>
      <c r="J2093" s="27" t="s">
        <v>17</v>
      </c>
      <c r="K2093" s="29">
        <v>24</v>
      </c>
      <c r="L2093" s="31">
        <v>9000</v>
      </c>
      <c r="M2093" s="31">
        <v>6636.5999999999995</v>
      </c>
      <c r="N2093" s="31">
        <v>6636.5999999999995</v>
      </c>
      <c r="O2093" s="34">
        <f t="shared" si="276"/>
        <v>0.73739999999999994</v>
      </c>
      <c r="P2093" s="34">
        <f t="shared" si="277"/>
        <v>1</v>
      </c>
      <c r="Q2093" s="34">
        <f t="shared" si="278"/>
        <v>0.26260000000000006</v>
      </c>
      <c r="R2093" s="46">
        <f t="shared" si="279"/>
        <v>276.52499999999998</v>
      </c>
    </row>
    <row r="2094" spans="2:18" ht="12.75" customHeight="1" x14ac:dyDescent="0.25">
      <c r="B2094" s="17" t="s">
        <v>0</v>
      </c>
      <c r="C2094" s="44" t="s">
        <v>18</v>
      </c>
      <c r="D2094" s="22" t="s">
        <v>9</v>
      </c>
      <c r="E2094" s="20">
        <v>2</v>
      </c>
      <c r="F2094" s="17" t="s">
        <v>289</v>
      </c>
      <c r="G2094" s="17" t="s">
        <v>302</v>
      </c>
      <c r="H2094" s="17" t="s">
        <v>303</v>
      </c>
      <c r="I2094" s="17" t="s">
        <v>304</v>
      </c>
      <c r="J2094" s="27" t="s">
        <v>19</v>
      </c>
      <c r="K2094" s="29">
        <v>90</v>
      </c>
      <c r="L2094" s="31">
        <v>18000</v>
      </c>
      <c r="M2094" s="31">
        <v>4525.2</v>
      </c>
      <c r="N2094" s="31">
        <v>4525.2</v>
      </c>
      <c r="O2094" s="34">
        <f t="shared" si="276"/>
        <v>0.25140000000000001</v>
      </c>
      <c r="P2094" s="34">
        <f t="shared" si="277"/>
        <v>1</v>
      </c>
      <c r="Q2094" s="34">
        <f t="shared" si="278"/>
        <v>0.74859999999999993</v>
      </c>
      <c r="R2094" s="46">
        <f t="shared" si="279"/>
        <v>50.28</v>
      </c>
    </row>
    <row r="2095" spans="2:18" ht="12.75" customHeight="1" x14ac:dyDescent="0.25">
      <c r="B2095" s="17" t="s">
        <v>0</v>
      </c>
      <c r="C2095" s="44" t="s">
        <v>182</v>
      </c>
      <c r="D2095" s="22" t="s">
        <v>9</v>
      </c>
      <c r="E2095" s="20">
        <v>2</v>
      </c>
      <c r="F2095" s="17" t="s">
        <v>289</v>
      </c>
      <c r="G2095" s="17" t="s">
        <v>302</v>
      </c>
      <c r="H2095" s="17" t="s">
        <v>303</v>
      </c>
      <c r="I2095" s="17" t="s">
        <v>304</v>
      </c>
      <c r="J2095" s="27" t="s">
        <v>183</v>
      </c>
      <c r="K2095" s="29">
        <v>41</v>
      </c>
      <c r="L2095" s="31">
        <v>10163</v>
      </c>
      <c r="M2095" s="31">
        <v>4471.1099999000007</v>
      </c>
      <c r="N2095" s="31">
        <v>4471.1099999000007</v>
      </c>
      <c r="O2095" s="34">
        <f t="shared" si="276"/>
        <v>0.43993997834300902</v>
      </c>
      <c r="P2095" s="34">
        <f t="shared" si="277"/>
        <v>1</v>
      </c>
      <c r="Q2095" s="34">
        <f t="shared" si="278"/>
        <v>0.56006002165699098</v>
      </c>
      <c r="R2095" s="46">
        <f t="shared" si="279"/>
        <v>109.05146341219513</v>
      </c>
    </row>
    <row r="2096" spans="2:18" ht="12.75" customHeight="1" x14ac:dyDescent="0.25">
      <c r="B2096" s="17" t="s">
        <v>0</v>
      </c>
      <c r="C2096" s="44" t="s">
        <v>227</v>
      </c>
      <c r="D2096" s="22" t="s">
        <v>9</v>
      </c>
      <c r="E2096" s="20">
        <v>2</v>
      </c>
      <c r="F2096" s="17" t="s">
        <v>289</v>
      </c>
      <c r="G2096" s="17" t="s">
        <v>302</v>
      </c>
      <c r="H2096" s="17" t="s">
        <v>303</v>
      </c>
      <c r="I2096" s="17" t="s">
        <v>304</v>
      </c>
      <c r="J2096" s="27" t="s">
        <v>228</v>
      </c>
      <c r="K2096" s="29">
        <v>74</v>
      </c>
      <c r="L2096" s="31">
        <v>14014</v>
      </c>
      <c r="M2096" s="31">
        <v>4641.3999999999996</v>
      </c>
      <c r="N2096" s="31">
        <v>4240.9400000000005</v>
      </c>
      <c r="O2096" s="34">
        <f t="shared" si="276"/>
        <v>0.33119737405451688</v>
      </c>
      <c r="P2096" s="34">
        <f t="shared" si="277"/>
        <v>0.91371999827638228</v>
      </c>
      <c r="Q2096" s="34">
        <f t="shared" si="278"/>
        <v>0.66880262594548312</v>
      </c>
      <c r="R2096" s="46">
        <f t="shared" si="279"/>
        <v>57.310000000000009</v>
      </c>
    </row>
    <row r="2097" spans="2:18" ht="12.75" customHeight="1" x14ac:dyDescent="0.25">
      <c r="B2097" s="17" t="s">
        <v>0</v>
      </c>
      <c r="C2097" s="44" t="s">
        <v>90</v>
      </c>
      <c r="D2097" s="22" t="s">
        <v>9</v>
      </c>
      <c r="E2097" s="20">
        <v>2</v>
      </c>
      <c r="F2097" s="17" t="s">
        <v>289</v>
      </c>
      <c r="G2097" s="17" t="s">
        <v>302</v>
      </c>
      <c r="H2097" s="17" t="s">
        <v>303</v>
      </c>
      <c r="I2097" s="17" t="s">
        <v>304</v>
      </c>
      <c r="J2097" s="27" t="s">
        <v>91</v>
      </c>
      <c r="K2097" s="29">
        <v>88</v>
      </c>
      <c r="L2097" s="31">
        <v>6512</v>
      </c>
      <c r="M2097" s="31">
        <v>3026.3199999999997</v>
      </c>
      <c r="N2097" s="31">
        <v>3026.3199999999997</v>
      </c>
      <c r="O2097" s="34">
        <f t="shared" si="276"/>
        <v>0.4647297297297297</v>
      </c>
      <c r="P2097" s="34">
        <f t="shared" si="277"/>
        <v>1</v>
      </c>
      <c r="Q2097" s="34">
        <f t="shared" si="278"/>
        <v>0.5352702702702703</v>
      </c>
      <c r="R2097" s="46">
        <f t="shared" si="279"/>
        <v>34.389999999999993</v>
      </c>
    </row>
    <row r="2098" spans="2:18" ht="12.75" customHeight="1" x14ac:dyDescent="0.25">
      <c r="B2098" s="17" t="s">
        <v>0</v>
      </c>
      <c r="C2098" s="44" t="s">
        <v>157</v>
      </c>
      <c r="D2098" s="22" t="s">
        <v>9</v>
      </c>
      <c r="E2098" s="20">
        <v>2</v>
      </c>
      <c r="F2098" s="17" t="s">
        <v>289</v>
      </c>
      <c r="G2098" s="17" t="s">
        <v>302</v>
      </c>
      <c r="H2098" s="17" t="s">
        <v>303</v>
      </c>
      <c r="I2098" s="17" t="s">
        <v>304</v>
      </c>
      <c r="J2098" s="27" t="s">
        <v>158</v>
      </c>
      <c r="K2098" s="29">
        <v>58</v>
      </c>
      <c r="L2098" s="31">
        <v>5800</v>
      </c>
      <c r="M2098" s="31">
        <v>2815.680000026</v>
      </c>
      <c r="N2098" s="31">
        <v>2815.680000026</v>
      </c>
      <c r="O2098" s="34">
        <f t="shared" si="276"/>
        <v>0.48546206896999999</v>
      </c>
      <c r="P2098" s="34">
        <f t="shared" si="277"/>
        <v>1</v>
      </c>
      <c r="Q2098" s="34">
        <f t="shared" si="278"/>
        <v>0.51453793103000001</v>
      </c>
      <c r="R2098" s="46">
        <f t="shared" si="279"/>
        <v>48.546206896999998</v>
      </c>
    </row>
    <row r="2099" spans="2:18" ht="12.75" customHeight="1" x14ac:dyDescent="0.25">
      <c r="B2099" s="17" t="s">
        <v>0</v>
      </c>
      <c r="C2099" s="44" t="s">
        <v>68</v>
      </c>
      <c r="D2099" s="22" t="s">
        <v>9</v>
      </c>
      <c r="E2099" s="20">
        <v>2</v>
      </c>
      <c r="F2099" s="17" t="s">
        <v>289</v>
      </c>
      <c r="G2099" s="17" t="s">
        <v>302</v>
      </c>
      <c r="H2099" s="17" t="s">
        <v>303</v>
      </c>
      <c r="I2099" s="17" t="s">
        <v>304</v>
      </c>
      <c r="J2099" s="27" t="s">
        <v>69</v>
      </c>
      <c r="K2099" s="29">
        <v>30</v>
      </c>
      <c r="L2099" s="31">
        <v>3375</v>
      </c>
      <c r="M2099" s="31">
        <v>1924.0499999999997</v>
      </c>
      <c r="N2099" s="31">
        <v>1924.0499999999997</v>
      </c>
      <c r="O2099" s="34">
        <f t="shared" si="276"/>
        <v>0.57008888888888876</v>
      </c>
      <c r="P2099" s="34">
        <f t="shared" si="277"/>
        <v>1</v>
      </c>
      <c r="Q2099" s="34">
        <f t="shared" si="278"/>
        <v>0.42991111111111124</v>
      </c>
      <c r="R2099" s="46">
        <f t="shared" si="279"/>
        <v>64.134999999999991</v>
      </c>
    </row>
    <row r="2100" spans="2:18" ht="12.75" customHeight="1" x14ac:dyDescent="0.25">
      <c r="B2100" s="17" t="s">
        <v>0</v>
      </c>
      <c r="C2100" s="44" t="s">
        <v>135</v>
      </c>
      <c r="D2100" s="22" t="s">
        <v>9</v>
      </c>
      <c r="E2100" s="20">
        <v>2</v>
      </c>
      <c r="F2100" s="17" t="s">
        <v>289</v>
      </c>
      <c r="G2100" s="17" t="s">
        <v>302</v>
      </c>
      <c r="H2100" s="17" t="s">
        <v>303</v>
      </c>
      <c r="I2100" s="17" t="s">
        <v>304</v>
      </c>
      <c r="J2100" s="27" t="s">
        <v>136</v>
      </c>
      <c r="K2100" s="29">
        <v>26</v>
      </c>
      <c r="L2100" s="31">
        <v>2704</v>
      </c>
      <c r="M2100" s="31">
        <v>1307.28</v>
      </c>
      <c r="N2100" s="31">
        <v>1307.28</v>
      </c>
      <c r="O2100" s="34">
        <f t="shared" si="276"/>
        <v>0.48346153846153844</v>
      </c>
      <c r="P2100" s="34">
        <f t="shared" si="277"/>
        <v>1</v>
      </c>
      <c r="Q2100" s="34">
        <f t="shared" si="278"/>
        <v>0.51653846153846161</v>
      </c>
      <c r="R2100" s="46">
        <f t="shared" si="279"/>
        <v>50.28</v>
      </c>
    </row>
    <row r="2101" spans="2:18" ht="12.75" customHeight="1" x14ac:dyDescent="0.25">
      <c r="B2101" s="17" t="s">
        <v>0</v>
      </c>
      <c r="C2101" s="44" t="s">
        <v>92</v>
      </c>
      <c r="D2101" s="22" t="s">
        <v>9</v>
      </c>
      <c r="E2101" s="20">
        <v>2</v>
      </c>
      <c r="F2101" s="17" t="s">
        <v>289</v>
      </c>
      <c r="G2101" s="17" t="s">
        <v>302</v>
      </c>
      <c r="H2101" s="17" t="s">
        <v>303</v>
      </c>
      <c r="I2101" s="17" t="s">
        <v>304</v>
      </c>
      <c r="J2101" s="27" t="s">
        <v>93</v>
      </c>
      <c r="K2101" s="29">
        <v>18</v>
      </c>
      <c r="L2101" s="31">
        <v>1710</v>
      </c>
      <c r="M2101" s="31">
        <v>1239.8399999999999</v>
      </c>
      <c r="N2101" s="31">
        <v>1239.8399999999999</v>
      </c>
      <c r="O2101" s="34">
        <f t="shared" si="276"/>
        <v>0.72505263157894728</v>
      </c>
      <c r="P2101" s="34">
        <f t="shared" si="277"/>
        <v>1</v>
      </c>
      <c r="Q2101" s="34">
        <f t="shared" si="278"/>
        <v>0.27494736842105272</v>
      </c>
      <c r="R2101" s="46">
        <f t="shared" si="279"/>
        <v>68.88</v>
      </c>
    </row>
    <row r="2102" spans="2:18" ht="12.75" customHeight="1" x14ac:dyDescent="0.25">
      <c r="B2102" s="17" t="s">
        <v>0</v>
      </c>
      <c r="C2102" s="44" t="s">
        <v>72</v>
      </c>
      <c r="D2102" s="22" t="s">
        <v>9</v>
      </c>
      <c r="E2102" s="20">
        <v>2</v>
      </c>
      <c r="F2102" s="17" t="s">
        <v>289</v>
      </c>
      <c r="G2102" s="17" t="s">
        <v>302</v>
      </c>
      <c r="H2102" s="17" t="s">
        <v>303</v>
      </c>
      <c r="I2102" s="17" t="s">
        <v>304</v>
      </c>
      <c r="J2102" s="27" t="s">
        <v>73</v>
      </c>
      <c r="K2102" s="29">
        <v>18</v>
      </c>
      <c r="L2102" s="31">
        <v>3672</v>
      </c>
      <c r="M2102" s="31">
        <v>1201.2800000039999</v>
      </c>
      <c r="N2102" s="31">
        <v>1201.2800000039999</v>
      </c>
      <c r="O2102" s="34">
        <f t="shared" si="276"/>
        <v>0.32714596949999997</v>
      </c>
      <c r="P2102" s="34">
        <f t="shared" si="277"/>
        <v>1</v>
      </c>
      <c r="Q2102" s="34">
        <f t="shared" si="278"/>
        <v>0.67285403050000003</v>
      </c>
      <c r="R2102" s="46">
        <f t="shared" si="279"/>
        <v>66.737777777999995</v>
      </c>
    </row>
    <row r="2103" spans="2:18" ht="12.75" customHeight="1" x14ac:dyDescent="0.25">
      <c r="B2103" s="17" t="s">
        <v>0</v>
      </c>
      <c r="C2103" s="44" t="s">
        <v>82</v>
      </c>
      <c r="D2103" s="22" t="s">
        <v>2</v>
      </c>
      <c r="E2103" s="20">
        <v>1</v>
      </c>
      <c r="F2103" s="17" t="s">
        <v>289</v>
      </c>
      <c r="G2103" s="17" t="s">
        <v>302</v>
      </c>
      <c r="H2103" s="17" t="s">
        <v>303</v>
      </c>
      <c r="I2103" s="17" t="s">
        <v>304</v>
      </c>
      <c r="J2103" s="27" t="s">
        <v>83</v>
      </c>
      <c r="K2103" s="29">
        <v>40</v>
      </c>
      <c r="L2103" s="31">
        <v>2752</v>
      </c>
      <c r="M2103" s="31">
        <v>1438.3400000010001</v>
      </c>
      <c r="N2103" s="31">
        <v>926.81000000400002</v>
      </c>
      <c r="O2103" s="34">
        <f t="shared" si="276"/>
        <v>0.52265261627943316</v>
      </c>
      <c r="P2103" s="34">
        <f t="shared" si="277"/>
        <v>0.64436086043866925</v>
      </c>
      <c r="Q2103" s="34">
        <f t="shared" si="278"/>
        <v>0.47734738372056684</v>
      </c>
      <c r="R2103" s="46">
        <f t="shared" si="279"/>
        <v>23.170250000100001</v>
      </c>
    </row>
    <row r="2104" spans="2:18" ht="12.75" customHeight="1" thickBot="1" x14ac:dyDescent="0.3">
      <c r="B2104" s="15" t="s">
        <v>0</v>
      </c>
      <c r="C2104" s="50" t="s">
        <v>36</v>
      </c>
      <c r="D2104" s="19" t="s">
        <v>9</v>
      </c>
      <c r="E2104" s="16">
        <v>2</v>
      </c>
      <c r="F2104" s="15" t="s">
        <v>289</v>
      </c>
      <c r="G2104" s="15" t="s">
        <v>302</v>
      </c>
      <c r="H2104" s="15" t="s">
        <v>303</v>
      </c>
      <c r="I2104" s="15" t="s">
        <v>304</v>
      </c>
      <c r="J2104" s="24" t="s">
        <v>37</v>
      </c>
      <c r="K2104" s="26">
        <v>12</v>
      </c>
      <c r="L2104" s="28">
        <v>1020</v>
      </c>
      <c r="M2104" s="28">
        <v>826.56</v>
      </c>
      <c r="N2104" s="28">
        <v>826.56</v>
      </c>
      <c r="O2104" s="32">
        <f t="shared" si="276"/>
        <v>0.8103529411764705</v>
      </c>
      <c r="P2104" s="32">
        <f t="shared" si="277"/>
        <v>1</v>
      </c>
      <c r="Q2104" s="32">
        <f t="shared" si="278"/>
        <v>0.1896470588235295</v>
      </c>
      <c r="R2104" s="49">
        <f t="shared" si="279"/>
        <v>68.88</v>
      </c>
    </row>
    <row r="2105" spans="2:18" ht="17.25" customHeight="1" x14ac:dyDescent="0.25">
      <c r="B2105" s="48"/>
      <c r="C2105" s="58"/>
      <c r="D2105" s="51" t="s">
        <v>366</v>
      </c>
      <c r="E2105" s="52"/>
      <c r="F2105" s="52"/>
      <c r="G2105" s="53"/>
      <c r="H2105" s="53"/>
      <c r="I2105" s="53"/>
      <c r="J2105" s="54"/>
      <c r="K2105" s="55">
        <f>SUM(K2070:K2104)</f>
        <v>8591023</v>
      </c>
      <c r="L2105" s="56">
        <f>SUM(L2070:L2104)</f>
        <v>807002423.61065173</v>
      </c>
      <c r="M2105" s="56">
        <f>SUM(M2070:M2104)</f>
        <v>507528145.52991802</v>
      </c>
      <c r="N2105" s="56">
        <f>SUM(N2070:N2104)</f>
        <v>506850618.74991071</v>
      </c>
      <c r="O2105" s="57">
        <f>IFERROR(M2105/L2105,0)</f>
        <v>0.62890535478091847</v>
      </c>
      <c r="P2105" s="57">
        <f>IFERROR(N2105/M2105,0)</f>
        <v>0.99866504589750404</v>
      </c>
      <c r="Q2105" s="57">
        <f>IFERROR(1-(M2105/L2105),0)</f>
        <v>0.37109464521908153</v>
      </c>
      <c r="R2105" s="59">
        <f>IFERROR(N2105/K2105,0)</f>
        <v>58.997702456379258</v>
      </c>
    </row>
    <row r="2106" spans="2:18" ht="15.75" thickBot="1" x14ac:dyDescent="0.3">
      <c r="B2106" s="60"/>
      <c r="C2106" s="64"/>
      <c r="D2106" s="62" t="s">
        <v>304</v>
      </c>
      <c r="E2106" s="61"/>
      <c r="F2106" s="61"/>
      <c r="G2106" s="61"/>
      <c r="H2106" s="61"/>
      <c r="I2106" s="61"/>
      <c r="J2106" s="61"/>
      <c r="K2106" s="63"/>
      <c r="L2106" s="63"/>
      <c r="M2106" s="63"/>
      <c r="N2106" s="63"/>
      <c r="O2106" s="63"/>
      <c r="P2106" s="63"/>
      <c r="Q2106" s="63"/>
      <c r="R2106" s="65"/>
    </row>
    <row r="2107" spans="2:18" ht="15.75" thickBot="1" x14ac:dyDescent="0.3"/>
    <row r="2108" spans="2:18" ht="15.75" x14ac:dyDescent="0.25">
      <c r="B2108" s="1"/>
      <c r="C2108" s="7" t="s">
        <v>348</v>
      </c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9"/>
    </row>
    <row r="2109" spans="2:18" ht="18" x14ac:dyDescent="0.25">
      <c r="B2109" s="2"/>
      <c r="C2109" s="8" t="s">
        <v>307</v>
      </c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10"/>
    </row>
    <row r="2110" spans="2:18" ht="15.75" thickBot="1" x14ac:dyDescent="0.3">
      <c r="B2110" s="3"/>
      <c r="C2110" s="11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12"/>
    </row>
    <row r="2111" spans="2:18" ht="17.25" customHeight="1" thickBot="1" x14ac:dyDescent="0.3">
      <c r="B2111" s="14" t="s">
        <v>349</v>
      </c>
      <c r="C2111" s="18" t="s">
        <v>350</v>
      </c>
      <c r="D2111" s="21" t="s">
        <v>351</v>
      </c>
      <c r="E2111" s="23" t="s">
        <v>352</v>
      </c>
      <c r="F2111" s="21" t="s">
        <v>353</v>
      </c>
      <c r="G2111" s="23" t="s">
        <v>354</v>
      </c>
      <c r="H2111" s="23" t="s">
        <v>355</v>
      </c>
      <c r="I2111" s="23" t="s">
        <v>356</v>
      </c>
      <c r="J2111" s="25" t="s">
        <v>357</v>
      </c>
      <c r="K2111" s="25" t="s">
        <v>358</v>
      </c>
      <c r="L2111" s="30" t="s">
        <v>359</v>
      </c>
      <c r="M2111" s="30" t="s">
        <v>360</v>
      </c>
      <c r="N2111" s="30" t="s">
        <v>361</v>
      </c>
      <c r="O2111" s="33" t="s">
        <v>362</v>
      </c>
      <c r="P2111" s="33" t="s">
        <v>363</v>
      </c>
      <c r="Q2111" s="33" t="s">
        <v>364</v>
      </c>
      <c r="R2111" s="35" t="s">
        <v>365</v>
      </c>
    </row>
    <row r="2112" spans="2:18" ht="12.75" customHeight="1" x14ac:dyDescent="0.25">
      <c r="B2112" s="17" t="s">
        <v>0</v>
      </c>
      <c r="C2112" s="43" t="s">
        <v>66</v>
      </c>
      <c r="D2112" s="37" t="s">
        <v>9</v>
      </c>
      <c r="E2112" s="36">
        <v>2</v>
      </c>
      <c r="F2112" s="38" t="s">
        <v>289</v>
      </c>
      <c r="G2112" s="38" t="s">
        <v>305</v>
      </c>
      <c r="H2112" s="38" t="s">
        <v>306</v>
      </c>
      <c r="I2112" s="38" t="s">
        <v>307</v>
      </c>
      <c r="J2112" s="39" t="s">
        <v>67</v>
      </c>
      <c r="K2112" s="40">
        <v>98828</v>
      </c>
      <c r="L2112" s="41">
        <v>60448558.290003426</v>
      </c>
      <c r="M2112" s="41">
        <v>18729196.480004154</v>
      </c>
      <c r="N2112" s="41">
        <v>14706108.930005111</v>
      </c>
      <c r="O2112" s="42">
        <f t="shared" ref="O2112:O2143" si="280">IFERROR(M2112/L2112,0)</f>
        <v>0.30983694251483018</v>
      </c>
      <c r="P2112" s="42">
        <f t="shared" ref="P2112:P2143" si="281">IFERROR(N2112/M2112,0)</f>
        <v>0.78519700221554023</v>
      </c>
      <c r="Q2112" s="42">
        <f t="shared" ref="Q2112:Q2143" si="282">IFERROR(1-(M2112/L2112),0)</f>
        <v>0.69016305748516982</v>
      </c>
      <c r="R2112" s="45">
        <f t="shared" ref="R2112:R2143" si="283">IFERROR(N2112/K2112,0)</f>
        <v>148.80508489502074</v>
      </c>
    </row>
    <row r="2113" spans="2:18" ht="12.75" customHeight="1" x14ac:dyDescent="0.25">
      <c r="B2113" s="17" t="s">
        <v>0</v>
      </c>
      <c r="C2113" s="44" t="s">
        <v>236</v>
      </c>
      <c r="D2113" s="22" t="s">
        <v>9</v>
      </c>
      <c r="E2113" s="20">
        <v>2</v>
      </c>
      <c r="F2113" s="17" t="s">
        <v>289</v>
      </c>
      <c r="G2113" s="17" t="s">
        <v>305</v>
      </c>
      <c r="H2113" s="17" t="s">
        <v>306</v>
      </c>
      <c r="I2113" s="17" t="s">
        <v>307</v>
      </c>
      <c r="J2113" s="27" t="s">
        <v>237</v>
      </c>
      <c r="K2113" s="29">
        <v>29331</v>
      </c>
      <c r="L2113" s="31">
        <v>102240512.71982689</v>
      </c>
      <c r="M2113" s="31">
        <v>13262358.799878761</v>
      </c>
      <c r="N2113" s="31">
        <v>10494062.249989402</v>
      </c>
      <c r="O2113" s="34">
        <f t="shared" si="280"/>
        <v>0.12971725637000714</v>
      </c>
      <c r="P2113" s="34">
        <f t="shared" si="281"/>
        <v>0.79126665236091587</v>
      </c>
      <c r="Q2113" s="34">
        <f t="shared" si="282"/>
        <v>0.87028274362999292</v>
      </c>
      <c r="R2113" s="46">
        <f t="shared" si="283"/>
        <v>357.78058197775056</v>
      </c>
    </row>
    <row r="2114" spans="2:18" ht="12.75" customHeight="1" x14ac:dyDescent="0.25">
      <c r="B2114" s="17" t="s">
        <v>0</v>
      </c>
      <c r="C2114" s="44" t="s">
        <v>66</v>
      </c>
      <c r="D2114" s="22" t="s">
        <v>2</v>
      </c>
      <c r="E2114" s="20">
        <v>1</v>
      </c>
      <c r="F2114" s="17" t="s">
        <v>289</v>
      </c>
      <c r="G2114" s="17" t="s">
        <v>305</v>
      </c>
      <c r="H2114" s="17" t="s">
        <v>306</v>
      </c>
      <c r="I2114" s="17" t="s">
        <v>307</v>
      </c>
      <c r="J2114" s="27" t="s">
        <v>67</v>
      </c>
      <c r="K2114" s="29">
        <v>75599</v>
      </c>
      <c r="L2114" s="31">
        <v>130548839.10001099</v>
      </c>
      <c r="M2114" s="31">
        <v>5500926.5300033353</v>
      </c>
      <c r="N2114" s="31">
        <v>4333437.1199986404</v>
      </c>
      <c r="O2114" s="34">
        <f t="shared" si="280"/>
        <v>4.2136924142153268E-2</v>
      </c>
      <c r="P2114" s="34">
        <f t="shared" si="281"/>
        <v>0.78776495129739765</v>
      </c>
      <c r="Q2114" s="34">
        <f t="shared" si="282"/>
        <v>0.95786307585784669</v>
      </c>
      <c r="R2114" s="46">
        <f t="shared" si="283"/>
        <v>57.321355044360907</v>
      </c>
    </row>
    <row r="2115" spans="2:18" ht="12.75" customHeight="1" x14ac:dyDescent="0.25">
      <c r="B2115" s="17" t="s">
        <v>0</v>
      </c>
      <c r="C2115" s="44" t="s">
        <v>44</v>
      </c>
      <c r="D2115" s="22" t="s">
        <v>9</v>
      </c>
      <c r="E2115" s="20">
        <v>2</v>
      </c>
      <c r="F2115" s="17" t="s">
        <v>289</v>
      </c>
      <c r="G2115" s="17" t="s">
        <v>305</v>
      </c>
      <c r="H2115" s="17" t="s">
        <v>306</v>
      </c>
      <c r="I2115" s="17" t="s">
        <v>307</v>
      </c>
      <c r="J2115" s="27" t="s">
        <v>45</v>
      </c>
      <c r="K2115" s="29">
        <v>13910</v>
      </c>
      <c r="L2115" s="31">
        <v>10150250.819993759</v>
      </c>
      <c r="M2115" s="31">
        <v>3269552.6500034635</v>
      </c>
      <c r="N2115" s="31">
        <v>2540013.2999956496</v>
      </c>
      <c r="O2115" s="34">
        <f t="shared" si="280"/>
        <v>0.32211545389234764</v>
      </c>
      <c r="P2115" s="34">
        <f t="shared" si="281"/>
        <v>0.77686875603393601</v>
      </c>
      <c r="Q2115" s="34">
        <f t="shared" si="282"/>
        <v>0.67788454610765236</v>
      </c>
      <c r="R2115" s="46">
        <f t="shared" si="283"/>
        <v>182.60340043103162</v>
      </c>
    </row>
    <row r="2116" spans="2:18" ht="12.75" customHeight="1" x14ac:dyDescent="0.25">
      <c r="B2116" s="17" t="s">
        <v>0</v>
      </c>
      <c r="C2116" s="44" t="s">
        <v>58</v>
      </c>
      <c r="D2116" s="22" t="s">
        <v>9</v>
      </c>
      <c r="E2116" s="20">
        <v>2</v>
      </c>
      <c r="F2116" s="17" t="s">
        <v>289</v>
      </c>
      <c r="G2116" s="17" t="s">
        <v>305</v>
      </c>
      <c r="H2116" s="17" t="s">
        <v>306</v>
      </c>
      <c r="I2116" s="17" t="s">
        <v>307</v>
      </c>
      <c r="J2116" s="27" t="s">
        <v>59</v>
      </c>
      <c r="K2116" s="29">
        <v>23014</v>
      </c>
      <c r="L2116" s="31">
        <v>9664443.0999976937</v>
      </c>
      <c r="M2116" s="31">
        <v>2859260.8599957419</v>
      </c>
      <c r="N2116" s="31">
        <v>2234992.9099991047</v>
      </c>
      <c r="O2116" s="34">
        <f t="shared" si="280"/>
        <v>0.29585365968955046</v>
      </c>
      <c r="P2116" s="34">
        <f t="shared" si="281"/>
        <v>0.78166806718098225</v>
      </c>
      <c r="Q2116" s="34">
        <f t="shared" si="282"/>
        <v>0.70414634031044954</v>
      </c>
      <c r="R2116" s="46">
        <f t="shared" si="283"/>
        <v>97.114491613761388</v>
      </c>
    </row>
    <row r="2117" spans="2:18" ht="12.75" customHeight="1" x14ac:dyDescent="0.25">
      <c r="B2117" s="17" t="s">
        <v>0</v>
      </c>
      <c r="C2117" s="44" t="s">
        <v>30</v>
      </c>
      <c r="D2117" s="22" t="s">
        <v>9</v>
      </c>
      <c r="E2117" s="20">
        <v>2</v>
      </c>
      <c r="F2117" s="17" t="s">
        <v>289</v>
      </c>
      <c r="G2117" s="17" t="s">
        <v>305</v>
      </c>
      <c r="H2117" s="17" t="s">
        <v>306</v>
      </c>
      <c r="I2117" s="17" t="s">
        <v>307</v>
      </c>
      <c r="J2117" s="27" t="s">
        <v>31</v>
      </c>
      <c r="K2117" s="29">
        <v>10771</v>
      </c>
      <c r="L2117" s="31">
        <v>5378458.859999029</v>
      </c>
      <c r="M2117" s="31">
        <v>2078453.6400051701</v>
      </c>
      <c r="N2117" s="31">
        <v>1620416.4400013112</v>
      </c>
      <c r="O2117" s="34">
        <f t="shared" si="280"/>
        <v>0.38644037150923666</v>
      </c>
      <c r="P2117" s="34">
        <f t="shared" si="281"/>
        <v>0.77962597231530284</v>
      </c>
      <c r="Q2117" s="34">
        <f t="shared" si="282"/>
        <v>0.6135596284907634</v>
      </c>
      <c r="R2117" s="46">
        <f t="shared" si="283"/>
        <v>150.44252529953684</v>
      </c>
    </row>
    <row r="2118" spans="2:18" ht="12.75" customHeight="1" x14ac:dyDescent="0.25">
      <c r="B2118" s="17" t="s">
        <v>0</v>
      </c>
      <c r="C2118" s="44" t="s">
        <v>155</v>
      </c>
      <c r="D2118" s="22" t="s">
        <v>9</v>
      </c>
      <c r="E2118" s="20">
        <v>2</v>
      </c>
      <c r="F2118" s="17" t="s">
        <v>289</v>
      </c>
      <c r="G2118" s="17" t="s">
        <v>305</v>
      </c>
      <c r="H2118" s="17" t="s">
        <v>306</v>
      </c>
      <c r="I2118" s="17" t="s">
        <v>307</v>
      </c>
      <c r="J2118" s="27" t="s">
        <v>156</v>
      </c>
      <c r="K2118" s="29">
        <v>7596</v>
      </c>
      <c r="L2118" s="31">
        <v>6141395.6800012598</v>
      </c>
      <c r="M2118" s="31">
        <v>1659230.0100064194</v>
      </c>
      <c r="N2118" s="31">
        <v>1269855.6000038274</v>
      </c>
      <c r="O2118" s="34">
        <f t="shared" si="280"/>
        <v>0.27017148812109743</v>
      </c>
      <c r="P2118" s="34">
        <f t="shared" si="281"/>
        <v>0.76532825005914307</v>
      </c>
      <c r="Q2118" s="34">
        <f t="shared" si="282"/>
        <v>0.72982851187890252</v>
      </c>
      <c r="R2118" s="46">
        <f t="shared" si="283"/>
        <v>167.17424960555917</v>
      </c>
    </row>
    <row r="2119" spans="2:18" ht="12.75" customHeight="1" x14ac:dyDescent="0.25">
      <c r="B2119" s="17" t="s">
        <v>0</v>
      </c>
      <c r="C2119" s="44" t="s">
        <v>54</v>
      </c>
      <c r="D2119" s="22" t="s">
        <v>9</v>
      </c>
      <c r="E2119" s="20">
        <v>2</v>
      </c>
      <c r="F2119" s="17" t="s">
        <v>289</v>
      </c>
      <c r="G2119" s="17" t="s">
        <v>305</v>
      </c>
      <c r="H2119" s="17" t="s">
        <v>306</v>
      </c>
      <c r="I2119" s="17" t="s">
        <v>307</v>
      </c>
      <c r="J2119" s="27" t="s">
        <v>55</v>
      </c>
      <c r="K2119" s="29">
        <v>7504</v>
      </c>
      <c r="L2119" s="31">
        <v>3367689.4100010195</v>
      </c>
      <c r="M2119" s="31">
        <v>1214991.6199995561</v>
      </c>
      <c r="N2119" s="31">
        <v>935445.2200020504</v>
      </c>
      <c r="O2119" s="34">
        <f t="shared" si="280"/>
        <v>0.360779000697451</v>
      </c>
      <c r="P2119" s="34">
        <f t="shared" si="281"/>
        <v>0.76991907154256101</v>
      </c>
      <c r="Q2119" s="34">
        <f t="shared" si="282"/>
        <v>0.63922099930254905</v>
      </c>
      <c r="R2119" s="46">
        <f t="shared" si="283"/>
        <v>124.6595442433436</v>
      </c>
    </row>
    <row r="2120" spans="2:18" ht="12.75" customHeight="1" x14ac:dyDescent="0.25">
      <c r="B2120" s="17" t="s">
        <v>0</v>
      </c>
      <c r="C2120" s="44" t="s">
        <v>46</v>
      </c>
      <c r="D2120" s="22" t="s">
        <v>9</v>
      </c>
      <c r="E2120" s="20">
        <v>2</v>
      </c>
      <c r="F2120" s="17" t="s">
        <v>289</v>
      </c>
      <c r="G2120" s="17" t="s">
        <v>305</v>
      </c>
      <c r="H2120" s="17" t="s">
        <v>306</v>
      </c>
      <c r="I2120" s="17" t="s">
        <v>307</v>
      </c>
      <c r="J2120" s="27" t="s">
        <v>47</v>
      </c>
      <c r="K2120" s="29">
        <v>4173</v>
      </c>
      <c r="L2120" s="31">
        <v>1264868.1400000099</v>
      </c>
      <c r="M2120" s="31">
        <v>623525.77000001213</v>
      </c>
      <c r="N2120" s="31">
        <v>489612.65000286803</v>
      </c>
      <c r="O2120" s="34">
        <f t="shared" si="280"/>
        <v>0.49295713148408277</v>
      </c>
      <c r="P2120" s="34">
        <f t="shared" si="281"/>
        <v>0.78523242111205527</v>
      </c>
      <c r="Q2120" s="34">
        <f t="shared" si="282"/>
        <v>0.50704286851591718</v>
      </c>
      <c r="R2120" s="46">
        <f t="shared" si="283"/>
        <v>117.3286963821874</v>
      </c>
    </row>
    <row r="2121" spans="2:18" ht="12.75" customHeight="1" x14ac:dyDescent="0.25">
      <c r="B2121" s="17" t="s">
        <v>0</v>
      </c>
      <c r="C2121" s="44" t="s">
        <v>127</v>
      </c>
      <c r="D2121" s="22" t="s">
        <v>9</v>
      </c>
      <c r="E2121" s="20">
        <v>2</v>
      </c>
      <c r="F2121" s="17" t="s">
        <v>289</v>
      </c>
      <c r="G2121" s="17" t="s">
        <v>305</v>
      </c>
      <c r="H2121" s="17" t="s">
        <v>306</v>
      </c>
      <c r="I2121" s="17" t="s">
        <v>307</v>
      </c>
      <c r="J2121" s="27" t="s">
        <v>128</v>
      </c>
      <c r="K2121" s="29">
        <v>2397</v>
      </c>
      <c r="L2121" s="31">
        <v>2761712.8400427201</v>
      </c>
      <c r="M2121" s="31">
        <v>574267.21999413404</v>
      </c>
      <c r="N2121" s="31">
        <v>451755.60000038304</v>
      </c>
      <c r="O2121" s="34">
        <f t="shared" si="280"/>
        <v>0.20793878772177157</v>
      </c>
      <c r="P2121" s="34">
        <f t="shared" si="281"/>
        <v>0.78666443821222742</v>
      </c>
      <c r="Q2121" s="34">
        <f t="shared" si="282"/>
        <v>0.79206121227822845</v>
      </c>
      <c r="R2121" s="46">
        <f t="shared" si="283"/>
        <v>188.46708385497831</v>
      </c>
    </row>
    <row r="2122" spans="2:18" ht="12.75" customHeight="1" x14ac:dyDescent="0.25">
      <c r="B2122" s="17" t="s">
        <v>0</v>
      </c>
      <c r="C2122" s="44" t="s">
        <v>44</v>
      </c>
      <c r="D2122" s="22" t="s">
        <v>2</v>
      </c>
      <c r="E2122" s="20">
        <v>1</v>
      </c>
      <c r="F2122" s="17" t="s">
        <v>289</v>
      </c>
      <c r="G2122" s="17" t="s">
        <v>305</v>
      </c>
      <c r="H2122" s="17" t="s">
        <v>306</v>
      </c>
      <c r="I2122" s="17" t="s">
        <v>307</v>
      </c>
      <c r="J2122" s="27" t="s">
        <v>45</v>
      </c>
      <c r="K2122" s="29">
        <v>5599</v>
      </c>
      <c r="L2122" s="31">
        <v>2334741.1099952902</v>
      </c>
      <c r="M2122" s="31">
        <v>519477.240000922</v>
      </c>
      <c r="N2122" s="31">
        <v>395983.32000007416</v>
      </c>
      <c r="O2122" s="34">
        <f t="shared" si="280"/>
        <v>0.22249886198387533</v>
      </c>
      <c r="P2122" s="34">
        <f t="shared" si="281"/>
        <v>0.76227270322636531</v>
      </c>
      <c r="Q2122" s="34">
        <f t="shared" si="282"/>
        <v>0.77750113801612464</v>
      </c>
      <c r="R2122" s="46">
        <f t="shared" si="283"/>
        <v>70.723936417230604</v>
      </c>
    </row>
    <row r="2123" spans="2:18" ht="12.75" customHeight="1" x14ac:dyDescent="0.25">
      <c r="B2123" s="17" t="s">
        <v>0</v>
      </c>
      <c r="C2123" s="44" t="s">
        <v>14</v>
      </c>
      <c r="D2123" s="22" t="s">
        <v>9</v>
      </c>
      <c r="E2123" s="20">
        <v>2</v>
      </c>
      <c r="F2123" s="17" t="s">
        <v>289</v>
      </c>
      <c r="G2123" s="17" t="s">
        <v>305</v>
      </c>
      <c r="H2123" s="17" t="s">
        <v>306</v>
      </c>
      <c r="I2123" s="17" t="s">
        <v>307</v>
      </c>
      <c r="J2123" s="27" t="s">
        <v>15</v>
      </c>
      <c r="K2123" s="29">
        <v>4394</v>
      </c>
      <c r="L2123" s="31">
        <v>1328043.0400001362</v>
      </c>
      <c r="M2123" s="31">
        <v>514244.47000020806</v>
      </c>
      <c r="N2123" s="31">
        <v>395585.66999988304</v>
      </c>
      <c r="O2123" s="34">
        <f t="shared" si="280"/>
        <v>0.38721973197506859</v>
      </c>
      <c r="P2123" s="34">
        <f t="shared" si="281"/>
        <v>0.76925605053122492</v>
      </c>
      <c r="Q2123" s="34">
        <f t="shared" si="282"/>
        <v>0.61278026802493146</v>
      </c>
      <c r="R2123" s="46">
        <f t="shared" si="283"/>
        <v>90.028600364106296</v>
      </c>
    </row>
    <row r="2124" spans="2:18" ht="12.75" customHeight="1" x14ac:dyDescent="0.25">
      <c r="B2124" s="17" t="s">
        <v>0</v>
      </c>
      <c r="C2124" s="44" t="s">
        <v>58</v>
      </c>
      <c r="D2124" s="22" t="s">
        <v>2</v>
      </c>
      <c r="E2124" s="20">
        <v>1</v>
      </c>
      <c r="F2124" s="17" t="s">
        <v>289</v>
      </c>
      <c r="G2124" s="17" t="s">
        <v>305</v>
      </c>
      <c r="H2124" s="17" t="s">
        <v>306</v>
      </c>
      <c r="I2124" s="17" t="s">
        <v>307</v>
      </c>
      <c r="J2124" s="27" t="s">
        <v>59</v>
      </c>
      <c r="K2124" s="29">
        <v>8576</v>
      </c>
      <c r="L2124" s="31">
        <v>35220573.659961239</v>
      </c>
      <c r="M2124" s="31">
        <v>436177.2999990551</v>
      </c>
      <c r="N2124" s="31">
        <v>341373.53999985108</v>
      </c>
      <c r="O2124" s="34">
        <f t="shared" si="280"/>
        <v>1.2384162285661509E-2</v>
      </c>
      <c r="P2124" s="34">
        <f t="shared" si="281"/>
        <v>0.78264856974581343</v>
      </c>
      <c r="Q2124" s="34">
        <f t="shared" si="282"/>
        <v>0.98761583771433847</v>
      </c>
      <c r="R2124" s="46">
        <f t="shared" si="283"/>
        <v>39.805683302221439</v>
      </c>
    </row>
    <row r="2125" spans="2:18" ht="12.75" customHeight="1" x14ac:dyDescent="0.25">
      <c r="B2125" s="17" t="s">
        <v>0</v>
      </c>
      <c r="C2125" s="44" t="s">
        <v>38</v>
      </c>
      <c r="D2125" s="22" t="s">
        <v>9</v>
      </c>
      <c r="E2125" s="20">
        <v>2</v>
      </c>
      <c r="F2125" s="17" t="s">
        <v>289</v>
      </c>
      <c r="G2125" s="17" t="s">
        <v>305</v>
      </c>
      <c r="H2125" s="17" t="s">
        <v>306</v>
      </c>
      <c r="I2125" s="17" t="s">
        <v>307</v>
      </c>
      <c r="J2125" s="27" t="s">
        <v>39</v>
      </c>
      <c r="K2125" s="29">
        <v>1648</v>
      </c>
      <c r="L2125" s="31">
        <v>1016835.02000197</v>
      </c>
      <c r="M2125" s="31">
        <v>365014.39999907493</v>
      </c>
      <c r="N2125" s="31">
        <v>283393.48000009503</v>
      </c>
      <c r="O2125" s="34">
        <f t="shared" si="280"/>
        <v>0.35897111411285554</v>
      </c>
      <c r="P2125" s="34">
        <f t="shared" si="281"/>
        <v>0.7763898629774969</v>
      </c>
      <c r="Q2125" s="34">
        <f t="shared" si="282"/>
        <v>0.64102888588714446</v>
      </c>
      <c r="R2125" s="46">
        <f t="shared" si="283"/>
        <v>171.96206310685378</v>
      </c>
    </row>
    <row r="2126" spans="2:18" ht="12.75" customHeight="1" x14ac:dyDescent="0.25">
      <c r="B2126" s="17" t="s">
        <v>0</v>
      </c>
      <c r="C2126" s="44" t="s">
        <v>103</v>
      </c>
      <c r="D2126" s="22" t="s">
        <v>9</v>
      </c>
      <c r="E2126" s="20">
        <v>2</v>
      </c>
      <c r="F2126" s="17" t="s">
        <v>289</v>
      </c>
      <c r="G2126" s="17" t="s">
        <v>305</v>
      </c>
      <c r="H2126" s="17" t="s">
        <v>306</v>
      </c>
      <c r="I2126" s="17" t="s">
        <v>307</v>
      </c>
      <c r="J2126" s="27" t="s">
        <v>104</v>
      </c>
      <c r="K2126" s="29">
        <v>2244</v>
      </c>
      <c r="L2126" s="31">
        <v>633350.99000035995</v>
      </c>
      <c r="M2126" s="31">
        <v>255320.44999894197</v>
      </c>
      <c r="N2126" s="31">
        <v>191879.14999986</v>
      </c>
      <c r="O2126" s="34">
        <f t="shared" si="280"/>
        <v>0.40312631389239145</v>
      </c>
      <c r="P2126" s="34">
        <f t="shared" si="281"/>
        <v>0.7515228412007543</v>
      </c>
      <c r="Q2126" s="34">
        <f t="shared" si="282"/>
        <v>0.59687368610760849</v>
      </c>
      <c r="R2126" s="46">
        <f t="shared" si="283"/>
        <v>85.507642602433151</v>
      </c>
    </row>
    <row r="2127" spans="2:18" ht="12.75" customHeight="1" x14ac:dyDescent="0.25">
      <c r="B2127" s="17" t="s">
        <v>0</v>
      </c>
      <c r="C2127" s="44" t="s">
        <v>114</v>
      </c>
      <c r="D2127" s="22" t="s">
        <v>9</v>
      </c>
      <c r="E2127" s="20">
        <v>2</v>
      </c>
      <c r="F2127" s="17" t="s">
        <v>289</v>
      </c>
      <c r="G2127" s="17" t="s">
        <v>305</v>
      </c>
      <c r="H2127" s="17" t="s">
        <v>306</v>
      </c>
      <c r="I2127" s="17" t="s">
        <v>307</v>
      </c>
      <c r="J2127" s="27" t="s">
        <v>118</v>
      </c>
      <c r="K2127" s="29">
        <v>1941</v>
      </c>
      <c r="L2127" s="31">
        <v>577680.08000116993</v>
      </c>
      <c r="M2127" s="31">
        <v>227079.59999879796</v>
      </c>
      <c r="N2127" s="31">
        <v>176941.510000165</v>
      </c>
      <c r="O2127" s="34">
        <f t="shared" si="280"/>
        <v>0.39308885291377549</v>
      </c>
      <c r="P2127" s="34">
        <f t="shared" si="281"/>
        <v>0.77920478105960045</v>
      </c>
      <c r="Q2127" s="34">
        <f t="shared" si="282"/>
        <v>0.60691114708622451</v>
      </c>
      <c r="R2127" s="46">
        <f t="shared" si="283"/>
        <v>91.159974240167443</v>
      </c>
    </row>
    <row r="2128" spans="2:18" ht="12.75" customHeight="1" x14ac:dyDescent="0.25">
      <c r="B2128" s="17" t="s">
        <v>0</v>
      </c>
      <c r="C2128" s="44" t="s">
        <v>141</v>
      </c>
      <c r="D2128" s="22" t="s">
        <v>9</v>
      </c>
      <c r="E2128" s="20">
        <v>2</v>
      </c>
      <c r="F2128" s="17" t="s">
        <v>289</v>
      </c>
      <c r="G2128" s="17" t="s">
        <v>305</v>
      </c>
      <c r="H2128" s="17" t="s">
        <v>306</v>
      </c>
      <c r="I2128" s="17" t="s">
        <v>307</v>
      </c>
      <c r="J2128" s="27" t="s">
        <v>142</v>
      </c>
      <c r="K2128" s="29">
        <v>1902</v>
      </c>
      <c r="L2128" s="31">
        <v>739917.86999923002</v>
      </c>
      <c r="M2128" s="31">
        <v>225423.69999950501</v>
      </c>
      <c r="N2128" s="31">
        <v>173072.41999966401</v>
      </c>
      <c r="O2128" s="34">
        <f t="shared" si="280"/>
        <v>0.30466043481250099</v>
      </c>
      <c r="P2128" s="34">
        <f t="shared" si="281"/>
        <v>0.76776496881225909</v>
      </c>
      <c r="Q2128" s="34">
        <f t="shared" si="282"/>
        <v>0.69533956518749895</v>
      </c>
      <c r="R2128" s="46">
        <f t="shared" si="283"/>
        <v>90.994963196458471</v>
      </c>
    </row>
    <row r="2129" spans="2:18" ht="12.75" customHeight="1" x14ac:dyDescent="0.25">
      <c r="B2129" s="17" t="s">
        <v>0</v>
      </c>
      <c r="C2129" s="44" t="s">
        <v>7</v>
      </c>
      <c r="D2129" s="22" t="s">
        <v>9</v>
      </c>
      <c r="E2129" s="20">
        <v>2</v>
      </c>
      <c r="F2129" s="17" t="s">
        <v>289</v>
      </c>
      <c r="G2129" s="17" t="s">
        <v>305</v>
      </c>
      <c r="H2129" s="17" t="s">
        <v>306</v>
      </c>
      <c r="I2129" s="17" t="s">
        <v>307</v>
      </c>
      <c r="J2129" s="27" t="s">
        <v>8</v>
      </c>
      <c r="K2129" s="29">
        <v>1346</v>
      </c>
      <c r="L2129" s="31">
        <v>787251.25000641006</v>
      </c>
      <c r="M2129" s="31">
        <v>199066.15000154803</v>
      </c>
      <c r="N2129" s="31">
        <v>155452.52000137896</v>
      </c>
      <c r="O2129" s="34">
        <f t="shared" si="280"/>
        <v>0.25286228507090608</v>
      </c>
      <c r="P2129" s="34">
        <f t="shared" si="281"/>
        <v>0.78090885868928539</v>
      </c>
      <c r="Q2129" s="34">
        <f t="shared" si="282"/>
        <v>0.74713771492909387</v>
      </c>
      <c r="R2129" s="46">
        <f t="shared" si="283"/>
        <v>115.49221396833504</v>
      </c>
    </row>
    <row r="2130" spans="2:18" ht="12.75" customHeight="1" x14ac:dyDescent="0.25">
      <c r="B2130" s="17" t="s">
        <v>0</v>
      </c>
      <c r="C2130" s="44" t="s">
        <v>155</v>
      </c>
      <c r="D2130" s="22" t="s">
        <v>2</v>
      </c>
      <c r="E2130" s="20">
        <v>1</v>
      </c>
      <c r="F2130" s="17" t="s">
        <v>289</v>
      </c>
      <c r="G2130" s="17" t="s">
        <v>305</v>
      </c>
      <c r="H2130" s="17" t="s">
        <v>306</v>
      </c>
      <c r="I2130" s="17" t="s">
        <v>307</v>
      </c>
      <c r="J2130" s="27" t="s">
        <v>156</v>
      </c>
      <c r="K2130" s="29">
        <v>1775</v>
      </c>
      <c r="L2130" s="31">
        <v>850450.27999992995</v>
      </c>
      <c r="M2130" s="31">
        <v>196011.57000150901</v>
      </c>
      <c r="N2130" s="31">
        <v>154317.92999918002</v>
      </c>
      <c r="O2130" s="34">
        <f t="shared" si="280"/>
        <v>0.23047975244540475</v>
      </c>
      <c r="P2130" s="34">
        <f t="shared" si="281"/>
        <v>0.78728990333576732</v>
      </c>
      <c r="Q2130" s="34">
        <f t="shared" si="282"/>
        <v>0.76952024755459525</v>
      </c>
      <c r="R2130" s="46">
        <f t="shared" si="283"/>
        <v>86.939678872777478</v>
      </c>
    </row>
    <row r="2131" spans="2:18" ht="12.75" customHeight="1" x14ac:dyDescent="0.25">
      <c r="B2131" s="17" t="s">
        <v>0</v>
      </c>
      <c r="C2131" s="44" t="s">
        <v>56</v>
      </c>
      <c r="D2131" s="22" t="s">
        <v>9</v>
      </c>
      <c r="E2131" s="20">
        <v>2</v>
      </c>
      <c r="F2131" s="17" t="s">
        <v>289</v>
      </c>
      <c r="G2131" s="17" t="s">
        <v>305</v>
      </c>
      <c r="H2131" s="17" t="s">
        <v>306</v>
      </c>
      <c r="I2131" s="17" t="s">
        <v>307</v>
      </c>
      <c r="J2131" s="27" t="s">
        <v>57</v>
      </c>
      <c r="K2131" s="29">
        <v>5324</v>
      </c>
      <c r="L2131" s="31">
        <v>1833443.7399996761</v>
      </c>
      <c r="M2131" s="31">
        <v>195108.4000002</v>
      </c>
      <c r="N2131" s="31">
        <v>153545.42999982808</v>
      </c>
      <c r="O2131" s="34">
        <f t="shared" si="280"/>
        <v>0.10641635505010613</v>
      </c>
      <c r="P2131" s="34">
        <f t="shared" si="281"/>
        <v>0.78697498416096223</v>
      </c>
      <c r="Q2131" s="34">
        <f t="shared" si="282"/>
        <v>0.89358364494989384</v>
      </c>
      <c r="R2131" s="46">
        <f t="shared" si="283"/>
        <v>28.840238542416994</v>
      </c>
    </row>
    <row r="2132" spans="2:18" ht="12.75" customHeight="1" x14ac:dyDescent="0.25">
      <c r="B2132" s="17" t="s">
        <v>0</v>
      </c>
      <c r="C2132" s="44" t="s">
        <v>16</v>
      </c>
      <c r="D2132" s="22" t="s">
        <v>9</v>
      </c>
      <c r="E2132" s="20">
        <v>2</v>
      </c>
      <c r="F2132" s="17" t="s">
        <v>289</v>
      </c>
      <c r="G2132" s="17" t="s">
        <v>305</v>
      </c>
      <c r="H2132" s="17" t="s">
        <v>306</v>
      </c>
      <c r="I2132" s="17" t="s">
        <v>307</v>
      </c>
      <c r="J2132" s="27" t="s">
        <v>17</v>
      </c>
      <c r="K2132" s="29">
        <v>1576</v>
      </c>
      <c r="L2132" s="31">
        <v>612695.04999981006</v>
      </c>
      <c r="M2132" s="31">
        <v>183433.41000017207</v>
      </c>
      <c r="N2132" s="31">
        <v>144882.30999995998</v>
      </c>
      <c r="O2132" s="34">
        <f t="shared" si="280"/>
        <v>0.29938777863511207</v>
      </c>
      <c r="P2132" s="34">
        <f t="shared" si="281"/>
        <v>0.7898359955246107</v>
      </c>
      <c r="Q2132" s="34">
        <f t="shared" si="282"/>
        <v>0.70061222136488799</v>
      </c>
      <c r="R2132" s="46">
        <f t="shared" si="283"/>
        <v>91.930399746167495</v>
      </c>
    </row>
    <row r="2133" spans="2:18" ht="12.75" customHeight="1" x14ac:dyDescent="0.25">
      <c r="B2133" s="17" t="s">
        <v>0</v>
      </c>
      <c r="C2133" s="44" t="s">
        <v>170</v>
      </c>
      <c r="D2133" s="22" t="s">
        <v>9</v>
      </c>
      <c r="E2133" s="20">
        <v>2</v>
      </c>
      <c r="F2133" s="17" t="s">
        <v>289</v>
      </c>
      <c r="G2133" s="17" t="s">
        <v>305</v>
      </c>
      <c r="H2133" s="17" t="s">
        <v>306</v>
      </c>
      <c r="I2133" s="17" t="s">
        <v>307</v>
      </c>
      <c r="J2133" s="27" t="s">
        <v>171</v>
      </c>
      <c r="K2133" s="29">
        <v>2241</v>
      </c>
      <c r="L2133" s="31">
        <v>775313.10000338405</v>
      </c>
      <c r="M2133" s="31">
        <v>189079.93999980605</v>
      </c>
      <c r="N2133" s="31">
        <v>144444.59000029898</v>
      </c>
      <c r="O2133" s="34">
        <f t="shared" si="280"/>
        <v>0.24387559038919987</v>
      </c>
      <c r="P2133" s="34">
        <f t="shared" si="281"/>
        <v>0.76393397417223186</v>
      </c>
      <c r="Q2133" s="34">
        <f t="shared" si="282"/>
        <v>0.75612440961080019</v>
      </c>
      <c r="R2133" s="46">
        <f t="shared" si="283"/>
        <v>64.455417224586782</v>
      </c>
    </row>
    <row r="2134" spans="2:18" ht="12.75" customHeight="1" x14ac:dyDescent="0.25">
      <c r="B2134" s="17" t="s">
        <v>0</v>
      </c>
      <c r="C2134" s="44" t="s">
        <v>110</v>
      </c>
      <c r="D2134" s="22" t="s">
        <v>9</v>
      </c>
      <c r="E2134" s="20">
        <v>2</v>
      </c>
      <c r="F2134" s="17" t="s">
        <v>289</v>
      </c>
      <c r="G2134" s="17" t="s">
        <v>305</v>
      </c>
      <c r="H2134" s="17" t="s">
        <v>306</v>
      </c>
      <c r="I2134" s="17" t="s">
        <v>307</v>
      </c>
      <c r="J2134" s="27" t="s">
        <v>111</v>
      </c>
      <c r="K2134" s="29">
        <v>2456</v>
      </c>
      <c r="L2134" s="31">
        <v>1241131.769999872</v>
      </c>
      <c r="M2134" s="31">
        <v>155343.06999921397</v>
      </c>
      <c r="N2134" s="31">
        <v>122030.90000052401</v>
      </c>
      <c r="O2134" s="34">
        <f t="shared" si="280"/>
        <v>0.12516243138247118</v>
      </c>
      <c r="P2134" s="34">
        <f t="shared" si="281"/>
        <v>0.7855574117412607</v>
      </c>
      <c r="Q2134" s="34">
        <f t="shared" si="282"/>
        <v>0.87483756861752882</v>
      </c>
      <c r="R2134" s="46">
        <f t="shared" si="283"/>
        <v>49.686848534415311</v>
      </c>
    </row>
    <row r="2135" spans="2:18" ht="12.75" customHeight="1" x14ac:dyDescent="0.25">
      <c r="B2135" s="17" t="s">
        <v>0</v>
      </c>
      <c r="C2135" s="44" t="s">
        <v>46</v>
      </c>
      <c r="D2135" s="22" t="s">
        <v>2</v>
      </c>
      <c r="E2135" s="20">
        <v>1</v>
      </c>
      <c r="F2135" s="17" t="s">
        <v>289</v>
      </c>
      <c r="G2135" s="17" t="s">
        <v>305</v>
      </c>
      <c r="H2135" s="17" t="s">
        <v>306</v>
      </c>
      <c r="I2135" s="17" t="s">
        <v>307</v>
      </c>
      <c r="J2135" s="27" t="s">
        <v>47</v>
      </c>
      <c r="K2135" s="29">
        <v>1231</v>
      </c>
      <c r="L2135" s="31">
        <v>364971.00000073004</v>
      </c>
      <c r="M2135" s="31">
        <v>132708.09999970798</v>
      </c>
      <c r="N2135" s="31">
        <v>104199.25999979589</v>
      </c>
      <c r="O2135" s="34">
        <f t="shared" si="280"/>
        <v>0.36361272539309297</v>
      </c>
      <c r="P2135" s="34">
        <f t="shared" si="281"/>
        <v>0.78517633814382981</v>
      </c>
      <c r="Q2135" s="34">
        <f t="shared" si="282"/>
        <v>0.63638727460690703</v>
      </c>
      <c r="R2135" s="46">
        <f t="shared" si="283"/>
        <v>84.64602761965547</v>
      </c>
    </row>
    <row r="2136" spans="2:18" ht="12.75" customHeight="1" x14ac:dyDescent="0.25">
      <c r="B2136" s="17" t="s">
        <v>0</v>
      </c>
      <c r="C2136" s="44" t="s">
        <v>68</v>
      </c>
      <c r="D2136" s="22" t="s">
        <v>9</v>
      </c>
      <c r="E2136" s="20">
        <v>2</v>
      </c>
      <c r="F2136" s="17" t="s">
        <v>289</v>
      </c>
      <c r="G2136" s="17" t="s">
        <v>305</v>
      </c>
      <c r="H2136" s="17" t="s">
        <v>306</v>
      </c>
      <c r="I2136" s="17" t="s">
        <v>307</v>
      </c>
      <c r="J2136" s="27" t="s">
        <v>69</v>
      </c>
      <c r="K2136" s="29">
        <v>1043</v>
      </c>
      <c r="L2136" s="31">
        <v>671532.51000145997</v>
      </c>
      <c r="M2136" s="31">
        <v>118458.13999917699</v>
      </c>
      <c r="N2136" s="31">
        <v>91202.020000303019</v>
      </c>
      <c r="O2136" s="34">
        <f t="shared" si="280"/>
        <v>0.17639970996924551</v>
      </c>
      <c r="P2136" s="34">
        <f t="shared" si="281"/>
        <v>0.76990926922317593</v>
      </c>
      <c r="Q2136" s="34">
        <f t="shared" si="282"/>
        <v>0.82360029003075452</v>
      </c>
      <c r="R2136" s="46">
        <f t="shared" si="283"/>
        <v>87.442013423109316</v>
      </c>
    </row>
    <row r="2137" spans="2:18" ht="12.75" customHeight="1" x14ac:dyDescent="0.25">
      <c r="B2137" s="17" t="s">
        <v>0</v>
      </c>
      <c r="C2137" s="44" t="s">
        <v>137</v>
      </c>
      <c r="D2137" s="22" t="s">
        <v>9</v>
      </c>
      <c r="E2137" s="20">
        <v>2</v>
      </c>
      <c r="F2137" s="17" t="s">
        <v>289</v>
      </c>
      <c r="G2137" s="17" t="s">
        <v>305</v>
      </c>
      <c r="H2137" s="17" t="s">
        <v>306</v>
      </c>
      <c r="I2137" s="17" t="s">
        <v>307</v>
      </c>
      <c r="J2137" s="27" t="s">
        <v>138</v>
      </c>
      <c r="K2137" s="29">
        <v>382</v>
      </c>
      <c r="L2137" s="31">
        <v>208502.31999948999</v>
      </c>
      <c r="M2137" s="31">
        <v>82622.190000401999</v>
      </c>
      <c r="N2137" s="31">
        <v>65291.870000438998</v>
      </c>
      <c r="O2137" s="34">
        <f t="shared" si="280"/>
        <v>0.39626508712518926</v>
      </c>
      <c r="P2137" s="34">
        <f t="shared" si="281"/>
        <v>0.79024617962948351</v>
      </c>
      <c r="Q2137" s="34">
        <f t="shared" si="282"/>
        <v>0.60373491287481074</v>
      </c>
      <c r="R2137" s="46">
        <f t="shared" si="283"/>
        <v>170.92112565559947</v>
      </c>
    </row>
    <row r="2138" spans="2:18" ht="12.75" customHeight="1" x14ac:dyDescent="0.25">
      <c r="B2138" s="17" t="s">
        <v>0</v>
      </c>
      <c r="C2138" s="44" t="s">
        <v>18</v>
      </c>
      <c r="D2138" s="22" t="s">
        <v>9</v>
      </c>
      <c r="E2138" s="20">
        <v>2</v>
      </c>
      <c r="F2138" s="17" t="s">
        <v>289</v>
      </c>
      <c r="G2138" s="17" t="s">
        <v>305</v>
      </c>
      <c r="H2138" s="17" t="s">
        <v>306</v>
      </c>
      <c r="I2138" s="17" t="s">
        <v>307</v>
      </c>
      <c r="J2138" s="27" t="s">
        <v>19</v>
      </c>
      <c r="K2138" s="29">
        <v>259</v>
      </c>
      <c r="L2138" s="31">
        <v>202104</v>
      </c>
      <c r="M2138" s="31">
        <v>84390.369999774994</v>
      </c>
      <c r="N2138" s="31">
        <v>65289.530000274986</v>
      </c>
      <c r="O2138" s="34">
        <f t="shared" si="280"/>
        <v>0.41755912797260319</v>
      </c>
      <c r="P2138" s="34">
        <f t="shared" si="281"/>
        <v>0.77366090467963422</v>
      </c>
      <c r="Q2138" s="34">
        <f t="shared" si="282"/>
        <v>0.58244087202739681</v>
      </c>
      <c r="R2138" s="46">
        <f t="shared" si="283"/>
        <v>252.08312741418914</v>
      </c>
    </row>
    <row r="2139" spans="2:18" ht="12.75" customHeight="1" x14ac:dyDescent="0.25">
      <c r="B2139" s="17" t="s">
        <v>0</v>
      </c>
      <c r="C2139" s="44" t="s">
        <v>34</v>
      </c>
      <c r="D2139" s="22" t="s">
        <v>9</v>
      </c>
      <c r="E2139" s="20">
        <v>2</v>
      </c>
      <c r="F2139" s="17" t="s">
        <v>289</v>
      </c>
      <c r="G2139" s="17" t="s">
        <v>305</v>
      </c>
      <c r="H2139" s="17" t="s">
        <v>306</v>
      </c>
      <c r="I2139" s="17" t="s">
        <v>307</v>
      </c>
      <c r="J2139" s="27" t="s">
        <v>35</v>
      </c>
      <c r="K2139" s="29">
        <v>1095</v>
      </c>
      <c r="L2139" s="31">
        <v>374801.04000000004</v>
      </c>
      <c r="M2139" s="31">
        <v>73641.580000255984</v>
      </c>
      <c r="N2139" s="31">
        <v>57631.940000109986</v>
      </c>
      <c r="O2139" s="34">
        <f t="shared" si="280"/>
        <v>0.19648179204693769</v>
      </c>
      <c r="P2139" s="34">
        <f t="shared" si="281"/>
        <v>0.78260053627189496</v>
      </c>
      <c r="Q2139" s="34">
        <f t="shared" si="282"/>
        <v>0.80351820795306228</v>
      </c>
      <c r="R2139" s="46">
        <f t="shared" si="283"/>
        <v>52.631908675899531</v>
      </c>
    </row>
    <row r="2140" spans="2:18" ht="12.75" customHeight="1" x14ac:dyDescent="0.25">
      <c r="B2140" s="17" t="s">
        <v>0</v>
      </c>
      <c r="C2140" s="44" t="s">
        <v>50</v>
      </c>
      <c r="D2140" s="22" t="s">
        <v>9</v>
      </c>
      <c r="E2140" s="20">
        <v>2</v>
      </c>
      <c r="F2140" s="17" t="s">
        <v>289</v>
      </c>
      <c r="G2140" s="17" t="s">
        <v>305</v>
      </c>
      <c r="H2140" s="17" t="s">
        <v>306</v>
      </c>
      <c r="I2140" s="17" t="s">
        <v>307</v>
      </c>
      <c r="J2140" s="27" t="s">
        <v>51</v>
      </c>
      <c r="K2140" s="29">
        <v>1423</v>
      </c>
      <c r="L2140" s="31">
        <v>327838.04999994999</v>
      </c>
      <c r="M2140" s="31">
        <v>73042.220000194007</v>
      </c>
      <c r="N2140" s="31">
        <v>54966.549999873794</v>
      </c>
      <c r="O2140" s="34">
        <f t="shared" si="280"/>
        <v>0.22279970247567404</v>
      </c>
      <c r="P2140" s="34">
        <f t="shared" si="281"/>
        <v>0.75253120728980849</v>
      </c>
      <c r="Q2140" s="34">
        <f t="shared" si="282"/>
        <v>0.77720029752432596</v>
      </c>
      <c r="R2140" s="46">
        <f t="shared" si="283"/>
        <v>38.627231201597887</v>
      </c>
    </row>
    <row r="2141" spans="2:18" ht="12.75" customHeight="1" x14ac:dyDescent="0.25">
      <c r="B2141" s="17" t="s">
        <v>0</v>
      </c>
      <c r="C2141" s="44" t="s">
        <v>18</v>
      </c>
      <c r="D2141" s="22" t="s">
        <v>2</v>
      </c>
      <c r="E2141" s="20">
        <v>1</v>
      </c>
      <c r="F2141" s="17" t="s">
        <v>289</v>
      </c>
      <c r="G2141" s="17" t="s">
        <v>305</v>
      </c>
      <c r="H2141" s="17" t="s">
        <v>306</v>
      </c>
      <c r="I2141" s="17" t="s">
        <v>307</v>
      </c>
      <c r="J2141" s="27" t="s">
        <v>19</v>
      </c>
      <c r="K2141" s="29">
        <v>840</v>
      </c>
      <c r="L2141" s="31">
        <v>545228.45000000007</v>
      </c>
      <c r="M2141" s="31">
        <v>68949.750000048996</v>
      </c>
      <c r="N2141" s="31">
        <v>54389.479999972988</v>
      </c>
      <c r="O2141" s="34">
        <f t="shared" si="280"/>
        <v>0.12646029384572466</v>
      </c>
      <c r="P2141" s="34">
        <f t="shared" si="281"/>
        <v>0.78882780575613887</v>
      </c>
      <c r="Q2141" s="34">
        <f t="shared" si="282"/>
        <v>0.87353970615427534</v>
      </c>
      <c r="R2141" s="46">
        <f t="shared" si="283"/>
        <v>64.749380952348801</v>
      </c>
    </row>
    <row r="2142" spans="2:18" ht="12.75" customHeight="1" x14ac:dyDescent="0.25">
      <c r="B2142" s="17" t="s">
        <v>0</v>
      </c>
      <c r="C2142" s="44" t="s">
        <v>166</v>
      </c>
      <c r="D2142" s="22" t="s">
        <v>9</v>
      </c>
      <c r="E2142" s="20">
        <v>2</v>
      </c>
      <c r="F2142" s="17" t="s">
        <v>289</v>
      </c>
      <c r="G2142" s="17" t="s">
        <v>305</v>
      </c>
      <c r="H2142" s="17" t="s">
        <v>306</v>
      </c>
      <c r="I2142" s="17" t="s">
        <v>307</v>
      </c>
      <c r="J2142" s="27" t="s">
        <v>167</v>
      </c>
      <c r="K2142" s="29">
        <v>1109</v>
      </c>
      <c r="L2142" s="31">
        <v>249745.00000097699</v>
      </c>
      <c r="M2142" s="31">
        <v>72591.830000222995</v>
      </c>
      <c r="N2142" s="31">
        <v>54369.280000108993</v>
      </c>
      <c r="O2142" s="34">
        <f t="shared" si="280"/>
        <v>0.29066379707277029</v>
      </c>
      <c r="P2142" s="34">
        <f t="shared" si="281"/>
        <v>0.7489724394596744</v>
      </c>
      <c r="Q2142" s="34">
        <f t="shared" si="282"/>
        <v>0.70933620292722965</v>
      </c>
      <c r="R2142" s="46">
        <f t="shared" si="283"/>
        <v>49.025500450954908</v>
      </c>
    </row>
    <row r="2143" spans="2:18" ht="12.75" customHeight="1" x14ac:dyDescent="0.25">
      <c r="B2143" s="17" t="s">
        <v>0</v>
      </c>
      <c r="C2143" s="44" t="s">
        <v>20</v>
      </c>
      <c r="D2143" s="22" t="s">
        <v>9</v>
      </c>
      <c r="E2143" s="20">
        <v>2</v>
      </c>
      <c r="F2143" s="17" t="s">
        <v>289</v>
      </c>
      <c r="G2143" s="17" t="s">
        <v>305</v>
      </c>
      <c r="H2143" s="17" t="s">
        <v>306</v>
      </c>
      <c r="I2143" s="17" t="s">
        <v>307</v>
      </c>
      <c r="J2143" s="27" t="s">
        <v>21</v>
      </c>
      <c r="K2143" s="29">
        <v>582</v>
      </c>
      <c r="L2143" s="31">
        <v>416423.56999680004</v>
      </c>
      <c r="M2143" s="31">
        <v>68362.220000004992</v>
      </c>
      <c r="N2143" s="31">
        <v>54303.539999929002</v>
      </c>
      <c r="O2143" s="34">
        <f t="shared" si="280"/>
        <v>0.16416510717808389</v>
      </c>
      <c r="P2143" s="34">
        <f t="shared" si="281"/>
        <v>0.79435015422151356</v>
      </c>
      <c r="Q2143" s="34">
        <f t="shared" si="282"/>
        <v>0.83583489282191614</v>
      </c>
      <c r="R2143" s="46">
        <f t="shared" si="283"/>
        <v>93.305051546269766</v>
      </c>
    </row>
    <row r="2144" spans="2:18" ht="12.75" customHeight="1" x14ac:dyDescent="0.25">
      <c r="B2144" s="17" t="s">
        <v>0</v>
      </c>
      <c r="C2144" s="44" t="s">
        <v>30</v>
      </c>
      <c r="D2144" s="22" t="s">
        <v>2</v>
      </c>
      <c r="E2144" s="20">
        <v>1</v>
      </c>
      <c r="F2144" s="17" t="s">
        <v>289</v>
      </c>
      <c r="G2144" s="17" t="s">
        <v>305</v>
      </c>
      <c r="H2144" s="17" t="s">
        <v>306</v>
      </c>
      <c r="I2144" s="17" t="s">
        <v>307</v>
      </c>
      <c r="J2144" s="27" t="s">
        <v>31</v>
      </c>
      <c r="K2144" s="29">
        <v>740</v>
      </c>
      <c r="L2144" s="31">
        <v>279770.99999996996</v>
      </c>
      <c r="M2144" s="31">
        <v>71305.350000056991</v>
      </c>
      <c r="N2144" s="31">
        <v>53986.689999978</v>
      </c>
      <c r="O2144" s="34">
        <f t="shared" ref="O2144:O2175" si="284">IFERROR(M2144/L2144,0)</f>
        <v>0.2548704118727983</v>
      </c>
      <c r="P2144" s="34">
        <f t="shared" ref="P2144:P2175" si="285">IFERROR(N2144/M2144,0)</f>
        <v>0.75711976730967379</v>
      </c>
      <c r="Q2144" s="34">
        <f t="shared" ref="Q2144:Q2175" si="286">IFERROR(1-(M2144/L2144),0)</f>
        <v>0.74512958812720176</v>
      </c>
      <c r="R2144" s="46">
        <f t="shared" ref="R2144:R2175" si="287">IFERROR(N2144/K2144,0)</f>
        <v>72.954986486456761</v>
      </c>
    </row>
    <row r="2145" spans="2:18" ht="12.75" customHeight="1" x14ac:dyDescent="0.25">
      <c r="B2145" s="17" t="s">
        <v>0</v>
      </c>
      <c r="C2145" s="44" t="s">
        <v>38</v>
      </c>
      <c r="D2145" s="22" t="s">
        <v>2</v>
      </c>
      <c r="E2145" s="20">
        <v>1</v>
      </c>
      <c r="F2145" s="17" t="s">
        <v>289</v>
      </c>
      <c r="G2145" s="17" t="s">
        <v>305</v>
      </c>
      <c r="H2145" s="17" t="s">
        <v>306</v>
      </c>
      <c r="I2145" s="17" t="s">
        <v>307</v>
      </c>
      <c r="J2145" s="27" t="s">
        <v>39</v>
      </c>
      <c r="K2145" s="29">
        <v>526</v>
      </c>
      <c r="L2145" s="31">
        <v>193914</v>
      </c>
      <c r="M2145" s="31">
        <v>55351.489998995996</v>
      </c>
      <c r="N2145" s="31">
        <v>41499.920000002006</v>
      </c>
      <c r="O2145" s="34">
        <f t="shared" si="284"/>
        <v>0.28544349556502363</v>
      </c>
      <c r="P2145" s="34">
        <f t="shared" si="285"/>
        <v>0.74975253603389469</v>
      </c>
      <c r="Q2145" s="34">
        <f t="shared" si="286"/>
        <v>0.71455650443497642</v>
      </c>
      <c r="R2145" s="46">
        <f t="shared" si="287"/>
        <v>78.89718631179089</v>
      </c>
    </row>
    <row r="2146" spans="2:18" ht="12.75" customHeight="1" x14ac:dyDescent="0.25">
      <c r="B2146" s="17" t="s">
        <v>0</v>
      </c>
      <c r="C2146" s="44" t="s">
        <v>127</v>
      </c>
      <c r="D2146" s="22" t="s">
        <v>2</v>
      </c>
      <c r="E2146" s="20">
        <v>1</v>
      </c>
      <c r="F2146" s="17" t="s">
        <v>289</v>
      </c>
      <c r="G2146" s="17" t="s">
        <v>305</v>
      </c>
      <c r="H2146" s="17" t="s">
        <v>306</v>
      </c>
      <c r="I2146" s="17" t="s">
        <v>307</v>
      </c>
      <c r="J2146" s="27" t="s">
        <v>128</v>
      </c>
      <c r="K2146" s="29">
        <v>528</v>
      </c>
      <c r="L2146" s="31">
        <v>255625</v>
      </c>
      <c r="M2146" s="31">
        <v>47997.299999642004</v>
      </c>
      <c r="N2146" s="31">
        <v>35920.329999996007</v>
      </c>
      <c r="O2146" s="34">
        <f t="shared" si="284"/>
        <v>0.18776449877610563</v>
      </c>
      <c r="P2146" s="34">
        <f t="shared" si="285"/>
        <v>0.74838230484347923</v>
      </c>
      <c r="Q2146" s="34">
        <f t="shared" si="286"/>
        <v>0.81223550122389443</v>
      </c>
      <c r="R2146" s="46">
        <f t="shared" si="287"/>
        <v>68.03092803029547</v>
      </c>
    </row>
    <row r="2147" spans="2:18" ht="12.75" customHeight="1" x14ac:dyDescent="0.25">
      <c r="B2147" s="17" t="s">
        <v>0</v>
      </c>
      <c r="C2147" s="44" t="s">
        <v>92</v>
      </c>
      <c r="D2147" s="22" t="s">
        <v>9</v>
      </c>
      <c r="E2147" s="20">
        <v>2</v>
      </c>
      <c r="F2147" s="17" t="s">
        <v>289</v>
      </c>
      <c r="G2147" s="17" t="s">
        <v>305</v>
      </c>
      <c r="H2147" s="17" t="s">
        <v>306</v>
      </c>
      <c r="I2147" s="17" t="s">
        <v>307</v>
      </c>
      <c r="J2147" s="27" t="s">
        <v>93</v>
      </c>
      <c r="K2147" s="29">
        <v>132</v>
      </c>
      <c r="L2147" s="31">
        <v>118750</v>
      </c>
      <c r="M2147" s="31">
        <v>41840.940000059993</v>
      </c>
      <c r="N2147" s="31">
        <v>33052.039999960005</v>
      </c>
      <c r="O2147" s="34">
        <f t="shared" si="284"/>
        <v>0.35234475789524206</v>
      </c>
      <c r="P2147" s="34">
        <f t="shared" si="285"/>
        <v>0.78994496777349199</v>
      </c>
      <c r="Q2147" s="34">
        <f t="shared" si="286"/>
        <v>0.64765524210475789</v>
      </c>
      <c r="R2147" s="46">
        <f t="shared" si="287"/>
        <v>250.39424242393943</v>
      </c>
    </row>
    <row r="2148" spans="2:18" ht="12.75" customHeight="1" x14ac:dyDescent="0.25">
      <c r="B2148" s="17" t="s">
        <v>0</v>
      </c>
      <c r="C2148" s="44" t="s">
        <v>50</v>
      </c>
      <c r="D2148" s="22" t="s">
        <v>2</v>
      </c>
      <c r="E2148" s="20">
        <v>1</v>
      </c>
      <c r="F2148" s="17" t="s">
        <v>289</v>
      </c>
      <c r="G2148" s="17" t="s">
        <v>305</v>
      </c>
      <c r="H2148" s="17" t="s">
        <v>306</v>
      </c>
      <c r="I2148" s="17" t="s">
        <v>307</v>
      </c>
      <c r="J2148" s="27" t="s">
        <v>51</v>
      </c>
      <c r="K2148" s="29">
        <v>547</v>
      </c>
      <c r="L2148" s="31">
        <v>368782.70000002004</v>
      </c>
      <c r="M2148" s="31">
        <v>38048.220000055015</v>
      </c>
      <c r="N2148" s="31">
        <v>30109.950000031997</v>
      </c>
      <c r="O2148" s="34">
        <f t="shared" si="284"/>
        <v>0.10317246443516181</v>
      </c>
      <c r="P2148" s="34">
        <f t="shared" si="285"/>
        <v>0.79136290738406323</v>
      </c>
      <c r="Q2148" s="34">
        <f t="shared" si="286"/>
        <v>0.89682753556483819</v>
      </c>
      <c r="R2148" s="46">
        <f t="shared" si="287"/>
        <v>55.04561243150274</v>
      </c>
    </row>
    <row r="2149" spans="2:18" ht="12.75" customHeight="1" x14ac:dyDescent="0.25">
      <c r="B2149" s="17" t="s">
        <v>0</v>
      </c>
      <c r="C2149" s="44" t="s">
        <v>76</v>
      </c>
      <c r="D2149" s="22" t="s">
        <v>2</v>
      </c>
      <c r="E2149" s="20">
        <v>1</v>
      </c>
      <c r="F2149" s="17" t="s">
        <v>289</v>
      </c>
      <c r="G2149" s="17" t="s">
        <v>305</v>
      </c>
      <c r="H2149" s="17" t="s">
        <v>306</v>
      </c>
      <c r="I2149" s="17" t="s">
        <v>307</v>
      </c>
      <c r="J2149" s="27" t="s">
        <v>77</v>
      </c>
      <c r="K2149" s="29">
        <v>191</v>
      </c>
      <c r="L2149" s="31">
        <v>148235.83000039999</v>
      </c>
      <c r="M2149" s="31">
        <v>33670.740000160004</v>
      </c>
      <c r="N2149" s="31">
        <v>26808.979999840001</v>
      </c>
      <c r="O2149" s="34">
        <f t="shared" si="284"/>
        <v>0.22714305981265898</v>
      </c>
      <c r="P2149" s="34">
        <f t="shared" si="285"/>
        <v>0.79621000309801937</v>
      </c>
      <c r="Q2149" s="34">
        <f t="shared" si="286"/>
        <v>0.77285694018734108</v>
      </c>
      <c r="R2149" s="46">
        <f t="shared" si="287"/>
        <v>140.36115183162303</v>
      </c>
    </row>
    <row r="2150" spans="2:18" ht="12.75" customHeight="1" x14ac:dyDescent="0.25">
      <c r="B2150" s="17" t="s">
        <v>0</v>
      </c>
      <c r="C2150" s="44" t="s">
        <v>14</v>
      </c>
      <c r="D2150" s="22" t="s">
        <v>2</v>
      </c>
      <c r="E2150" s="20">
        <v>1</v>
      </c>
      <c r="F2150" s="17" t="s">
        <v>289</v>
      </c>
      <c r="G2150" s="17" t="s">
        <v>305</v>
      </c>
      <c r="H2150" s="17" t="s">
        <v>306</v>
      </c>
      <c r="I2150" s="17" t="s">
        <v>307</v>
      </c>
      <c r="J2150" s="27" t="s">
        <v>15</v>
      </c>
      <c r="K2150" s="29">
        <v>300</v>
      </c>
      <c r="L2150" s="31">
        <v>117538.99999981</v>
      </c>
      <c r="M2150" s="31">
        <v>32334.320000314001</v>
      </c>
      <c r="N2150" s="31">
        <v>24571.629999956</v>
      </c>
      <c r="O2150" s="34">
        <f t="shared" si="284"/>
        <v>0.27509439420418985</v>
      </c>
      <c r="P2150" s="34">
        <f t="shared" si="285"/>
        <v>0.75992413014151472</v>
      </c>
      <c r="Q2150" s="34">
        <f t="shared" si="286"/>
        <v>0.72490560579581009</v>
      </c>
      <c r="R2150" s="46">
        <f t="shared" si="287"/>
        <v>81.905433333186664</v>
      </c>
    </row>
    <row r="2151" spans="2:18" ht="12.75" customHeight="1" x14ac:dyDescent="0.25">
      <c r="B2151" s="17" t="s">
        <v>0</v>
      </c>
      <c r="C2151" s="44" t="s">
        <v>90</v>
      </c>
      <c r="D2151" s="22" t="s">
        <v>9</v>
      </c>
      <c r="E2151" s="20">
        <v>2</v>
      </c>
      <c r="F2151" s="17" t="s">
        <v>289</v>
      </c>
      <c r="G2151" s="17" t="s">
        <v>305</v>
      </c>
      <c r="H2151" s="17" t="s">
        <v>306</v>
      </c>
      <c r="I2151" s="17" t="s">
        <v>307</v>
      </c>
      <c r="J2151" s="27" t="s">
        <v>91</v>
      </c>
      <c r="K2151" s="29">
        <v>295</v>
      </c>
      <c r="L2151" s="31">
        <v>213000</v>
      </c>
      <c r="M2151" s="31">
        <v>31402.880000355002</v>
      </c>
      <c r="N2151" s="31">
        <v>23107.449999993998</v>
      </c>
      <c r="O2151" s="34">
        <f t="shared" si="284"/>
        <v>0.14743136150401409</v>
      </c>
      <c r="P2151" s="34">
        <f t="shared" si="285"/>
        <v>0.73583856002165327</v>
      </c>
      <c r="Q2151" s="34">
        <f t="shared" si="286"/>
        <v>0.85256863849598585</v>
      </c>
      <c r="R2151" s="46">
        <f t="shared" si="287"/>
        <v>78.330338983030501</v>
      </c>
    </row>
    <row r="2152" spans="2:18" ht="12.75" customHeight="1" x14ac:dyDescent="0.25">
      <c r="B2152" s="17" t="s">
        <v>0</v>
      </c>
      <c r="C2152" s="44" t="s">
        <v>24</v>
      </c>
      <c r="D2152" s="22" t="s">
        <v>9</v>
      </c>
      <c r="E2152" s="20">
        <v>2</v>
      </c>
      <c r="F2152" s="17" t="s">
        <v>289</v>
      </c>
      <c r="G2152" s="17" t="s">
        <v>305</v>
      </c>
      <c r="H2152" s="17" t="s">
        <v>306</v>
      </c>
      <c r="I2152" s="17" t="s">
        <v>307</v>
      </c>
      <c r="J2152" s="27" t="s">
        <v>25</v>
      </c>
      <c r="K2152" s="29">
        <v>215</v>
      </c>
      <c r="L2152" s="31">
        <v>81812.820000219988</v>
      </c>
      <c r="M2152" s="31">
        <v>27049.980000483007</v>
      </c>
      <c r="N2152" s="31">
        <v>21663.769999971002</v>
      </c>
      <c r="O2152" s="34">
        <f t="shared" si="284"/>
        <v>0.33063253412375065</v>
      </c>
      <c r="P2152" s="34">
        <f t="shared" si="285"/>
        <v>0.80087933520040211</v>
      </c>
      <c r="Q2152" s="34">
        <f t="shared" si="286"/>
        <v>0.6693674658762494</v>
      </c>
      <c r="R2152" s="46">
        <f t="shared" si="287"/>
        <v>100.76172093009768</v>
      </c>
    </row>
    <row r="2153" spans="2:18" ht="12.75" customHeight="1" x14ac:dyDescent="0.25">
      <c r="B2153" s="17" t="s">
        <v>0</v>
      </c>
      <c r="C2153" s="44" t="s">
        <v>94</v>
      </c>
      <c r="D2153" s="22" t="s">
        <v>9</v>
      </c>
      <c r="E2153" s="20">
        <v>2</v>
      </c>
      <c r="F2153" s="17" t="s">
        <v>289</v>
      </c>
      <c r="G2153" s="17" t="s">
        <v>305</v>
      </c>
      <c r="H2153" s="17" t="s">
        <v>306</v>
      </c>
      <c r="I2153" s="17" t="s">
        <v>307</v>
      </c>
      <c r="J2153" s="27" t="s">
        <v>95</v>
      </c>
      <c r="K2153" s="29">
        <v>266</v>
      </c>
      <c r="L2153" s="31">
        <v>91770</v>
      </c>
      <c r="M2153" s="31">
        <v>26313.580000078</v>
      </c>
      <c r="N2153" s="31">
        <v>20861.840000050001</v>
      </c>
      <c r="O2153" s="34">
        <f t="shared" si="284"/>
        <v>0.28673400893623191</v>
      </c>
      <c r="P2153" s="34">
        <f t="shared" si="285"/>
        <v>0.79281648487161993</v>
      </c>
      <c r="Q2153" s="34">
        <f t="shared" si="286"/>
        <v>0.71326599106376809</v>
      </c>
      <c r="R2153" s="46">
        <f t="shared" si="287"/>
        <v>78.427969924999999</v>
      </c>
    </row>
    <row r="2154" spans="2:18" ht="12.75" customHeight="1" x14ac:dyDescent="0.25">
      <c r="B2154" s="17" t="s">
        <v>0</v>
      </c>
      <c r="C2154" s="44" t="s">
        <v>32</v>
      </c>
      <c r="D2154" s="22" t="s">
        <v>9</v>
      </c>
      <c r="E2154" s="20">
        <v>2</v>
      </c>
      <c r="F2154" s="17" t="s">
        <v>289</v>
      </c>
      <c r="G2154" s="17" t="s">
        <v>305</v>
      </c>
      <c r="H2154" s="17" t="s">
        <v>306</v>
      </c>
      <c r="I2154" s="17" t="s">
        <v>307</v>
      </c>
      <c r="J2154" s="27" t="s">
        <v>33</v>
      </c>
      <c r="K2154" s="29">
        <v>108</v>
      </c>
      <c r="L2154" s="31">
        <v>97200</v>
      </c>
      <c r="M2154" s="31">
        <v>24076.879999884</v>
      </c>
      <c r="N2154" s="31">
        <v>18901.010000231996</v>
      </c>
      <c r="O2154" s="34">
        <f t="shared" si="284"/>
        <v>0.24770452674777779</v>
      </c>
      <c r="P2154" s="34">
        <f t="shared" si="285"/>
        <v>0.7850273789761405</v>
      </c>
      <c r="Q2154" s="34">
        <f t="shared" si="286"/>
        <v>0.75229547325222224</v>
      </c>
      <c r="R2154" s="46">
        <f t="shared" si="287"/>
        <v>175.00935185399996</v>
      </c>
    </row>
    <row r="2155" spans="2:18" ht="12.75" customHeight="1" x14ac:dyDescent="0.25">
      <c r="B2155" s="17" t="s">
        <v>0</v>
      </c>
      <c r="C2155" s="44" t="s">
        <v>12</v>
      </c>
      <c r="D2155" s="22" t="s">
        <v>9</v>
      </c>
      <c r="E2155" s="20">
        <v>2</v>
      </c>
      <c r="F2155" s="17" t="s">
        <v>289</v>
      </c>
      <c r="G2155" s="17" t="s">
        <v>305</v>
      </c>
      <c r="H2155" s="17" t="s">
        <v>306</v>
      </c>
      <c r="I2155" s="17" t="s">
        <v>307</v>
      </c>
      <c r="J2155" s="27" t="s">
        <v>13</v>
      </c>
      <c r="K2155" s="29">
        <v>164</v>
      </c>
      <c r="L2155" s="31">
        <v>81901.580000059999</v>
      </c>
      <c r="M2155" s="31">
        <v>21770.000000090004</v>
      </c>
      <c r="N2155" s="31">
        <v>17141.900000177997</v>
      </c>
      <c r="O2155" s="34">
        <f t="shared" si="284"/>
        <v>0.26580683791538645</v>
      </c>
      <c r="P2155" s="34">
        <f t="shared" si="285"/>
        <v>0.7874092788289907</v>
      </c>
      <c r="Q2155" s="34">
        <f t="shared" si="286"/>
        <v>0.7341931620846136</v>
      </c>
      <c r="R2155" s="46">
        <f t="shared" si="287"/>
        <v>104.52378048889022</v>
      </c>
    </row>
    <row r="2156" spans="2:18" ht="12.75" customHeight="1" x14ac:dyDescent="0.25">
      <c r="B2156" s="17" t="s">
        <v>0</v>
      </c>
      <c r="C2156" s="44" t="s">
        <v>54</v>
      </c>
      <c r="D2156" s="22" t="s">
        <v>2</v>
      </c>
      <c r="E2156" s="20">
        <v>1</v>
      </c>
      <c r="F2156" s="17" t="s">
        <v>289</v>
      </c>
      <c r="G2156" s="17" t="s">
        <v>305</v>
      </c>
      <c r="H2156" s="17" t="s">
        <v>306</v>
      </c>
      <c r="I2156" s="17" t="s">
        <v>307</v>
      </c>
      <c r="J2156" s="27" t="s">
        <v>55</v>
      </c>
      <c r="K2156" s="29">
        <v>167</v>
      </c>
      <c r="L2156" s="31">
        <v>61140.000000200002</v>
      </c>
      <c r="M2156" s="31">
        <v>19185.909999939999</v>
      </c>
      <c r="N2156" s="31">
        <v>14941.83000002</v>
      </c>
      <c r="O2156" s="34">
        <f t="shared" si="284"/>
        <v>0.3138029113489898</v>
      </c>
      <c r="P2156" s="34">
        <f t="shared" si="285"/>
        <v>0.77879183213445324</v>
      </c>
      <c r="Q2156" s="34">
        <f t="shared" si="286"/>
        <v>0.68619708865101026</v>
      </c>
      <c r="R2156" s="46">
        <f t="shared" si="287"/>
        <v>89.472035928263466</v>
      </c>
    </row>
    <row r="2157" spans="2:18" ht="12.75" customHeight="1" x14ac:dyDescent="0.25">
      <c r="B2157" s="17" t="s">
        <v>0</v>
      </c>
      <c r="C2157" s="44" t="s">
        <v>70</v>
      </c>
      <c r="D2157" s="22" t="s">
        <v>9</v>
      </c>
      <c r="E2157" s="20">
        <v>2</v>
      </c>
      <c r="F2157" s="17" t="s">
        <v>289</v>
      </c>
      <c r="G2157" s="17" t="s">
        <v>305</v>
      </c>
      <c r="H2157" s="17" t="s">
        <v>306</v>
      </c>
      <c r="I2157" s="17" t="s">
        <v>307</v>
      </c>
      <c r="J2157" s="27" t="s">
        <v>71</v>
      </c>
      <c r="K2157" s="29">
        <v>153</v>
      </c>
      <c r="L2157" s="31">
        <v>45644.999999899999</v>
      </c>
      <c r="M2157" s="31">
        <v>18353.350000102</v>
      </c>
      <c r="N2157" s="31">
        <v>14533.089999987002</v>
      </c>
      <c r="O2157" s="34">
        <f t="shared" si="284"/>
        <v>0.40208894731388345</v>
      </c>
      <c r="P2157" s="34">
        <f t="shared" si="285"/>
        <v>0.79184944437425497</v>
      </c>
      <c r="Q2157" s="34">
        <f t="shared" si="286"/>
        <v>0.59791105268611655</v>
      </c>
      <c r="R2157" s="46">
        <f t="shared" si="287"/>
        <v>94.987516339784321</v>
      </c>
    </row>
    <row r="2158" spans="2:18" ht="12.75" customHeight="1" x14ac:dyDescent="0.25">
      <c r="B2158" s="17" t="s">
        <v>0</v>
      </c>
      <c r="C2158" s="44" t="s">
        <v>236</v>
      </c>
      <c r="D2158" s="22" t="s">
        <v>2</v>
      </c>
      <c r="E2158" s="20">
        <v>1</v>
      </c>
      <c r="F2158" s="17" t="s">
        <v>289</v>
      </c>
      <c r="G2158" s="17" t="s">
        <v>305</v>
      </c>
      <c r="H2158" s="17" t="s">
        <v>306</v>
      </c>
      <c r="I2158" s="17" t="s">
        <v>307</v>
      </c>
      <c r="J2158" s="27" t="s">
        <v>237</v>
      </c>
      <c r="K2158" s="29">
        <v>364</v>
      </c>
      <c r="L2158" s="31">
        <v>3674523.2399999998</v>
      </c>
      <c r="M2158" s="31">
        <v>17619.720000159999</v>
      </c>
      <c r="N2158" s="31">
        <v>14038.490000021</v>
      </c>
      <c r="O2158" s="34">
        <f t="shared" si="284"/>
        <v>4.7951037044359534E-3</v>
      </c>
      <c r="P2158" s="34">
        <f t="shared" si="285"/>
        <v>0.79674875650087063</v>
      </c>
      <c r="Q2158" s="34">
        <f t="shared" si="286"/>
        <v>0.99520489629556408</v>
      </c>
      <c r="R2158" s="46">
        <f t="shared" si="287"/>
        <v>38.567280219837912</v>
      </c>
    </row>
    <row r="2159" spans="2:18" ht="12.75" customHeight="1" x14ac:dyDescent="0.25">
      <c r="B2159" s="17" t="s">
        <v>0</v>
      </c>
      <c r="C2159" s="44" t="s">
        <v>96</v>
      </c>
      <c r="D2159" s="22" t="s">
        <v>9</v>
      </c>
      <c r="E2159" s="20">
        <v>2</v>
      </c>
      <c r="F2159" s="17" t="s">
        <v>289</v>
      </c>
      <c r="G2159" s="17" t="s">
        <v>305</v>
      </c>
      <c r="H2159" s="17" t="s">
        <v>306</v>
      </c>
      <c r="I2159" s="17" t="s">
        <v>307</v>
      </c>
      <c r="J2159" s="27" t="s">
        <v>97</v>
      </c>
      <c r="K2159" s="29">
        <v>208</v>
      </c>
      <c r="L2159" s="31">
        <v>115264</v>
      </c>
      <c r="M2159" s="31">
        <v>16870.84999993</v>
      </c>
      <c r="N2159" s="31">
        <v>12400.350000011</v>
      </c>
      <c r="O2159" s="34">
        <f t="shared" si="284"/>
        <v>0.1463670356740179</v>
      </c>
      <c r="P2159" s="34">
        <f t="shared" si="285"/>
        <v>0.73501631512712462</v>
      </c>
      <c r="Q2159" s="34">
        <f t="shared" si="286"/>
        <v>0.85363296432598212</v>
      </c>
      <c r="R2159" s="46">
        <f t="shared" si="287"/>
        <v>59.617067307745188</v>
      </c>
    </row>
    <row r="2160" spans="2:18" ht="12.75" customHeight="1" x14ac:dyDescent="0.25">
      <c r="B2160" s="17" t="s">
        <v>0</v>
      </c>
      <c r="C2160" s="44" t="s">
        <v>24</v>
      </c>
      <c r="D2160" s="22" t="s">
        <v>2</v>
      </c>
      <c r="E2160" s="20">
        <v>1</v>
      </c>
      <c r="F2160" s="17" t="s">
        <v>289</v>
      </c>
      <c r="G2160" s="17" t="s">
        <v>305</v>
      </c>
      <c r="H2160" s="17" t="s">
        <v>306</v>
      </c>
      <c r="I2160" s="17" t="s">
        <v>307</v>
      </c>
      <c r="J2160" s="27" t="s">
        <v>25</v>
      </c>
      <c r="K2160" s="29">
        <v>171</v>
      </c>
      <c r="L2160" s="31">
        <v>64095.719999580004</v>
      </c>
      <c r="M2160" s="31">
        <v>12047.419999984999</v>
      </c>
      <c r="N2160" s="31">
        <v>9322.4599998949998</v>
      </c>
      <c r="O2160" s="34">
        <f t="shared" si="284"/>
        <v>0.1879598200950694</v>
      </c>
      <c r="P2160" s="34">
        <f t="shared" si="285"/>
        <v>0.77381381241017644</v>
      </c>
      <c r="Q2160" s="34">
        <f t="shared" si="286"/>
        <v>0.8120401799049306</v>
      </c>
      <c r="R2160" s="46">
        <f t="shared" si="287"/>
        <v>54.517309940906429</v>
      </c>
    </row>
    <row r="2161" spans="2:18" ht="12.75" customHeight="1" x14ac:dyDescent="0.25">
      <c r="B2161" s="17" t="s">
        <v>0</v>
      </c>
      <c r="C2161" s="44" t="s">
        <v>56</v>
      </c>
      <c r="D2161" s="22" t="s">
        <v>2</v>
      </c>
      <c r="E2161" s="20">
        <v>1</v>
      </c>
      <c r="F2161" s="17" t="s">
        <v>289</v>
      </c>
      <c r="G2161" s="17" t="s">
        <v>305</v>
      </c>
      <c r="H2161" s="17" t="s">
        <v>306</v>
      </c>
      <c r="I2161" s="17" t="s">
        <v>307</v>
      </c>
      <c r="J2161" s="27" t="s">
        <v>57</v>
      </c>
      <c r="K2161" s="29">
        <v>391</v>
      </c>
      <c r="L2161" s="31">
        <v>81508.999999780004</v>
      </c>
      <c r="M2161" s="31">
        <v>11000.249999991998</v>
      </c>
      <c r="N2161" s="31">
        <v>8706.8599999889993</v>
      </c>
      <c r="O2161" s="34">
        <f t="shared" si="284"/>
        <v>0.13495748935726962</v>
      </c>
      <c r="P2161" s="34">
        <f t="shared" si="285"/>
        <v>0.79151473830097796</v>
      </c>
      <c r="Q2161" s="34">
        <f t="shared" si="286"/>
        <v>0.86504251064273041</v>
      </c>
      <c r="R2161" s="46">
        <f t="shared" si="287"/>
        <v>22.268184143194372</v>
      </c>
    </row>
    <row r="2162" spans="2:18" ht="12.75" customHeight="1" x14ac:dyDescent="0.25">
      <c r="B2162" s="17" t="s">
        <v>0</v>
      </c>
      <c r="C2162" s="44" t="s">
        <v>68</v>
      </c>
      <c r="D2162" s="22" t="s">
        <v>2</v>
      </c>
      <c r="E2162" s="20">
        <v>1</v>
      </c>
      <c r="F2162" s="17" t="s">
        <v>289</v>
      </c>
      <c r="G2162" s="17" t="s">
        <v>305</v>
      </c>
      <c r="H2162" s="17" t="s">
        <v>306</v>
      </c>
      <c r="I2162" s="17" t="s">
        <v>307</v>
      </c>
      <c r="J2162" s="27" t="s">
        <v>69</v>
      </c>
      <c r="K2162" s="29">
        <v>223</v>
      </c>
      <c r="L2162" s="31">
        <v>48649.919999999998</v>
      </c>
      <c r="M2162" s="31">
        <v>10880.239999991001</v>
      </c>
      <c r="N2162" s="31">
        <v>8334.6800000399999</v>
      </c>
      <c r="O2162" s="34">
        <f t="shared" si="284"/>
        <v>0.22364353322659117</v>
      </c>
      <c r="P2162" s="34">
        <f t="shared" si="285"/>
        <v>0.76603824916057861</v>
      </c>
      <c r="Q2162" s="34">
        <f t="shared" si="286"/>
        <v>0.77635646677340886</v>
      </c>
      <c r="R2162" s="46">
        <f t="shared" si="287"/>
        <v>37.375246636950671</v>
      </c>
    </row>
    <row r="2163" spans="2:18" ht="12.75" customHeight="1" x14ac:dyDescent="0.25">
      <c r="B2163" s="17" t="s">
        <v>0</v>
      </c>
      <c r="C2163" s="44" t="s">
        <v>145</v>
      </c>
      <c r="D2163" s="22" t="s">
        <v>9</v>
      </c>
      <c r="E2163" s="20">
        <v>2</v>
      </c>
      <c r="F2163" s="17" t="s">
        <v>289</v>
      </c>
      <c r="G2163" s="17" t="s">
        <v>305</v>
      </c>
      <c r="H2163" s="17" t="s">
        <v>306</v>
      </c>
      <c r="I2163" s="17" t="s">
        <v>307</v>
      </c>
      <c r="J2163" s="27" t="s">
        <v>146</v>
      </c>
      <c r="K2163" s="29">
        <v>84</v>
      </c>
      <c r="L2163" s="31">
        <v>14149.620000180001</v>
      </c>
      <c r="M2163" s="31">
        <v>8640.2100001140006</v>
      </c>
      <c r="N2163" s="31">
        <v>6884.1000000359991</v>
      </c>
      <c r="O2163" s="34">
        <f t="shared" si="284"/>
        <v>0.61063194629990669</v>
      </c>
      <c r="P2163" s="34">
        <f t="shared" si="285"/>
        <v>0.79675146783992157</v>
      </c>
      <c r="Q2163" s="34">
        <f t="shared" si="286"/>
        <v>0.38936805370009331</v>
      </c>
      <c r="R2163" s="46">
        <f t="shared" si="287"/>
        <v>81.953571428999993</v>
      </c>
    </row>
    <row r="2164" spans="2:18" ht="12.75" customHeight="1" x14ac:dyDescent="0.25">
      <c r="B2164" s="17" t="s">
        <v>0</v>
      </c>
      <c r="C2164" s="44" t="s">
        <v>170</v>
      </c>
      <c r="D2164" s="22" t="s">
        <v>2</v>
      </c>
      <c r="E2164" s="20">
        <v>1</v>
      </c>
      <c r="F2164" s="17" t="s">
        <v>289</v>
      </c>
      <c r="G2164" s="17" t="s">
        <v>305</v>
      </c>
      <c r="H2164" s="17" t="s">
        <v>306</v>
      </c>
      <c r="I2164" s="17" t="s">
        <v>307</v>
      </c>
      <c r="J2164" s="27" t="s">
        <v>171</v>
      </c>
      <c r="K2164" s="29">
        <v>96</v>
      </c>
      <c r="L2164" s="31">
        <v>43408.039999939996</v>
      </c>
      <c r="M2164" s="31">
        <v>8384.0599999890001</v>
      </c>
      <c r="N2164" s="31">
        <v>6658.3600000060005</v>
      </c>
      <c r="O2164" s="34">
        <f t="shared" si="284"/>
        <v>0.19314532515175967</v>
      </c>
      <c r="P2164" s="34">
        <f t="shared" si="285"/>
        <v>0.79416893486147955</v>
      </c>
      <c r="Q2164" s="34">
        <f t="shared" si="286"/>
        <v>0.80685467484824036</v>
      </c>
      <c r="R2164" s="46">
        <f t="shared" si="287"/>
        <v>69.357916666729167</v>
      </c>
    </row>
    <row r="2165" spans="2:18" ht="12.75" customHeight="1" x14ac:dyDescent="0.25">
      <c r="B2165" s="17" t="s">
        <v>0</v>
      </c>
      <c r="C2165" s="44" t="s">
        <v>28</v>
      </c>
      <c r="D2165" s="22" t="s">
        <v>9</v>
      </c>
      <c r="E2165" s="20">
        <v>2</v>
      </c>
      <c r="F2165" s="17" t="s">
        <v>289</v>
      </c>
      <c r="G2165" s="17" t="s">
        <v>305</v>
      </c>
      <c r="H2165" s="17" t="s">
        <v>306</v>
      </c>
      <c r="I2165" s="17" t="s">
        <v>307</v>
      </c>
      <c r="J2165" s="27" t="s">
        <v>29</v>
      </c>
      <c r="K2165" s="29">
        <v>73</v>
      </c>
      <c r="L2165" s="31">
        <v>14907.71000003</v>
      </c>
      <c r="M2165" s="31">
        <v>7522.8199998500004</v>
      </c>
      <c r="N2165" s="31">
        <v>5962.6599999730006</v>
      </c>
      <c r="O2165" s="34">
        <f t="shared" si="284"/>
        <v>0.5046261296895943</v>
      </c>
      <c r="P2165" s="34">
        <f t="shared" si="285"/>
        <v>0.79260968627348416</v>
      </c>
      <c r="Q2165" s="34">
        <f t="shared" si="286"/>
        <v>0.4953738703104057</v>
      </c>
      <c r="R2165" s="46">
        <f t="shared" si="287"/>
        <v>81.680273972232882</v>
      </c>
    </row>
    <row r="2166" spans="2:18" ht="12.75" customHeight="1" x14ac:dyDescent="0.25">
      <c r="B2166" s="17" t="s">
        <v>0</v>
      </c>
      <c r="C2166" s="44" t="s">
        <v>196</v>
      </c>
      <c r="D2166" s="22" t="s">
        <v>9</v>
      </c>
      <c r="E2166" s="20">
        <v>2</v>
      </c>
      <c r="F2166" s="17" t="s">
        <v>289</v>
      </c>
      <c r="G2166" s="17" t="s">
        <v>305</v>
      </c>
      <c r="H2166" s="17" t="s">
        <v>306</v>
      </c>
      <c r="I2166" s="17" t="s">
        <v>307</v>
      </c>
      <c r="J2166" s="27" t="s">
        <v>197</v>
      </c>
      <c r="K2166" s="29">
        <v>58</v>
      </c>
      <c r="L2166" s="31">
        <v>87000</v>
      </c>
      <c r="M2166" s="31">
        <v>7014.8899999799996</v>
      </c>
      <c r="N2166" s="31">
        <v>5080.4300000200001</v>
      </c>
      <c r="O2166" s="34">
        <f t="shared" si="284"/>
        <v>8.0630919539999998E-2</v>
      </c>
      <c r="P2166" s="34">
        <f t="shared" si="285"/>
        <v>0.72423516263754462</v>
      </c>
      <c r="Q2166" s="34">
        <f t="shared" si="286"/>
        <v>0.91936908045999999</v>
      </c>
      <c r="R2166" s="46">
        <f t="shared" si="287"/>
        <v>87.593620689999995</v>
      </c>
    </row>
    <row r="2167" spans="2:18" ht="12.75" customHeight="1" x14ac:dyDescent="0.25">
      <c r="B2167" s="17" t="s">
        <v>0</v>
      </c>
      <c r="C2167" s="44" t="s">
        <v>36</v>
      </c>
      <c r="D2167" s="22" t="s">
        <v>9</v>
      </c>
      <c r="E2167" s="20">
        <v>2</v>
      </c>
      <c r="F2167" s="17" t="s">
        <v>289</v>
      </c>
      <c r="G2167" s="17" t="s">
        <v>305</v>
      </c>
      <c r="H2167" s="17" t="s">
        <v>306</v>
      </c>
      <c r="I2167" s="17" t="s">
        <v>307</v>
      </c>
      <c r="J2167" s="27" t="s">
        <v>37</v>
      </c>
      <c r="K2167" s="29">
        <v>48</v>
      </c>
      <c r="L2167" s="31">
        <v>32439.999999979998</v>
      </c>
      <c r="M2167" s="31">
        <v>6167.0899999400008</v>
      </c>
      <c r="N2167" s="31">
        <v>4913.5899999200001</v>
      </c>
      <c r="O2167" s="34">
        <f t="shared" si="284"/>
        <v>0.19010758322884722</v>
      </c>
      <c r="P2167" s="34">
        <f t="shared" si="285"/>
        <v>0.7967436829960004</v>
      </c>
      <c r="Q2167" s="34">
        <f t="shared" si="286"/>
        <v>0.80989241677115276</v>
      </c>
      <c r="R2167" s="46">
        <f t="shared" si="287"/>
        <v>102.36645833166666</v>
      </c>
    </row>
    <row r="2168" spans="2:18" ht="12.75" customHeight="1" x14ac:dyDescent="0.25">
      <c r="B2168" s="17" t="s">
        <v>0</v>
      </c>
      <c r="C2168" s="44" t="s">
        <v>16</v>
      </c>
      <c r="D2168" s="22" t="s">
        <v>2</v>
      </c>
      <c r="E2168" s="20">
        <v>1</v>
      </c>
      <c r="F2168" s="17" t="s">
        <v>289</v>
      </c>
      <c r="G2168" s="17" t="s">
        <v>305</v>
      </c>
      <c r="H2168" s="17" t="s">
        <v>306</v>
      </c>
      <c r="I2168" s="17" t="s">
        <v>307</v>
      </c>
      <c r="J2168" s="27" t="s">
        <v>17</v>
      </c>
      <c r="K2168" s="29">
        <v>136</v>
      </c>
      <c r="L2168" s="31">
        <v>35246.369999920003</v>
      </c>
      <c r="M2168" s="31">
        <v>5230.8899999879995</v>
      </c>
      <c r="N2168" s="31">
        <v>4170.2299999919996</v>
      </c>
      <c r="O2168" s="34">
        <f t="shared" si="284"/>
        <v>0.14840932555607489</v>
      </c>
      <c r="P2168" s="34">
        <f t="shared" si="285"/>
        <v>0.79723144627426057</v>
      </c>
      <c r="Q2168" s="34">
        <f t="shared" si="286"/>
        <v>0.85159067444392511</v>
      </c>
      <c r="R2168" s="46">
        <f t="shared" si="287"/>
        <v>30.663455882294116</v>
      </c>
    </row>
    <row r="2169" spans="2:18" ht="12.75" customHeight="1" x14ac:dyDescent="0.25">
      <c r="B2169" s="17" t="s">
        <v>0</v>
      </c>
      <c r="C2169" s="44" t="s">
        <v>26</v>
      </c>
      <c r="D2169" s="22" t="s">
        <v>2</v>
      </c>
      <c r="E2169" s="20">
        <v>1</v>
      </c>
      <c r="F2169" s="17" t="s">
        <v>289</v>
      </c>
      <c r="G2169" s="17" t="s">
        <v>305</v>
      </c>
      <c r="H2169" s="17" t="s">
        <v>306</v>
      </c>
      <c r="I2169" s="17" t="s">
        <v>307</v>
      </c>
      <c r="J2169" s="27" t="s">
        <v>27</v>
      </c>
      <c r="K2169" s="29">
        <v>62</v>
      </c>
      <c r="L2169" s="31">
        <v>26197.350000040002</v>
      </c>
      <c r="M2169" s="31">
        <v>4876.7600000069997</v>
      </c>
      <c r="N2169" s="31">
        <v>3902.2800000039997</v>
      </c>
      <c r="O2169" s="34">
        <f t="shared" si="284"/>
        <v>0.18615470648747118</v>
      </c>
      <c r="P2169" s="34">
        <f t="shared" si="285"/>
        <v>0.80017880724054469</v>
      </c>
      <c r="Q2169" s="34">
        <f t="shared" si="286"/>
        <v>0.81384529351252888</v>
      </c>
      <c r="R2169" s="46">
        <f t="shared" si="287"/>
        <v>62.940000000064508</v>
      </c>
    </row>
    <row r="2170" spans="2:18" ht="12.75" customHeight="1" x14ac:dyDescent="0.25">
      <c r="B2170" s="17" t="s">
        <v>0</v>
      </c>
      <c r="C2170" s="44" t="s">
        <v>166</v>
      </c>
      <c r="D2170" s="22" t="s">
        <v>2</v>
      </c>
      <c r="E2170" s="20">
        <v>1</v>
      </c>
      <c r="F2170" s="17" t="s">
        <v>289</v>
      </c>
      <c r="G2170" s="17" t="s">
        <v>305</v>
      </c>
      <c r="H2170" s="17" t="s">
        <v>306</v>
      </c>
      <c r="I2170" s="17" t="s">
        <v>307</v>
      </c>
      <c r="J2170" s="27" t="s">
        <v>167</v>
      </c>
      <c r="K2170" s="29">
        <v>89</v>
      </c>
      <c r="L2170" s="31">
        <v>17400.000000219999</v>
      </c>
      <c r="M2170" s="31">
        <v>5107.3200000420002</v>
      </c>
      <c r="N2170" s="31">
        <v>3617.7200000139997</v>
      </c>
      <c r="O2170" s="34">
        <f t="shared" si="284"/>
        <v>0.29352413792973708</v>
      </c>
      <c r="P2170" s="34">
        <f t="shared" si="285"/>
        <v>0.7083401862394072</v>
      </c>
      <c r="Q2170" s="34">
        <f t="shared" si="286"/>
        <v>0.70647586207026292</v>
      </c>
      <c r="R2170" s="46">
        <f t="shared" si="287"/>
        <v>40.648539325999998</v>
      </c>
    </row>
    <row r="2171" spans="2:18" ht="12.75" customHeight="1" x14ac:dyDescent="0.25">
      <c r="B2171" s="17" t="s">
        <v>0</v>
      </c>
      <c r="C2171" s="44" t="s">
        <v>7</v>
      </c>
      <c r="D2171" s="22" t="s">
        <v>2</v>
      </c>
      <c r="E2171" s="20">
        <v>1</v>
      </c>
      <c r="F2171" s="17" t="s">
        <v>289</v>
      </c>
      <c r="G2171" s="17" t="s">
        <v>305</v>
      </c>
      <c r="H2171" s="17" t="s">
        <v>306</v>
      </c>
      <c r="I2171" s="17" t="s">
        <v>307</v>
      </c>
      <c r="J2171" s="27" t="s">
        <v>8</v>
      </c>
      <c r="K2171" s="29">
        <v>113</v>
      </c>
      <c r="L2171" s="31">
        <v>33626.65</v>
      </c>
      <c r="M2171" s="31">
        <v>4310.9500000030002</v>
      </c>
      <c r="N2171" s="31">
        <v>3426.9099999880004</v>
      </c>
      <c r="O2171" s="34">
        <f t="shared" si="284"/>
        <v>0.12820040057522827</v>
      </c>
      <c r="P2171" s="34">
        <f t="shared" si="285"/>
        <v>0.79493151161243236</v>
      </c>
      <c r="Q2171" s="34">
        <f t="shared" si="286"/>
        <v>0.8717995994247717</v>
      </c>
      <c r="R2171" s="46">
        <f t="shared" si="287"/>
        <v>30.326637168035401</v>
      </c>
    </row>
    <row r="2172" spans="2:18" ht="12.75" customHeight="1" x14ac:dyDescent="0.25">
      <c r="B2172" s="17" t="s">
        <v>0</v>
      </c>
      <c r="C2172" s="44" t="s">
        <v>110</v>
      </c>
      <c r="D2172" s="22" t="s">
        <v>2</v>
      </c>
      <c r="E2172" s="20">
        <v>1</v>
      </c>
      <c r="F2172" s="17" t="s">
        <v>289</v>
      </c>
      <c r="G2172" s="17" t="s">
        <v>305</v>
      </c>
      <c r="H2172" s="17" t="s">
        <v>306</v>
      </c>
      <c r="I2172" s="17" t="s">
        <v>307</v>
      </c>
      <c r="J2172" s="27" t="s">
        <v>111</v>
      </c>
      <c r="K2172" s="29">
        <v>164</v>
      </c>
      <c r="L2172" s="31">
        <v>57972.000000029999</v>
      </c>
      <c r="M2172" s="31">
        <v>4130.4399999810003</v>
      </c>
      <c r="N2172" s="31">
        <v>3224.869999988</v>
      </c>
      <c r="O2172" s="34">
        <f t="shared" si="284"/>
        <v>7.1248878768696317E-2</v>
      </c>
      <c r="P2172" s="34">
        <f t="shared" si="285"/>
        <v>0.78075701378130036</v>
      </c>
      <c r="Q2172" s="34">
        <f t="shared" si="286"/>
        <v>0.92875112123130366</v>
      </c>
      <c r="R2172" s="46">
        <f t="shared" si="287"/>
        <v>19.663841463341463</v>
      </c>
    </row>
    <row r="2173" spans="2:18" ht="12.75" customHeight="1" x14ac:dyDescent="0.25">
      <c r="B2173" s="17" t="s">
        <v>0</v>
      </c>
      <c r="C2173" s="44" t="s">
        <v>20</v>
      </c>
      <c r="D2173" s="22" t="s">
        <v>2</v>
      </c>
      <c r="E2173" s="20">
        <v>1</v>
      </c>
      <c r="F2173" s="17" t="s">
        <v>289</v>
      </c>
      <c r="G2173" s="17" t="s">
        <v>305</v>
      </c>
      <c r="H2173" s="17" t="s">
        <v>306</v>
      </c>
      <c r="I2173" s="17" t="s">
        <v>307</v>
      </c>
      <c r="J2173" s="27" t="s">
        <v>21</v>
      </c>
      <c r="K2173" s="29">
        <v>100</v>
      </c>
      <c r="L2173" s="31">
        <v>19288.249999991</v>
      </c>
      <c r="M2173" s="31">
        <v>3779.2699999859997</v>
      </c>
      <c r="N2173" s="31">
        <v>2999.2200000079997</v>
      </c>
      <c r="O2173" s="34">
        <f t="shared" si="284"/>
        <v>0.19593638614118766</v>
      </c>
      <c r="P2173" s="34">
        <f t="shared" si="285"/>
        <v>0.7935977053820209</v>
      </c>
      <c r="Q2173" s="34">
        <f t="shared" si="286"/>
        <v>0.80406361385881231</v>
      </c>
      <c r="R2173" s="46">
        <f t="shared" si="287"/>
        <v>29.992200000079997</v>
      </c>
    </row>
    <row r="2174" spans="2:18" ht="12.75" customHeight="1" x14ac:dyDescent="0.25">
      <c r="B2174" s="17" t="s">
        <v>0</v>
      </c>
      <c r="C2174" s="44" t="s">
        <v>28</v>
      </c>
      <c r="D2174" s="22" t="s">
        <v>2</v>
      </c>
      <c r="E2174" s="20">
        <v>1</v>
      </c>
      <c r="F2174" s="17" t="s">
        <v>289</v>
      </c>
      <c r="G2174" s="17" t="s">
        <v>305</v>
      </c>
      <c r="H2174" s="17" t="s">
        <v>306</v>
      </c>
      <c r="I2174" s="17" t="s">
        <v>307</v>
      </c>
      <c r="J2174" s="27" t="s">
        <v>29</v>
      </c>
      <c r="K2174" s="29">
        <v>30</v>
      </c>
      <c r="L2174" s="31">
        <v>29912.33</v>
      </c>
      <c r="M2174" s="31">
        <v>3407.5599999699998</v>
      </c>
      <c r="N2174" s="31">
        <v>2529.520000001</v>
      </c>
      <c r="O2174" s="34">
        <f t="shared" si="284"/>
        <v>0.11391824040353926</v>
      </c>
      <c r="P2174" s="34">
        <f t="shared" si="285"/>
        <v>0.74232588715188286</v>
      </c>
      <c r="Q2174" s="34">
        <f t="shared" si="286"/>
        <v>0.88608175959646074</v>
      </c>
      <c r="R2174" s="46">
        <f t="shared" si="287"/>
        <v>84.317333333366662</v>
      </c>
    </row>
    <row r="2175" spans="2:18" ht="12.75" customHeight="1" x14ac:dyDescent="0.25">
      <c r="B2175" s="17" t="s">
        <v>0</v>
      </c>
      <c r="C2175" s="44" t="s">
        <v>182</v>
      </c>
      <c r="D2175" s="22" t="s">
        <v>9</v>
      </c>
      <c r="E2175" s="20">
        <v>2</v>
      </c>
      <c r="F2175" s="17" t="s">
        <v>289</v>
      </c>
      <c r="G2175" s="17" t="s">
        <v>305</v>
      </c>
      <c r="H2175" s="17" t="s">
        <v>306</v>
      </c>
      <c r="I2175" s="17" t="s">
        <v>307</v>
      </c>
      <c r="J2175" s="27" t="s">
        <v>183</v>
      </c>
      <c r="K2175" s="29">
        <v>47</v>
      </c>
      <c r="L2175" s="31">
        <v>11423</v>
      </c>
      <c r="M2175" s="31">
        <v>1694.7400000120001</v>
      </c>
      <c r="N2175" s="31">
        <v>1294.2400000050002</v>
      </c>
      <c r="O2175" s="34">
        <f t="shared" si="284"/>
        <v>0.14836207651335026</v>
      </c>
      <c r="P2175" s="34">
        <f t="shared" si="285"/>
        <v>0.76368056456791955</v>
      </c>
      <c r="Q2175" s="34">
        <f t="shared" si="286"/>
        <v>0.85163792348664979</v>
      </c>
      <c r="R2175" s="46">
        <f t="shared" si="287"/>
        <v>27.537021276702131</v>
      </c>
    </row>
    <row r="2176" spans="2:18" ht="12.75" customHeight="1" x14ac:dyDescent="0.25">
      <c r="B2176" s="17" t="s">
        <v>0</v>
      </c>
      <c r="C2176" s="44" t="s">
        <v>48</v>
      </c>
      <c r="D2176" s="22" t="s">
        <v>9</v>
      </c>
      <c r="E2176" s="20">
        <v>2</v>
      </c>
      <c r="F2176" s="17" t="s">
        <v>289</v>
      </c>
      <c r="G2176" s="17" t="s">
        <v>305</v>
      </c>
      <c r="H2176" s="17" t="s">
        <v>306</v>
      </c>
      <c r="I2176" s="17" t="s">
        <v>307</v>
      </c>
      <c r="J2176" s="27" t="s">
        <v>49</v>
      </c>
      <c r="K2176" s="29">
        <v>32</v>
      </c>
      <c r="L2176" s="31">
        <v>4480</v>
      </c>
      <c r="M2176" s="31">
        <v>1653.73</v>
      </c>
      <c r="N2176" s="31">
        <v>1253.69</v>
      </c>
      <c r="O2176" s="34">
        <f t="shared" ref="O2176:O2183" si="288">IFERROR(M2176/L2176,0)</f>
        <v>0.36913616071428573</v>
      </c>
      <c r="P2176" s="34">
        <f t="shared" ref="P2176:P2183" si="289">IFERROR(N2176/M2176,0)</f>
        <v>0.75809835946617654</v>
      </c>
      <c r="Q2176" s="34">
        <f t="shared" ref="Q2176:Q2183" si="290">IFERROR(1-(M2176/L2176),0)</f>
        <v>0.63086383928571421</v>
      </c>
      <c r="R2176" s="46">
        <f t="shared" ref="R2176:R2183" si="291">IFERROR(N2176/K2176,0)</f>
        <v>39.177812500000002</v>
      </c>
    </row>
    <row r="2177" spans="2:18" ht="12.75" customHeight="1" x14ac:dyDescent="0.25">
      <c r="B2177" s="17" t="s">
        <v>0</v>
      </c>
      <c r="C2177" s="44" t="s">
        <v>62</v>
      </c>
      <c r="D2177" s="22" t="s">
        <v>2</v>
      </c>
      <c r="E2177" s="20">
        <v>1</v>
      </c>
      <c r="F2177" s="17" t="s">
        <v>289</v>
      </c>
      <c r="G2177" s="17" t="s">
        <v>305</v>
      </c>
      <c r="H2177" s="17" t="s">
        <v>306</v>
      </c>
      <c r="I2177" s="17" t="s">
        <v>307</v>
      </c>
      <c r="J2177" s="27" t="s">
        <v>63</v>
      </c>
      <c r="K2177" s="29">
        <v>27</v>
      </c>
      <c r="L2177" s="31">
        <v>2170.8000000000002</v>
      </c>
      <c r="M2177" s="31">
        <v>1447.74</v>
      </c>
      <c r="N2177" s="31">
        <v>1153.44</v>
      </c>
      <c r="O2177" s="34">
        <f t="shared" si="288"/>
        <v>0.66691542288557204</v>
      </c>
      <c r="P2177" s="34">
        <f t="shared" si="289"/>
        <v>0.79671764267064527</v>
      </c>
      <c r="Q2177" s="34">
        <f t="shared" si="290"/>
        <v>0.33308457711442796</v>
      </c>
      <c r="R2177" s="46">
        <f t="shared" si="291"/>
        <v>42.72</v>
      </c>
    </row>
    <row r="2178" spans="2:18" ht="12.75" customHeight="1" x14ac:dyDescent="0.25">
      <c r="B2178" s="17" t="s">
        <v>0</v>
      </c>
      <c r="C2178" s="44" t="s">
        <v>182</v>
      </c>
      <c r="D2178" s="22" t="s">
        <v>2</v>
      </c>
      <c r="E2178" s="20">
        <v>1</v>
      </c>
      <c r="F2178" s="17" t="s">
        <v>289</v>
      </c>
      <c r="G2178" s="17" t="s">
        <v>305</v>
      </c>
      <c r="H2178" s="17" t="s">
        <v>306</v>
      </c>
      <c r="I2178" s="17" t="s">
        <v>307</v>
      </c>
      <c r="J2178" s="27" t="s">
        <v>183</v>
      </c>
      <c r="K2178" s="29">
        <v>41</v>
      </c>
      <c r="L2178" s="31">
        <v>8938</v>
      </c>
      <c r="M2178" s="31">
        <v>1433.809999997</v>
      </c>
      <c r="N2178" s="31">
        <v>1142.3200000020001</v>
      </c>
      <c r="O2178" s="34">
        <f t="shared" si="288"/>
        <v>0.16041731931047215</v>
      </c>
      <c r="P2178" s="34">
        <f t="shared" si="289"/>
        <v>0.7967024919650374</v>
      </c>
      <c r="Q2178" s="34">
        <f t="shared" si="290"/>
        <v>0.8395826806895279</v>
      </c>
      <c r="R2178" s="46">
        <f t="shared" si="291"/>
        <v>27.86146341468293</v>
      </c>
    </row>
    <row r="2179" spans="2:18" ht="12.75" customHeight="1" x14ac:dyDescent="0.25">
      <c r="B2179" s="17" t="s">
        <v>0</v>
      </c>
      <c r="C2179" s="44" t="s">
        <v>219</v>
      </c>
      <c r="D2179" s="22" t="s">
        <v>9</v>
      </c>
      <c r="E2179" s="20">
        <v>2</v>
      </c>
      <c r="F2179" s="17" t="s">
        <v>289</v>
      </c>
      <c r="G2179" s="17" t="s">
        <v>305</v>
      </c>
      <c r="H2179" s="17" t="s">
        <v>306</v>
      </c>
      <c r="I2179" s="17" t="s">
        <v>307</v>
      </c>
      <c r="J2179" s="27" t="s">
        <v>220</v>
      </c>
      <c r="K2179" s="29">
        <v>29</v>
      </c>
      <c r="L2179" s="31">
        <v>43500</v>
      </c>
      <c r="M2179" s="31">
        <v>2487.809999996</v>
      </c>
      <c r="N2179" s="31">
        <v>1101.230000004</v>
      </c>
      <c r="O2179" s="34">
        <f t="shared" si="288"/>
        <v>5.7191034482666665E-2</v>
      </c>
      <c r="P2179" s="34">
        <f t="shared" si="289"/>
        <v>0.44265036317314049</v>
      </c>
      <c r="Q2179" s="34">
        <f t="shared" si="290"/>
        <v>0.94280896551733329</v>
      </c>
      <c r="R2179" s="46">
        <f t="shared" si="291"/>
        <v>37.973448275999999</v>
      </c>
    </row>
    <row r="2180" spans="2:18" ht="12.75" customHeight="1" x14ac:dyDescent="0.25">
      <c r="B2180" s="17" t="s">
        <v>0</v>
      </c>
      <c r="C2180" s="44" t="s">
        <v>42</v>
      </c>
      <c r="D2180" s="22" t="s">
        <v>2</v>
      </c>
      <c r="E2180" s="20">
        <v>1</v>
      </c>
      <c r="F2180" s="17" t="s">
        <v>289</v>
      </c>
      <c r="G2180" s="17" t="s">
        <v>305</v>
      </c>
      <c r="H2180" s="17" t="s">
        <v>306</v>
      </c>
      <c r="I2180" s="17" t="s">
        <v>307</v>
      </c>
      <c r="J2180" s="27" t="s">
        <v>43</v>
      </c>
      <c r="K2180" s="29">
        <v>29</v>
      </c>
      <c r="L2180" s="31">
        <v>4226</v>
      </c>
      <c r="M2180" s="31">
        <v>1355.7700000039999</v>
      </c>
      <c r="N2180" s="31">
        <v>1080.5999999999999</v>
      </c>
      <c r="O2180" s="34">
        <f t="shared" si="288"/>
        <v>0.32081637482347369</v>
      </c>
      <c r="P2180" s="34">
        <f t="shared" si="289"/>
        <v>0.79703784564993463</v>
      </c>
      <c r="Q2180" s="34">
        <f t="shared" si="290"/>
        <v>0.67918362517652631</v>
      </c>
      <c r="R2180" s="46">
        <f t="shared" si="291"/>
        <v>37.262068965517237</v>
      </c>
    </row>
    <row r="2181" spans="2:18" ht="12.75" customHeight="1" x14ac:dyDescent="0.25">
      <c r="B2181" s="17" t="s">
        <v>0</v>
      </c>
      <c r="C2181" s="44" t="s">
        <v>147</v>
      </c>
      <c r="D2181" s="22" t="s">
        <v>9</v>
      </c>
      <c r="E2181" s="20">
        <v>2</v>
      </c>
      <c r="F2181" s="17" t="s">
        <v>289</v>
      </c>
      <c r="G2181" s="17" t="s">
        <v>305</v>
      </c>
      <c r="H2181" s="17" t="s">
        <v>306</v>
      </c>
      <c r="I2181" s="17" t="s">
        <v>307</v>
      </c>
      <c r="J2181" s="27" t="s">
        <v>148</v>
      </c>
      <c r="K2181" s="29">
        <v>24</v>
      </c>
      <c r="L2181" s="31">
        <v>3000</v>
      </c>
      <c r="M2181" s="31">
        <v>1036.71</v>
      </c>
      <c r="N2181" s="31">
        <v>761.47000000799994</v>
      </c>
      <c r="O2181" s="34">
        <f t="shared" si="288"/>
        <v>0.34556999999999999</v>
      </c>
      <c r="P2181" s="34">
        <f t="shared" si="289"/>
        <v>0.73450627466504603</v>
      </c>
      <c r="Q2181" s="34">
        <f t="shared" si="290"/>
        <v>0.65443000000000007</v>
      </c>
      <c r="R2181" s="46">
        <f t="shared" si="291"/>
        <v>31.727916666999999</v>
      </c>
    </row>
    <row r="2182" spans="2:18" ht="12.75" customHeight="1" x14ac:dyDescent="0.25">
      <c r="B2182" s="17" t="s">
        <v>0</v>
      </c>
      <c r="C2182" s="44" t="s">
        <v>161</v>
      </c>
      <c r="D2182" s="22" t="s">
        <v>9</v>
      </c>
      <c r="E2182" s="20">
        <v>2</v>
      </c>
      <c r="F2182" s="17" t="s">
        <v>289</v>
      </c>
      <c r="G2182" s="17" t="s">
        <v>305</v>
      </c>
      <c r="H2182" s="17" t="s">
        <v>306</v>
      </c>
      <c r="I2182" s="17" t="s">
        <v>307</v>
      </c>
      <c r="J2182" s="27" t="s">
        <v>162</v>
      </c>
      <c r="K2182" s="29">
        <v>31</v>
      </c>
      <c r="L2182" s="31">
        <v>1920.9999999849999</v>
      </c>
      <c r="M2182" s="31">
        <v>453.28000000399999</v>
      </c>
      <c r="N2182" s="31">
        <v>361.169999991</v>
      </c>
      <c r="O2182" s="34">
        <f t="shared" si="288"/>
        <v>0.23596043727617877</v>
      </c>
      <c r="P2182" s="34">
        <f t="shared" si="289"/>
        <v>0.79679226965189909</v>
      </c>
      <c r="Q2182" s="34">
        <f t="shared" si="290"/>
        <v>0.76403956272382123</v>
      </c>
      <c r="R2182" s="46">
        <f t="shared" si="291"/>
        <v>11.650645161</v>
      </c>
    </row>
    <row r="2183" spans="2:18" ht="12.75" customHeight="1" thickBot="1" x14ac:dyDescent="0.3">
      <c r="B2183" s="15" t="s">
        <v>0</v>
      </c>
      <c r="C2183" s="50" t="s">
        <v>36</v>
      </c>
      <c r="D2183" s="19" t="s">
        <v>2</v>
      </c>
      <c r="E2183" s="16">
        <v>1</v>
      </c>
      <c r="F2183" s="15" t="s">
        <v>289</v>
      </c>
      <c r="G2183" s="15" t="s">
        <v>305</v>
      </c>
      <c r="H2183" s="15" t="s">
        <v>306</v>
      </c>
      <c r="I2183" s="15" t="s">
        <v>307</v>
      </c>
      <c r="J2183" s="24" t="s">
        <v>37</v>
      </c>
      <c r="K2183" s="26">
        <v>15</v>
      </c>
      <c r="L2183" s="28">
        <v>5760</v>
      </c>
      <c r="M2183" s="28">
        <v>261.82999999499998</v>
      </c>
      <c r="N2183" s="28">
        <v>208.630000005</v>
      </c>
      <c r="O2183" s="32">
        <f t="shared" si="288"/>
        <v>4.5456597221354166E-2</v>
      </c>
      <c r="P2183" s="32">
        <f t="shared" si="289"/>
        <v>0.79681472714732493</v>
      </c>
      <c r="Q2183" s="32">
        <f t="shared" si="290"/>
        <v>0.9545434027786458</v>
      </c>
      <c r="R2183" s="49">
        <f t="shared" si="291"/>
        <v>13.908666667</v>
      </c>
    </row>
    <row r="2184" spans="2:18" ht="17.25" customHeight="1" x14ac:dyDescent="0.25">
      <c r="B2184" s="48"/>
      <c r="C2184" s="58"/>
      <c r="D2184" s="51" t="s">
        <v>366</v>
      </c>
      <c r="E2184" s="52"/>
      <c r="F2184" s="52"/>
      <c r="G2184" s="53"/>
      <c r="H2184" s="53"/>
      <c r="I2184" s="53"/>
      <c r="J2184" s="54"/>
      <c r="K2184" s="55">
        <f>SUM(K2112:K2183)</f>
        <v>329126</v>
      </c>
      <c r="L2184" s="56">
        <f>SUM(L2112:L2183)</f>
        <v>389915397.78984493</v>
      </c>
      <c r="M2184" s="56">
        <f>SUM(M2112:M2183)</f>
        <v>54844826.779889598</v>
      </c>
      <c r="N2184" s="56">
        <f>SUM(N2112:N2183)</f>
        <v>43001876.210000023</v>
      </c>
      <c r="O2184" s="57">
        <f>IFERROR(M2184/L2184,0)</f>
        <v>0.14065827379674206</v>
      </c>
      <c r="P2184" s="57">
        <f>IFERROR(N2184/M2184,0)</f>
        <v>0.78406440014079637</v>
      </c>
      <c r="Q2184" s="57">
        <f>IFERROR(1-(M2184/L2184),0)</f>
        <v>0.85934172620325788</v>
      </c>
      <c r="R2184" s="59">
        <f>IFERROR(N2184/K2184,0)</f>
        <v>130.65475292137364</v>
      </c>
    </row>
    <row r="2185" spans="2:18" ht="15.75" thickBot="1" x14ac:dyDescent="0.3">
      <c r="B2185" s="60"/>
      <c r="C2185" s="64"/>
      <c r="D2185" s="62" t="s">
        <v>307</v>
      </c>
      <c r="E2185" s="61"/>
      <c r="F2185" s="61"/>
      <c r="G2185" s="61"/>
      <c r="H2185" s="61"/>
      <c r="I2185" s="61"/>
      <c r="J2185" s="61"/>
      <c r="K2185" s="63"/>
      <c r="L2185" s="63"/>
      <c r="M2185" s="63"/>
      <c r="N2185" s="63"/>
      <c r="O2185" s="63"/>
      <c r="P2185" s="63"/>
      <c r="Q2185" s="63"/>
      <c r="R2185" s="65"/>
    </row>
    <row r="2186" spans="2:18" ht="15.75" thickBot="1" x14ac:dyDescent="0.3"/>
    <row r="2187" spans="2:18" ht="15.75" x14ac:dyDescent="0.25">
      <c r="B2187" s="1"/>
      <c r="C2187" s="7" t="s">
        <v>348</v>
      </c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9"/>
    </row>
    <row r="2188" spans="2:18" ht="18" x14ac:dyDescent="0.25">
      <c r="B2188" s="2"/>
      <c r="C2188" s="8" t="s">
        <v>310</v>
      </c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10"/>
    </row>
    <row r="2189" spans="2:18" ht="15.75" thickBot="1" x14ac:dyDescent="0.3">
      <c r="B2189" s="3"/>
      <c r="C2189" s="11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12"/>
    </row>
    <row r="2190" spans="2:18" ht="17.25" customHeight="1" thickBot="1" x14ac:dyDescent="0.3">
      <c r="B2190" s="14" t="s">
        <v>349</v>
      </c>
      <c r="C2190" s="18" t="s">
        <v>350</v>
      </c>
      <c r="D2190" s="21" t="s">
        <v>351</v>
      </c>
      <c r="E2190" s="23" t="s">
        <v>352</v>
      </c>
      <c r="F2190" s="21" t="s">
        <v>353</v>
      </c>
      <c r="G2190" s="23" t="s">
        <v>354</v>
      </c>
      <c r="H2190" s="23" t="s">
        <v>355</v>
      </c>
      <c r="I2190" s="23" t="s">
        <v>356</v>
      </c>
      <c r="J2190" s="25" t="s">
        <v>357</v>
      </c>
      <c r="K2190" s="25" t="s">
        <v>358</v>
      </c>
      <c r="L2190" s="30" t="s">
        <v>359</v>
      </c>
      <c r="M2190" s="30" t="s">
        <v>360</v>
      </c>
      <c r="N2190" s="30" t="s">
        <v>361</v>
      </c>
      <c r="O2190" s="33" t="s">
        <v>362</v>
      </c>
      <c r="P2190" s="33" t="s">
        <v>363</v>
      </c>
      <c r="Q2190" s="33" t="s">
        <v>364</v>
      </c>
      <c r="R2190" s="35" t="s">
        <v>365</v>
      </c>
    </row>
    <row r="2191" spans="2:18" ht="12.75" customHeight="1" x14ac:dyDescent="0.25">
      <c r="B2191" s="17" t="s">
        <v>0</v>
      </c>
      <c r="C2191" s="43" t="s">
        <v>44</v>
      </c>
      <c r="D2191" s="37" t="s">
        <v>9</v>
      </c>
      <c r="E2191" s="36">
        <v>2</v>
      </c>
      <c r="F2191" s="38" t="s">
        <v>289</v>
      </c>
      <c r="G2191" s="38" t="s">
        <v>308</v>
      </c>
      <c r="H2191" s="38" t="s">
        <v>309</v>
      </c>
      <c r="I2191" s="38" t="s">
        <v>310</v>
      </c>
      <c r="J2191" s="39" t="s">
        <v>45</v>
      </c>
      <c r="K2191" s="40">
        <v>130064</v>
      </c>
      <c r="L2191" s="41">
        <v>15809258.660001859</v>
      </c>
      <c r="M2191" s="41">
        <v>5110270.3200001214</v>
      </c>
      <c r="N2191" s="41">
        <v>3906855.3300011912</v>
      </c>
      <c r="O2191" s="42">
        <f t="shared" ref="O2191:O2231" si="292">IFERROR(M2191/L2191,0)</f>
        <v>0.32324541143281671</v>
      </c>
      <c r="P2191" s="42">
        <f t="shared" ref="P2191:P2231" si="293">IFERROR(N2191/M2191,0)</f>
        <v>0.76451050245050411</v>
      </c>
      <c r="Q2191" s="42">
        <f t="shared" ref="Q2191:Q2231" si="294">IFERROR(1-(M2191/L2191),0)</f>
        <v>0.67675458856718329</v>
      </c>
      <c r="R2191" s="45">
        <f t="shared" ref="R2191:R2231" si="295">IFERROR(N2191/K2191,0)</f>
        <v>30.037945396121842</v>
      </c>
    </row>
    <row r="2192" spans="2:18" ht="12.75" customHeight="1" x14ac:dyDescent="0.25">
      <c r="B2192" s="17" t="s">
        <v>0</v>
      </c>
      <c r="C2192" s="44" t="s">
        <v>30</v>
      </c>
      <c r="D2192" s="22" t="s">
        <v>9</v>
      </c>
      <c r="E2192" s="20">
        <v>2</v>
      </c>
      <c r="F2192" s="17" t="s">
        <v>289</v>
      </c>
      <c r="G2192" s="17" t="s">
        <v>308</v>
      </c>
      <c r="H2192" s="17" t="s">
        <v>309</v>
      </c>
      <c r="I2192" s="17" t="s">
        <v>310</v>
      </c>
      <c r="J2192" s="27" t="s">
        <v>31</v>
      </c>
      <c r="K2192" s="29">
        <v>26587</v>
      </c>
      <c r="L2192" s="31">
        <v>3041428.9099925491</v>
      </c>
      <c r="M2192" s="31">
        <v>1056326.3599992588</v>
      </c>
      <c r="N2192" s="31">
        <v>809988.42000017234</v>
      </c>
      <c r="O2192" s="34">
        <f t="shared" si="292"/>
        <v>0.3473125268615424</v>
      </c>
      <c r="P2192" s="34">
        <f t="shared" si="293"/>
        <v>0.76679750754372988</v>
      </c>
      <c r="Q2192" s="34">
        <f t="shared" si="294"/>
        <v>0.65268747313845754</v>
      </c>
      <c r="R2192" s="46">
        <f t="shared" si="295"/>
        <v>30.465581675261305</v>
      </c>
    </row>
    <row r="2193" spans="2:18" ht="12.75" customHeight="1" x14ac:dyDescent="0.25">
      <c r="B2193" s="17" t="s">
        <v>0</v>
      </c>
      <c r="C2193" s="44" t="s">
        <v>38</v>
      </c>
      <c r="D2193" s="22" t="s">
        <v>9</v>
      </c>
      <c r="E2193" s="20">
        <v>2</v>
      </c>
      <c r="F2193" s="17" t="s">
        <v>289</v>
      </c>
      <c r="G2193" s="17" t="s">
        <v>308</v>
      </c>
      <c r="H2193" s="17" t="s">
        <v>309</v>
      </c>
      <c r="I2193" s="17" t="s">
        <v>310</v>
      </c>
      <c r="J2193" s="27" t="s">
        <v>39</v>
      </c>
      <c r="K2193" s="29">
        <v>19161</v>
      </c>
      <c r="L2193" s="31">
        <v>1763902.2800028124</v>
      </c>
      <c r="M2193" s="31">
        <v>658378.98999986809</v>
      </c>
      <c r="N2193" s="31">
        <v>505465.88999965938</v>
      </c>
      <c r="O2193" s="34">
        <f t="shared" si="292"/>
        <v>0.37325139689644166</v>
      </c>
      <c r="P2193" s="34">
        <f t="shared" si="293"/>
        <v>0.76774304416937822</v>
      </c>
      <c r="Q2193" s="34">
        <f t="shared" si="294"/>
        <v>0.62674860310355829</v>
      </c>
      <c r="R2193" s="46">
        <f t="shared" si="295"/>
        <v>26.379932675729837</v>
      </c>
    </row>
    <row r="2194" spans="2:18" ht="12.75" customHeight="1" x14ac:dyDescent="0.25">
      <c r="B2194" s="17" t="s">
        <v>0</v>
      </c>
      <c r="C2194" s="44" t="s">
        <v>44</v>
      </c>
      <c r="D2194" s="22" t="s">
        <v>2</v>
      </c>
      <c r="E2194" s="20">
        <v>1</v>
      </c>
      <c r="F2194" s="17" t="s">
        <v>289</v>
      </c>
      <c r="G2194" s="17" t="s">
        <v>308</v>
      </c>
      <c r="H2194" s="17" t="s">
        <v>309</v>
      </c>
      <c r="I2194" s="17" t="s">
        <v>310</v>
      </c>
      <c r="J2194" s="27" t="s">
        <v>45</v>
      </c>
      <c r="K2194" s="29">
        <v>57619</v>
      </c>
      <c r="L2194" s="31">
        <v>3944578.1800029995</v>
      </c>
      <c r="M2194" s="31">
        <v>601143.69999948749</v>
      </c>
      <c r="N2194" s="31">
        <v>462704.86000003427</v>
      </c>
      <c r="O2194" s="34">
        <f t="shared" si="292"/>
        <v>0.1523974611650441</v>
      </c>
      <c r="P2194" s="34">
        <f t="shared" si="293"/>
        <v>0.7697075757434183</v>
      </c>
      <c r="Q2194" s="34">
        <f t="shared" si="294"/>
        <v>0.84760253883495595</v>
      </c>
      <c r="R2194" s="46">
        <f t="shared" si="295"/>
        <v>8.0304215623324637</v>
      </c>
    </row>
    <row r="2195" spans="2:18" ht="12.75" customHeight="1" x14ac:dyDescent="0.25">
      <c r="B2195" s="17" t="s">
        <v>0</v>
      </c>
      <c r="C2195" s="44" t="s">
        <v>92</v>
      </c>
      <c r="D2195" s="22" t="s">
        <v>9</v>
      </c>
      <c r="E2195" s="20">
        <v>2</v>
      </c>
      <c r="F2195" s="17" t="s">
        <v>289</v>
      </c>
      <c r="G2195" s="17" t="s">
        <v>308</v>
      </c>
      <c r="H2195" s="17" t="s">
        <v>309</v>
      </c>
      <c r="I2195" s="17" t="s">
        <v>310</v>
      </c>
      <c r="J2195" s="27" t="s">
        <v>93</v>
      </c>
      <c r="K2195" s="29">
        <v>18153</v>
      </c>
      <c r="L2195" s="31">
        <v>1511430.7199975003</v>
      </c>
      <c r="M2195" s="31">
        <v>531678.81999920227</v>
      </c>
      <c r="N2195" s="31">
        <v>397272.52000003424</v>
      </c>
      <c r="O2195" s="34">
        <f t="shared" si="292"/>
        <v>0.35177187612018473</v>
      </c>
      <c r="P2195" s="34">
        <f t="shared" si="293"/>
        <v>0.74720396046739324</v>
      </c>
      <c r="Q2195" s="34">
        <f t="shared" si="294"/>
        <v>0.64822812387981532</v>
      </c>
      <c r="R2195" s="46">
        <f t="shared" si="295"/>
        <v>21.884675811162577</v>
      </c>
    </row>
    <row r="2196" spans="2:18" ht="12.75" customHeight="1" x14ac:dyDescent="0.25">
      <c r="B2196" s="17" t="s">
        <v>0</v>
      </c>
      <c r="C2196" s="44" t="s">
        <v>58</v>
      </c>
      <c r="D2196" s="22" t="s">
        <v>9</v>
      </c>
      <c r="E2196" s="20">
        <v>2</v>
      </c>
      <c r="F2196" s="17" t="s">
        <v>289</v>
      </c>
      <c r="G2196" s="17" t="s">
        <v>308</v>
      </c>
      <c r="H2196" s="17" t="s">
        <v>309</v>
      </c>
      <c r="I2196" s="17" t="s">
        <v>310</v>
      </c>
      <c r="J2196" s="27" t="s">
        <v>59</v>
      </c>
      <c r="K2196" s="29">
        <v>19055</v>
      </c>
      <c r="L2196" s="31">
        <v>902662</v>
      </c>
      <c r="M2196" s="31">
        <v>485783.36999390199</v>
      </c>
      <c r="N2196" s="31">
        <v>376706.79999266798</v>
      </c>
      <c r="O2196" s="34">
        <f t="shared" si="292"/>
        <v>0.53816752006166424</v>
      </c>
      <c r="P2196" s="34">
        <f t="shared" si="293"/>
        <v>0.77546252766412482</v>
      </c>
      <c r="Q2196" s="34">
        <f t="shared" si="294"/>
        <v>0.46183247993833576</v>
      </c>
      <c r="R2196" s="46">
        <f t="shared" si="295"/>
        <v>19.769446339158645</v>
      </c>
    </row>
    <row r="2197" spans="2:18" ht="12.75" customHeight="1" x14ac:dyDescent="0.25">
      <c r="B2197" s="17" t="s">
        <v>0</v>
      </c>
      <c r="C2197" s="44" t="s">
        <v>54</v>
      </c>
      <c r="D2197" s="22" t="s">
        <v>9</v>
      </c>
      <c r="E2197" s="20">
        <v>2</v>
      </c>
      <c r="F2197" s="17" t="s">
        <v>289</v>
      </c>
      <c r="G2197" s="17" t="s">
        <v>308</v>
      </c>
      <c r="H2197" s="17" t="s">
        <v>309</v>
      </c>
      <c r="I2197" s="17" t="s">
        <v>310</v>
      </c>
      <c r="J2197" s="27" t="s">
        <v>55</v>
      </c>
      <c r="K2197" s="29">
        <v>8749</v>
      </c>
      <c r="L2197" s="31">
        <v>1221549.670000077</v>
      </c>
      <c r="M2197" s="31">
        <v>333952.05999984947</v>
      </c>
      <c r="N2197" s="31">
        <v>258263.9299999678</v>
      </c>
      <c r="O2197" s="34">
        <f t="shared" si="292"/>
        <v>0.27338393861612553</v>
      </c>
      <c r="P2197" s="34">
        <f t="shared" si="293"/>
        <v>0.77335630150053336</v>
      </c>
      <c r="Q2197" s="34">
        <f t="shared" si="294"/>
        <v>0.72661606138387447</v>
      </c>
      <c r="R2197" s="46">
        <f t="shared" si="295"/>
        <v>29.51925134300695</v>
      </c>
    </row>
    <row r="2198" spans="2:18" ht="12.75" customHeight="1" x14ac:dyDescent="0.25">
      <c r="B2198" s="17" t="s">
        <v>0</v>
      </c>
      <c r="C2198" s="44" t="s">
        <v>46</v>
      </c>
      <c r="D2198" s="22" t="s">
        <v>9</v>
      </c>
      <c r="E2198" s="20">
        <v>2</v>
      </c>
      <c r="F2198" s="17" t="s">
        <v>289</v>
      </c>
      <c r="G2198" s="17" t="s">
        <v>308</v>
      </c>
      <c r="H2198" s="17" t="s">
        <v>309</v>
      </c>
      <c r="I2198" s="17" t="s">
        <v>310</v>
      </c>
      <c r="J2198" s="27" t="s">
        <v>47</v>
      </c>
      <c r="K2198" s="29">
        <v>7878</v>
      </c>
      <c r="L2198" s="31">
        <v>933680.07000005804</v>
      </c>
      <c r="M2198" s="31">
        <v>261761.45999960657</v>
      </c>
      <c r="N2198" s="31">
        <v>201598.19000027576</v>
      </c>
      <c r="O2198" s="34">
        <f t="shared" si="292"/>
        <v>0.28035455442418333</v>
      </c>
      <c r="P2198" s="34">
        <f t="shared" si="293"/>
        <v>0.77015993874949651</v>
      </c>
      <c r="Q2198" s="34">
        <f t="shared" si="294"/>
        <v>0.71964544557581667</v>
      </c>
      <c r="R2198" s="46">
        <f t="shared" si="295"/>
        <v>25.590021579115987</v>
      </c>
    </row>
    <row r="2199" spans="2:18" ht="12.75" customHeight="1" x14ac:dyDescent="0.25">
      <c r="B2199" s="17" t="s">
        <v>0</v>
      </c>
      <c r="C2199" s="44" t="s">
        <v>28</v>
      </c>
      <c r="D2199" s="22" t="s">
        <v>9</v>
      </c>
      <c r="E2199" s="20">
        <v>2</v>
      </c>
      <c r="F2199" s="17" t="s">
        <v>289</v>
      </c>
      <c r="G2199" s="17" t="s">
        <v>308</v>
      </c>
      <c r="H2199" s="17" t="s">
        <v>309</v>
      </c>
      <c r="I2199" s="17" t="s">
        <v>310</v>
      </c>
      <c r="J2199" s="27" t="s">
        <v>29</v>
      </c>
      <c r="K2199" s="29">
        <v>3250</v>
      </c>
      <c r="L2199" s="31">
        <v>183696</v>
      </c>
      <c r="M2199" s="31">
        <v>105025.77999942598</v>
      </c>
      <c r="N2199" s="31">
        <v>83509.010001097995</v>
      </c>
      <c r="O2199" s="34">
        <f t="shared" si="292"/>
        <v>0.57173689138264294</v>
      </c>
      <c r="P2199" s="34">
        <f t="shared" si="293"/>
        <v>0.79512868175370288</v>
      </c>
      <c r="Q2199" s="34">
        <f t="shared" si="294"/>
        <v>0.42826310861735706</v>
      </c>
      <c r="R2199" s="46">
        <f t="shared" si="295"/>
        <v>25.695080000337846</v>
      </c>
    </row>
    <row r="2200" spans="2:18" ht="12.75" customHeight="1" x14ac:dyDescent="0.25">
      <c r="B2200" s="17" t="s">
        <v>0</v>
      </c>
      <c r="C2200" s="44" t="s">
        <v>141</v>
      </c>
      <c r="D2200" s="22" t="s">
        <v>9</v>
      </c>
      <c r="E2200" s="20">
        <v>2</v>
      </c>
      <c r="F2200" s="17" t="s">
        <v>289</v>
      </c>
      <c r="G2200" s="17" t="s">
        <v>308</v>
      </c>
      <c r="H2200" s="17" t="s">
        <v>309</v>
      </c>
      <c r="I2200" s="17" t="s">
        <v>310</v>
      </c>
      <c r="J2200" s="27" t="s">
        <v>142</v>
      </c>
      <c r="K2200" s="29">
        <v>2790</v>
      </c>
      <c r="L2200" s="31">
        <v>218767.23999994301</v>
      </c>
      <c r="M2200" s="31">
        <v>96753.620000015013</v>
      </c>
      <c r="N2200" s="31">
        <v>75775.90999991601</v>
      </c>
      <c r="O2200" s="34">
        <f t="shared" si="292"/>
        <v>0.44226740713116014</v>
      </c>
      <c r="P2200" s="34">
        <f t="shared" si="293"/>
        <v>0.78318423641311041</v>
      </c>
      <c r="Q2200" s="34">
        <f t="shared" si="294"/>
        <v>0.55773259286883992</v>
      </c>
      <c r="R2200" s="46">
        <f t="shared" si="295"/>
        <v>27.159824372729751</v>
      </c>
    </row>
    <row r="2201" spans="2:18" ht="12.75" customHeight="1" x14ac:dyDescent="0.25">
      <c r="B2201" s="17" t="s">
        <v>0</v>
      </c>
      <c r="C2201" s="44" t="s">
        <v>38</v>
      </c>
      <c r="D2201" s="22" t="s">
        <v>2</v>
      </c>
      <c r="E2201" s="20">
        <v>1</v>
      </c>
      <c r="F2201" s="17" t="s">
        <v>289</v>
      </c>
      <c r="G2201" s="17" t="s">
        <v>308</v>
      </c>
      <c r="H2201" s="17" t="s">
        <v>309</v>
      </c>
      <c r="I2201" s="17" t="s">
        <v>310</v>
      </c>
      <c r="J2201" s="27" t="s">
        <v>39</v>
      </c>
      <c r="K2201" s="29">
        <v>8208</v>
      </c>
      <c r="L2201" s="31">
        <v>455057.62999930588</v>
      </c>
      <c r="M2201" s="31">
        <v>81224.56999959558</v>
      </c>
      <c r="N2201" s="31">
        <v>62338.569999985593</v>
      </c>
      <c r="O2201" s="34">
        <f t="shared" si="292"/>
        <v>0.17849293066401167</v>
      </c>
      <c r="P2201" s="34">
        <f t="shared" si="293"/>
        <v>0.76748414919643126</v>
      </c>
      <c r="Q2201" s="34">
        <f t="shared" si="294"/>
        <v>0.82150706933598827</v>
      </c>
      <c r="R2201" s="46">
        <f t="shared" si="295"/>
        <v>7.5948550194914226</v>
      </c>
    </row>
    <row r="2202" spans="2:18" ht="12.75" customHeight="1" x14ac:dyDescent="0.25">
      <c r="B2202" s="17" t="s">
        <v>0</v>
      </c>
      <c r="C2202" s="44" t="s">
        <v>236</v>
      </c>
      <c r="D2202" s="22" t="s">
        <v>9</v>
      </c>
      <c r="E2202" s="20">
        <v>2</v>
      </c>
      <c r="F2202" s="17" t="s">
        <v>289</v>
      </c>
      <c r="G2202" s="17" t="s">
        <v>308</v>
      </c>
      <c r="H2202" s="17" t="s">
        <v>309</v>
      </c>
      <c r="I2202" s="17" t="s">
        <v>310</v>
      </c>
      <c r="J2202" s="27" t="s">
        <v>237</v>
      </c>
      <c r="K2202" s="29">
        <v>1843</v>
      </c>
      <c r="L2202" s="31">
        <v>178240.000000056</v>
      </c>
      <c r="M2202" s="31">
        <v>69887.040000296009</v>
      </c>
      <c r="N2202" s="31">
        <v>55236.590000276992</v>
      </c>
      <c r="O2202" s="34">
        <f t="shared" si="292"/>
        <v>0.39209515260476913</v>
      </c>
      <c r="P2202" s="34">
        <f t="shared" si="293"/>
        <v>0.79036957352955617</v>
      </c>
      <c r="Q2202" s="34">
        <f t="shared" si="294"/>
        <v>0.60790484739523087</v>
      </c>
      <c r="R2202" s="46">
        <f t="shared" si="295"/>
        <v>29.971020076113398</v>
      </c>
    </row>
    <row r="2203" spans="2:18" ht="12.75" customHeight="1" x14ac:dyDescent="0.25">
      <c r="B2203" s="17" t="s">
        <v>0</v>
      </c>
      <c r="C2203" s="44" t="s">
        <v>70</v>
      </c>
      <c r="D2203" s="22" t="s">
        <v>9</v>
      </c>
      <c r="E2203" s="20">
        <v>2</v>
      </c>
      <c r="F2203" s="17" t="s">
        <v>289</v>
      </c>
      <c r="G2203" s="17" t="s">
        <v>308</v>
      </c>
      <c r="H2203" s="17" t="s">
        <v>309</v>
      </c>
      <c r="I2203" s="17" t="s">
        <v>310</v>
      </c>
      <c r="J2203" s="27" t="s">
        <v>71</v>
      </c>
      <c r="K2203" s="29">
        <v>1633</v>
      </c>
      <c r="L2203" s="31">
        <v>214405.369994626</v>
      </c>
      <c r="M2203" s="31">
        <v>68351.299999640003</v>
      </c>
      <c r="N2203" s="31">
        <v>53928.68000033201</v>
      </c>
      <c r="O2203" s="34">
        <f t="shared" si="292"/>
        <v>0.3187947204930231</v>
      </c>
      <c r="P2203" s="34">
        <f t="shared" si="293"/>
        <v>0.78899274776947981</v>
      </c>
      <c r="Q2203" s="34">
        <f t="shared" si="294"/>
        <v>0.68120527950697696</v>
      </c>
      <c r="R2203" s="46">
        <f t="shared" si="295"/>
        <v>33.024298836700559</v>
      </c>
    </row>
    <row r="2204" spans="2:18" ht="12.75" customHeight="1" x14ac:dyDescent="0.25">
      <c r="B2204" s="17" t="s">
        <v>0</v>
      </c>
      <c r="C2204" s="44" t="s">
        <v>18</v>
      </c>
      <c r="D2204" s="22" t="s">
        <v>9</v>
      </c>
      <c r="E2204" s="20">
        <v>2</v>
      </c>
      <c r="F2204" s="17" t="s">
        <v>289</v>
      </c>
      <c r="G2204" s="17" t="s">
        <v>308</v>
      </c>
      <c r="H2204" s="17" t="s">
        <v>309</v>
      </c>
      <c r="I2204" s="17" t="s">
        <v>310</v>
      </c>
      <c r="J2204" s="27" t="s">
        <v>19</v>
      </c>
      <c r="K2204" s="29">
        <v>1544</v>
      </c>
      <c r="L2204" s="31">
        <v>323721</v>
      </c>
      <c r="M2204" s="31">
        <v>60830.519999992008</v>
      </c>
      <c r="N2204" s="31">
        <v>44487.689999803006</v>
      </c>
      <c r="O2204" s="34">
        <f t="shared" si="292"/>
        <v>0.18791033019171449</v>
      </c>
      <c r="P2204" s="34">
        <f t="shared" si="293"/>
        <v>0.73133831504003011</v>
      </c>
      <c r="Q2204" s="34">
        <f t="shared" si="294"/>
        <v>0.81208966980828556</v>
      </c>
      <c r="R2204" s="46">
        <f t="shared" si="295"/>
        <v>28.813270725261013</v>
      </c>
    </row>
    <row r="2205" spans="2:18" ht="12.75" customHeight="1" x14ac:dyDescent="0.25">
      <c r="B2205" s="17" t="s">
        <v>0</v>
      </c>
      <c r="C2205" s="44" t="s">
        <v>14</v>
      </c>
      <c r="D2205" s="22" t="s">
        <v>9</v>
      </c>
      <c r="E2205" s="20">
        <v>2</v>
      </c>
      <c r="F2205" s="17" t="s">
        <v>289</v>
      </c>
      <c r="G2205" s="17" t="s">
        <v>308</v>
      </c>
      <c r="H2205" s="17" t="s">
        <v>309</v>
      </c>
      <c r="I2205" s="17" t="s">
        <v>310</v>
      </c>
      <c r="J2205" s="27" t="s">
        <v>15</v>
      </c>
      <c r="K2205" s="29">
        <v>1004</v>
      </c>
      <c r="L2205" s="31">
        <v>146404.270000333</v>
      </c>
      <c r="M2205" s="31">
        <v>50370.029999857012</v>
      </c>
      <c r="N2205" s="31">
        <v>37669.680000203996</v>
      </c>
      <c r="O2205" s="34">
        <f t="shared" si="292"/>
        <v>0.34404754724532588</v>
      </c>
      <c r="P2205" s="34">
        <f t="shared" si="293"/>
        <v>0.74785899472982109</v>
      </c>
      <c r="Q2205" s="34">
        <f t="shared" si="294"/>
        <v>0.65595245275467406</v>
      </c>
      <c r="R2205" s="46">
        <f t="shared" si="295"/>
        <v>37.519601593828682</v>
      </c>
    </row>
    <row r="2206" spans="2:18" ht="12.75" customHeight="1" x14ac:dyDescent="0.25">
      <c r="B2206" s="17" t="s">
        <v>0</v>
      </c>
      <c r="C2206" s="44" t="s">
        <v>94</v>
      </c>
      <c r="D2206" s="22" t="s">
        <v>9</v>
      </c>
      <c r="E2206" s="20">
        <v>2</v>
      </c>
      <c r="F2206" s="17" t="s">
        <v>289</v>
      </c>
      <c r="G2206" s="17" t="s">
        <v>308</v>
      </c>
      <c r="H2206" s="17" t="s">
        <v>309</v>
      </c>
      <c r="I2206" s="17" t="s">
        <v>310</v>
      </c>
      <c r="J2206" s="27" t="s">
        <v>95</v>
      </c>
      <c r="K2206" s="29">
        <v>1205</v>
      </c>
      <c r="L2206" s="31">
        <v>102642.26000000001</v>
      </c>
      <c r="M2206" s="31">
        <v>47690.160000069991</v>
      </c>
      <c r="N2206" s="31">
        <v>36487.779999961</v>
      </c>
      <c r="O2206" s="34">
        <f t="shared" si="292"/>
        <v>0.46462499948919661</v>
      </c>
      <c r="P2206" s="34">
        <f t="shared" si="293"/>
        <v>0.76510080905384781</v>
      </c>
      <c r="Q2206" s="34">
        <f t="shared" si="294"/>
        <v>0.53537500051080333</v>
      </c>
      <c r="R2206" s="46">
        <f t="shared" si="295"/>
        <v>30.280315352664729</v>
      </c>
    </row>
    <row r="2207" spans="2:18" ht="12.75" customHeight="1" x14ac:dyDescent="0.25">
      <c r="B2207" s="17" t="s">
        <v>0</v>
      </c>
      <c r="C2207" s="44" t="s">
        <v>30</v>
      </c>
      <c r="D2207" s="22" t="s">
        <v>2</v>
      </c>
      <c r="E2207" s="20">
        <v>1</v>
      </c>
      <c r="F2207" s="17" t="s">
        <v>289</v>
      </c>
      <c r="G2207" s="17" t="s">
        <v>308</v>
      </c>
      <c r="H2207" s="17" t="s">
        <v>309</v>
      </c>
      <c r="I2207" s="17" t="s">
        <v>310</v>
      </c>
      <c r="J2207" s="27" t="s">
        <v>31</v>
      </c>
      <c r="K2207" s="29">
        <v>4168</v>
      </c>
      <c r="L2207" s="31">
        <v>232535.71999949997</v>
      </c>
      <c r="M2207" s="31">
        <v>44566.219999882895</v>
      </c>
      <c r="N2207" s="31">
        <v>34743.869999952491</v>
      </c>
      <c r="O2207" s="34">
        <f t="shared" si="292"/>
        <v>0.19165322213713543</v>
      </c>
      <c r="P2207" s="34">
        <f t="shared" si="293"/>
        <v>0.77960100722124936</v>
      </c>
      <c r="Q2207" s="34">
        <f t="shared" si="294"/>
        <v>0.80834677786286457</v>
      </c>
      <c r="R2207" s="46">
        <f t="shared" si="295"/>
        <v>8.3358613243648012</v>
      </c>
    </row>
    <row r="2208" spans="2:18" ht="12.75" customHeight="1" x14ac:dyDescent="0.25">
      <c r="B2208" s="17" t="s">
        <v>0</v>
      </c>
      <c r="C2208" s="44" t="s">
        <v>7</v>
      </c>
      <c r="D2208" s="22" t="s">
        <v>9</v>
      </c>
      <c r="E2208" s="20">
        <v>2</v>
      </c>
      <c r="F2208" s="17" t="s">
        <v>289</v>
      </c>
      <c r="G2208" s="17" t="s">
        <v>308</v>
      </c>
      <c r="H2208" s="17" t="s">
        <v>309</v>
      </c>
      <c r="I2208" s="17" t="s">
        <v>310</v>
      </c>
      <c r="J2208" s="27" t="s">
        <v>8</v>
      </c>
      <c r="K2208" s="29">
        <v>1076</v>
      </c>
      <c r="L2208" s="31">
        <v>180588.20000010799</v>
      </c>
      <c r="M2208" s="31">
        <v>41326.060000160003</v>
      </c>
      <c r="N2208" s="31">
        <v>32359.520000067001</v>
      </c>
      <c r="O2208" s="34">
        <f t="shared" si="292"/>
        <v>0.22884141931829041</v>
      </c>
      <c r="P2208" s="34">
        <f t="shared" si="293"/>
        <v>0.78302940081734662</v>
      </c>
      <c r="Q2208" s="34">
        <f t="shared" si="294"/>
        <v>0.77115858068170962</v>
      </c>
      <c r="R2208" s="46">
        <f t="shared" si="295"/>
        <v>30.073903345787176</v>
      </c>
    </row>
    <row r="2209" spans="2:18" ht="12.75" customHeight="1" x14ac:dyDescent="0.25">
      <c r="B2209" s="17" t="s">
        <v>0</v>
      </c>
      <c r="C2209" s="44" t="s">
        <v>16</v>
      </c>
      <c r="D2209" s="22" t="s">
        <v>9</v>
      </c>
      <c r="E2209" s="20">
        <v>2</v>
      </c>
      <c r="F2209" s="17" t="s">
        <v>289</v>
      </c>
      <c r="G2209" s="17" t="s">
        <v>308</v>
      </c>
      <c r="H2209" s="17" t="s">
        <v>309</v>
      </c>
      <c r="I2209" s="17" t="s">
        <v>310</v>
      </c>
      <c r="J2209" s="27" t="s">
        <v>17</v>
      </c>
      <c r="K2209" s="29">
        <v>603</v>
      </c>
      <c r="L2209" s="31">
        <v>92730</v>
      </c>
      <c r="M2209" s="31">
        <v>24907.280000049999</v>
      </c>
      <c r="N2209" s="31">
        <v>19238.209999958999</v>
      </c>
      <c r="O2209" s="34">
        <f t="shared" si="292"/>
        <v>0.2686000215685323</v>
      </c>
      <c r="P2209" s="34">
        <f t="shared" si="293"/>
        <v>0.77239305134564595</v>
      </c>
      <c r="Q2209" s="34">
        <f t="shared" si="294"/>
        <v>0.73139997843146776</v>
      </c>
      <c r="R2209" s="46">
        <f t="shared" si="295"/>
        <v>31.904162520661689</v>
      </c>
    </row>
    <row r="2210" spans="2:18" ht="12.75" customHeight="1" x14ac:dyDescent="0.25">
      <c r="B2210" s="17" t="s">
        <v>0</v>
      </c>
      <c r="C2210" s="44" t="s">
        <v>32</v>
      </c>
      <c r="D2210" s="22" t="s">
        <v>9</v>
      </c>
      <c r="E2210" s="20">
        <v>2</v>
      </c>
      <c r="F2210" s="17" t="s">
        <v>289</v>
      </c>
      <c r="G2210" s="17" t="s">
        <v>308</v>
      </c>
      <c r="H2210" s="17" t="s">
        <v>309</v>
      </c>
      <c r="I2210" s="17" t="s">
        <v>310</v>
      </c>
      <c r="J2210" s="27" t="s">
        <v>33</v>
      </c>
      <c r="K2210" s="29">
        <v>331</v>
      </c>
      <c r="L2210" s="31">
        <v>44263.999999975997</v>
      </c>
      <c r="M2210" s="31">
        <v>22410.100000024999</v>
      </c>
      <c r="N2210" s="31">
        <v>17748.549999974999</v>
      </c>
      <c r="O2210" s="34">
        <f t="shared" si="292"/>
        <v>0.50628275799830902</v>
      </c>
      <c r="P2210" s="34">
        <f t="shared" si="293"/>
        <v>0.79198888001192325</v>
      </c>
      <c r="Q2210" s="34">
        <f t="shared" si="294"/>
        <v>0.49371724200169098</v>
      </c>
      <c r="R2210" s="46">
        <f t="shared" si="295"/>
        <v>53.620996978776432</v>
      </c>
    </row>
    <row r="2211" spans="2:18" ht="12.75" customHeight="1" x14ac:dyDescent="0.25">
      <c r="B2211" s="17" t="s">
        <v>0</v>
      </c>
      <c r="C2211" s="44" t="s">
        <v>90</v>
      </c>
      <c r="D2211" s="22" t="s">
        <v>9</v>
      </c>
      <c r="E2211" s="20">
        <v>2</v>
      </c>
      <c r="F2211" s="17" t="s">
        <v>289</v>
      </c>
      <c r="G2211" s="17" t="s">
        <v>308</v>
      </c>
      <c r="H2211" s="17" t="s">
        <v>309</v>
      </c>
      <c r="I2211" s="17" t="s">
        <v>310</v>
      </c>
      <c r="J2211" s="27" t="s">
        <v>91</v>
      </c>
      <c r="K2211" s="29">
        <v>444</v>
      </c>
      <c r="L2211" s="31">
        <v>67156.739999690006</v>
      </c>
      <c r="M2211" s="31">
        <v>20858.640000079002</v>
      </c>
      <c r="N2211" s="31">
        <v>16073.320000016003</v>
      </c>
      <c r="O2211" s="34">
        <f t="shared" si="292"/>
        <v>0.31059637499043707</v>
      </c>
      <c r="P2211" s="34">
        <f t="shared" si="293"/>
        <v>0.77058331703098215</v>
      </c>
      <c r="Q2211" s="34">
        <f t="shared" si="294"/>
        <v>0.68940362500956298</v>
      </c>
      <c r="R2211" s="46">
        <f t="shared" si="295"/>
        <v>36.201171171207214</v>
      </c>
    </row>
    <row r="2212" spans="2:18" ht="12.75" customHeight="1" x14ac:dyDescent="0.25">
      <c r="B2212" s="17" t="s">
        <v>0</v>
      </c>
      <c r="C2212" s="44" t="s">
        <v>50</v>
      </c>
      <c r="D2212" s="22" t="s">
        <v>9</v>
      </c>
      <c r="E2212" s="20">
        <v>2</v>
      </c>
      <c r="F2212" s="17" t="s">
        <v>289</v>
      </c>
      <c r="G2212" s="17" t="s">
        <v>308</v>
      </c>
      <c r="H2212" s="17" t="s">
        <v>309</v>
      </c>
      <c r="I2212" s="17" t="s">
        <v>310</v>
      </c>
      <c r="J2212" s="27" t="s">
        <v>51</v>
      </c>
      <c r="K2212" s="29">
        <v>570</v>
      </c>
      <c r="L2212" s="31">
        <v>65999.840000030003</v>
      </c>
      <c r="M2212" s="31">
        <v>17964.73999994</v>
      </c>
      <c r="N2212" s="31">
        <v>13583.719999977999</v>
      </c>
      <c r="O2212" s="34">
        <f t="shared" si="292"/>
        <v>0.27219369016548878</v>
      </c>
      <c r="P2212" s="34">
        <f t="shared" si="293"/>
        <v>0.7561322902543185</v>
      </c>
      <c r="Q2212" s="34">
        <f t="shared" si="294"/>
        <v>0.72780630983451122</v>
      </c>
      <c r="R2212" s="46">
        <f t="shared" si="295"/>
        <v>23.831087719259646</v>
      </c>
    </row>
    <row r="2213" spans="2:18" ht="12.75" customHeight="1" x14ac:dyDescent="0.25">
      <c r="B2213" s="17" t="s">
        <v>0</v>
      </c>
      <c r="C2213" s="44" t="s">
        <v>96</v>
      </c>
      <c r="D2213" s="22" t="s">
        <v>9</v>
      </c>
      <c r="E2213" s="20">
        <v>2</v>
      </c>
      <c r="F2213" s="17" t="s">
        <v>289</v>
      </c>
      <c r="G2213" s="17" t="s">
        <v>308</v>
      </c>
      <c r="H2213" s="17" t="s">
        <v>309</v>
      </c>
      <c r="I2213" s="17" t="s">
        <v>310</v>
      </c>
      <c r="J2213" s="27" t="s">
        <v>97</v>
      </c>
      <c r="K2213" s="29">
        <v>662</v>
      </c>
      <c r="L2213" s="31">
        <v>50161.000000099004</v>
      </c>
      <c r="M2213" s="31">
        <v>17143.910000151001</v>
      </c>
      <c r="N2213" s="31">
        <v>12429.40000003</v>
      </c>
      <c r="O2213" s="34">
        <f t="shared" si="292"/>
        <v>0.3417776758859904</v>
      </c>
      <c r="P2213" s="34">
        <f t="shared" si="293"/>
        <v>0.7250038060116113</v>
      </c>
      <c r="Q2213" s="34">
        <f t="shared" si="294"/>
        <v>0.6582223241140096</v>
      </c>
      <c r="R2213" s="46">
        <f t="shared" si="295"/>
        <v>18.775528700951661</v>
      </c>
    </row>
    <row r="2214" spans="2:18" ht="12.75" customHeight="1" x14ac:dyDescent="0.25">
      <c r="B2214" s="17" t="s">
        <v>0</v>
      </c>
      <c r="C2214" s="44" t="s">
        <v>14</v>
      </c>
      <c r="D2214" s="22" t="s">
        <v>2</v>
      </c>
      <c r="E2214" s="20">
        <v>1</v>
      </c>
      <c r="F2214" s="17" t="s">
        <v>289</v>
      </c>
      <c r="G2214" s="17" t="s">
        <v>308</v>
      </c>
      <c r="H2214" s="17" t="s">
        <v>309</v>
      </c>
      <c r="I2214" s="17" t="s">
        <v>310</v>
      </c>
      <c r="J2214" s="27" t="s">
        <v>15</v>
      </c>
      <c r="K2214" s="29">
        <v>245</v>
      </c>
      <c r="L2214" s="31">
        <v>47667.040000317</v>
      </c>
      <c r="M2214" s="31">
        <v>14436.870000029701</v>
      </c>
      <c r="N2214" s="31">
        <v>10903.779999967399</v>
      </c>
      <c r="O2214" s="34">
        <f t="shared" si="292"/>
        <v>0.30286902647896097</v>
      </c>
      <c r="P2214" s="34">
        <f t="shared" si="293"/>
        <v>0.75527313052932987</v>
      </c>
      <c r="Q2214" s="34">
        <f t="shared" si="294"/>
        <v>0.69713097352103903</v>
      </c>
      <c r="R2214" s="46">
        <f t="shared" si="295"/>
        <v>44.505224489662851</v>
      </c>
    </row>
    <row r="2215" spans="2:18" ht="12.75" customHeight="1" x14ac:dyDescent="0.25">
      <c r="B2215" s="17" t="s">
        <v>0</v>
      </c>
      <c r="C2215" s="44" t="s">
        <v>170</v>
      </c>
      <c r="D2215" s="22" t="s">
        <v>9</v>
      </c>
      <c r="E2215" s="20">
        <v>2</v>
      </c>
      <c r="F2215" s="17" t="s">
        <v>289</v>
      </c>
      <c r="G2215" s="17" t="s">
        <v>308</v>
      </c>
      <c r="H2215" s="17" t="s">
        <v>309</v>
      </c>
      <c r="I2215" s="17" t="s">
        <v>310</v>
      </c>
      <c r="J2215" s="27" t="s">
        <v>171</v>
      </c>
      <c r="K2215" s="29">
        <v>521</v>
      </c>
      <c r="L2215" s="31">
        <v>52435.4</v>
      </c>
      <c r="M2215" s="31">
        <v>13779.950000032004</v>
      </c>
      <c r="N2215" s="31">
        <v>10902.820000021999</v>
      </c>
      <c r="O2215" s="34">
        <f t="shared" si="292"/>
        <v>0.26279860552283391</v>
      </c>
      <c r="P2215" s="34">
        <f t="shared" si="293"/>
        <v>0.79120896665058127</v>
      </c>
      <c r="Q2215" s="34">
        <f t="shared" si="294"/>
        <v>0.73720139447716604</v>
      </c>
      <c r="R2215" s="46">
        <f t="shared" si="295"/>
        <v>20.926717850330132</v>
      </c>
    </row>
    <row r="2216" spans="2:18" ht="12.75" customHeight="1" x14ac:dyDescent="0.25">
      <c r="B2216" s="17" t="s">
        <v>0</v>
      </c>
      <c r="C2216" s="44" t="s">
        <v>66</v>
      </c>
      <c r="D2216" s="22" t="s">
        <v>9</v>
      </c>
      <c r="E2216" s="20">
        <v>2</v>
      </c>
      <c r="F2216" s="17" t="s">
        <v>289</v>
      </c>
      <c r="G2216" s="17" t="s">
        <v>308</v>
      </c>
      <c r="H2216" s="17" t="s">
        <v>309</v>
      </c>
      <c r="I2216" s="17" t="s">
        <v>310</v>
      </c>
      <c r="J2216" s="27" t="s">
        <v>67</v>
      </c>
      <c r="K2216" s="29">
        <v>304</v>
      </c>
      <c r="L2216" s="31">
        <v>22893.579999967998</v>
      </c>
      <c r="M2216" s="31">
        <v>8132.9799999819998</v>
      </c>
      <c r="N2216" s="31">
        <v>5960.8799999800003</v>
      </c>
      <c r="O2216" s="34">
        <f t="shared" si="292"/>
        <v>0.35525155960725097</v>
      </c>
      <c r="P2216" s="34">
        <f t="shared" si="293"/>
        <v>0.73292692223430933</v>
      </c>
      <c r="Q2216" s="34">
        <f t="shared" si="294"/>
        <v>0.64474844039274903</v>
      </c>
      <c r="R2216" s="46">
        <f t="shared" si="295"/>
        <v>19.608157894671052</v>
      </c>
    </row>
    <row r="2217" spans="2:18" ht="12.75" customHeight="1" x14ac:dyDescent="0.25">
      <c r="B2217" s="17" t="s">
        <v>0</v>
      </c>
      <c r="C2217" s="44" t="s">
        <v>62</v>
      </c>
      <c r="D2217" s="22" t="s">
        <v>9</v>
      </c>
      <c r="E2217" s="20">
        <v>2</v>
      </c>
      <c r="F2217" s="17" t="s">
        <v>289</v>
      </c>
      <c r="G2217" s="17" t="s">
        <v>308</v>
      </c>
      <c r="H2217" s="17" t="s">
        <v>309</v>
      </c>
      <c r="I2217" s="17" t="s">
        <v>310</v>
      </c>
      <c r="J2217" s="27" t="s">
        <v>63</v>
      </c>
      <c r="K2217" s="29">
        <v>168</v>
      </c>
      <c r="L2217" s="31">
        <v>21547.000000020002</v>
      </c>
      <c r="M2217" s="31">
        <v>7345.4699999879995</v>
      </c>
      <c r="N2217" s="31">
        <v>5516.4900000130001</v>
      </c>
      <c r="O2217" s="34">
        <f t="shared" si="292"/>
        <v>0.34090453427303946</v>
      </c>
      <c r="P2217" s="34">
        <f t="shared" si="293"/>
        <v>0.75100572189689874</v>
      </c>
      <c r="Q2217" s="34">
        <f t="shared" si="294"/>
        <v>0.65909546572696054</v>
      </c>
      <c r="R2217" s="46">
        <f t="shared" si="295"/>
        <v>32.836250000077385</v>
      </c>
    </row>
    <row r="2218" spans="2:18" ht="12.75" customHeight="1" x14ac:dyDescent="0.25">
      <c r="B2218" s="17" t="s">
        <v>0</v>
      </c>
      <c r="C2218" s="44" t="s">
        <v>24</v>
      </c>
      <c r="D2218" s="22" t="s">
        <v>9</v>
      </c>
      <c r="E2218" s="20">
        <v>2</v>
      </c>
      <c r="F2218" s="17" t="s">
        <v>289</v>
      </c>
      <c r="G2218" s="17" t="s">
        <v>308</v>
      </c>
      <c r="H2218" s="17" t="s">
        <v>309</v>
      </c>
      <c r="I2218" s="17" t="s">
        <v>310</v>
      </c>
      <c r="J2218" s="27" t="s">
        <v>25</v>
      </c>
      <c r="K2218" s="29">
        <v>153</v>
      </c>
      <c r="L2218" s="31">
        <v>20500.740000000002</v>
      </c>
      <c r="M2218" s="31">
        <v>5938.5799999729998</v>
      </c>
      <c r="N2218" s="31">
        <v>4681.4200000349992</v>
      </c>
      <c r="O2218" s="34">
        <f t="shared" si="292"/>
        <v>0.28967637265645041</v>
      </c>
      <c r="P2218" s="34">
        <f t="shared" si="293"/>
        <v>0.78830629545384312</v>
      </c>
      <c r="Q2218" s="34">
        <f t="shared" si="294"/>
        <v>0.71032362734354959</v>
      </c>
      <c r="R2218" s="46">
        <f t="shared" si="295"/>
        <v>30.597516340098036</v>
      </c>
    </row>
    <row r="2219" spans="2:18" ht="12.75" customHeight="1" x14ac:dyDescent="0.25">
      <c r="B2219" s="17" t="s">
        <v>0</v>
      </c>
      <c r="C2219" s="44" t="s">
        <v>52</v>
      </c>
      <c r="D2219" s="22" t="s">
        <v>2</v>
      </c>
      <c r="E2219" s="20">
        <v>1</v>
      </c>
      <c r="F2219" s="17" t="s">
        <v>289</v>
      </c>
      <c r="G2219" s="17" t="s">
        <v>308</v>
      </c>
      <c r="H2219" s="17" t="s">
        <v>309</v>
      </c>
      <c r="I2219" s="17" t="s">
        <v>310</v>
      </c>
      <c r="J2219" s="27" t="s">
        <v>53</v>
      </c>
      <c r="K2219" s="29">
        <v>103</v>
      </c>
      <c r="L2219" s="31">
        <v>18119.999999979998</v>
      </c>
      <c r="M2219" s="31">
        <v>4901.5900000150004</v>
      </c>
      <c r="N2219" s="31">
        <v>3880.849999994</v>
      </c>
      <c r="O2219" s="34">
        <f t="shared" si="292"/>
        <v>0.27050717439406241</v>
      </c>
      <c r="P2219" s="34">
        <f t="shared" si="293"/>
        <v>0.79175328821507374</v>
      </c>
      <c r="Q2219" s="34">
        <f t="shared" si="294"/>
        <v>0.72949282560593764</v>
      </c>
      <c r="R2219" s="46">
        <f t="shared" si="295"/>
        <v>37.678155339747569</v>
      </c>
    </row>
    <row r="2220" spans="2:18" ht="12.75" customHeight="1" x14ac:dyDescent="0.25">
      <c r="B2220" s="17" t="s">
        <v>0</v>
      </c>
      <c r="C2220" s="44" t="s">
        <v>135</v>
      </c>
      <c r="D2220" s="22" t="s">
        <v>9</v>
      </c>
      <c r="E2220" s="20">
        <v>2</v>
      </c>
      <c r="F2220" s="17" t="s">
        <v>289</v>
      </c>
      <c r="G2220" s="17" t="s">
        <v>308</v>
      </c>
      <c r="H2220" s="17" t="s">
        <v>309</v>
      </c>
      <c r="I2220" s="17" t="s">
        <v>310</v>
      </c>
      <c r="J2220" s="27" t="s">
        <v>136</v>
      </c>
      <c r="K2220" s="29">
        <v>201</v>
      </c>
      <c r="L2220" s="31">
        <v>15688.83999997</v>
      </c>
      <c r="M2220" s="31">
        <v>4986.400000005</v>
      </c>
      <c r="N2220" s="31">
        <v>3858.6000000010004</v>
      </c>
      <c r="O2220" s="34">
        <f t="shared" si="292"/>
        <v>0.31783101873781205</v>
      </c>
      <c r="P2220" s="34">
        <f t="shared" si="293"/>
        <v>0.77382480346485061</v>
      </c>
      <c r="Q2220" s="34">
        <f t="shared" si="294"/>
        <v>0.68216898126218795</v>
      </c>
      <c r="R2220" s="46">
        <f t="shared" si="295"/>
        <v>19.197014925378109</v>
      </c>
    </row>
    <row r="2221" spans="2:18" ht="12.75" customHeight="1" x14ac:dyDescent="0.25">
      <c r="B2221" s="17" t="s">
        <v>0</v>
      </c>
      <c r="C2221" s="44" t="s">
        <v>20</v>
      </c>
      <c r="D2221" s="22" t="s">
        <v>9</v>
      </c>
      <c r="E2221" s="20">
        <v>2</v>
      </c>
      <c r="F2221" s="17" t="s">
        <v>289</v>
      </c>
      <c r="G2221" s="17" t="s">
        <v>308</v>
      </c>
      <c r="H2221" s="17" t="s">
        <v>309</v>
      </c>
      <c r="I2221" s="17" t="s">
        <v>310</v>
      </c>
      <c r="J2221" s="27" t="s">
        <v>21</v>
      </c>
      <c r="K2221" s="29">
        <v>119</v>
      </c>
      <c r="L2221" s="31">
        <v>17011.75</v>
      </c>
      <c r="M2221" s="31">
        <v>3702.1200000000003</v>
      </c>
      <c r="N2221" s="31">
        <v>2954.21</v>
      </c>
      <c r="O2221" s="34">
        <f t="shared" si="292"/>
        <v>0.21762134994929977</v>
      </c>
      <c r="P2221" s="34">
        <f t="shared" si="293"/>
        <v>0.79797791535660645</v>
      </c>
      <c r="Q2221" s="34">
        <f t="shared" si="294"/>
        <v>0.78237865005070018</v>
      </c>
      <c r="R2221" s="46">
        <f t="shared" si="295"/>
        <v>24.825294117647058</v>
      </c>
    </row>
    <row r="2222" spans="2:18" ht="12.75" customHeight="1" x14ac:dyDescent="0.25">
      <c r="B2222" s="17" t="s">
        <v>0</v>
      </c>
      <c r="C2222" s="44" t="s">
        <v>62</v>
      </c>
      <c r="D2222" s="22" t="s">
        <v>2</v>
      </c>
      <c r="E2222" s="20">
        <v>1</v>
      </c>
      <c r="F2222" s="17" t="s">
        <v>289</v>
      </c>
      <c r="G2222" s="17" t="s">
        <v>308</v>
      </c>
      <c r="H2222" s="17" t="s">
        <v>309</v>
      </c>
      <c r="I2222" s="17" t="s">
        <v>310</v>
      </c>
      <c r="J2222" s="27" t="s">
        <v>63</v>
      </c>
      <c r="K2222" s="29">
        <v>391</v>
      </c>
      <c r="L2222" s="31">
        <v>17051.999999993001</v>
      </c>
      <c r="M2222" s="31">
        <v>3462.3099999866999</v>
      </c>
      <c r="N2222" s="31">
        <v>2707.5699999982999</v>
      </c>
      <c r="O2222" s="34">
        <f t="shared" si="292"/>
        <v>0.2030442176863782</v>
      </c>
      <c r="P2222" s="34">
        <f t="shared" si="293"/>
        <v>0.78201258697479448</v>
      </c>
      <c r="Q2222" s="34">
        <f t="shared" si="294"/>
        <v>0.79695578231362174</v>
      </c>
      <c r="R2222" s="46">
        <f t="shared" si="295"/>
        <v>6.9247314577961632</v>
      </c>
    </row>
    <row r="2223" spans="2:18" ht="12.75" customHeight="1" x14ac:dyDescent="0.25">
      <c r="B2223" s="17" t="s">
        <v>0</v>
      </c>
      <c r="C2223" s="44" t="s">
        <v>28</v>
      </c>
      <c r="D2223" s="22" t="s">
        <v>2</v>
      </c>
      <c r="E2223" s="20">
        <v>1</v>
      </c>
      <c r="F2223" s="17" t="s">
        <v>289</v>
      </c>
      <c r="G2223" s="17" t="s">
        <v>308</v>
      </c>
      <c r="H2223" s="17" t="s">
        <v>309</v>
      </c>
      <c r="I2223" s="17" t="s">
        <v>310</v>
      </c>
      <c r="J2223" s="27" t="s">
        <v>29</v>
      </c>
      <c r="K2223" s="29">
        <v>162</v>
      </c>
      <c r="L2223" s="31">
        <v>17230.7</v>
      </c>
      <c r="M2223" s="31">
        <v>1891.5199999812999</v>
      </c>
      <c r="N2223" s="31">
        <v>1491.5000000015002</v>
      </c>
      <c r="O2223" s="34">
        <f t="shared" si="292"/>
        <v>0.1097761553495389</v>
      </c>
      <c r="P2223" s="34">
        <f t="shared" si="293"/>
        <v>0.78851928608539457</v>
      </c>
      <c r="Q2223" s="34">
        <f t="shared" si="294"/>
        <v>0.89022384465046112</v>
      </c>
      <c r="R2223" s="46">
        <f t="shared" si="295"/>
        <v>9.2067901234660514</v>
      </c>
    </row>
    <row r="2224" spans="2:18" ht="12.75" customHeight="1" x14ac:dyDescent="0.25">
      <c r="B2224" s="17" t="s">
        <v>0</v>
      </c>
      <c r="C2224" s="44" t="s">
        <v>42</v>
      </c>
      <c r="D2224" s="22" t="s">
        <v>9</v>
      </c>
      <c r="E2224" s="20">
        <v>2</v>
      </c>
      <c r="F2224" s="17" t="s">
        <v>289</v>
      </c>
      <c r="G2224" s="17" t="s">
        <v>308</v>
      </c>
      <c r="H2224" s="17" t="s">
        <v>309</v>
      </c>
      <c r="I2224" s="17" t="s">
        <v>310</v>
      </c>
      <c r="J2224" s="27" t="s">
        <v>43</v>
      </c>
      <c r="K2224" s="29">
        <v>101</v>
      </c>
      <c r="L2224" s="31">
        <v>5025.0000000480004</v>
      </c>
      <c r="M2224" s="31">
        <v>1835.6399999649998</v>
      </c>
      <c r="N2224" s="31">
        <v>1403.7100000119999</v>
      </c>
      <c r="O2224" s="34">
        <f t="shared" si="292"/>
        <v>0.36530149252685873</v>
      </c>
      <c r="P2224" s="34">
        <f t="shared" si="293"/>
        <v>0.76469787106336995</v>
      </c>
      <c r="Q2224" s="34">
        <f t="shared" si="294"/>
        <v>0.63469850747314127</v>
      </c>
      <c r="R2224" s="46">
        <f t="shared" si="295"/>
        <v>13.898118812</v>
      </c>
    </row>
    <row r="2225" spans="2:18" ht="12.75" customHeight="1" x14ac:dyDescent="0.25">
      <c r="B2225" s="17" t="s">
        <v>0</v>
      </c>
      <c r="C2225" s="44" t="s">
        <v>46</v>
      </c>
      <c r="D2225" s="22" t="s">
        <v>2</v>
      </c>
      <c r="E2225" s="20">
        <v>1</v>
      </c>
      <c r="F2225" s="17" t="s">
        <v>289</v>
      </c>
      <c r="G2225" s="17" t="s">
        <v>308</v>
      </c>
      <c r="H2225" s="17" t="s">
        <v>309</v>
      </c>
      <c r="I2225" s="17" t="s">
        <v>310</v>
      </c>
      <c r="J2225" s="27" t="s">
        <v>47</v>
      </c>
      <c r="K2225" s="29">
        <v>145</v>
      </c>
      <c r="L2225" s="31">
        <v>11435.35999999</v>
      </c>
      <c r="M2225" s="31">
        <v>1595.7299999905999</v>
      </c>
      <c r="N2225" s="31">
        <v>1205.8400000004001</v>
      </c>
      <c r="O2225" s="34">
        <f t="shared" si="292"/>
        <v>0.1395434861685155</v>
      </c>
      <c r="P2225" s="34">
        <f t="shared" si="293"/>
        <v>0.75566668547154181</v>
      </c>
      <c r="Q2225" s="34">
        <f t="shared" si="294"/>
        <v>0.86045651383148447</v>
      </c>
      <c r="R2225" s="46">
        <f t="shared" si="295"/>
        <v>8.3161379310372414</v>
      </c>
    </row>
    <row r="2226" spans="2:18" ht="12.75" customHeight="1" x14ac:dyDescent="0.25">
      <c r="B2226" s="17" t="s">
        <v>0</v>
      </c>
      <c r="C2226" s="44" t="s">
        <v>151</v>
      </c>
      <c r="D2226" s="22" t="s">
        <v>9</v>
      </c>
      <c r="E2226" s="20">
        <v>2</v>
      </c>
      <c r="F2226" s="17" t="s">
        <v>289</v>
      </c>
      <c r="G2226" s="17" t="s">
        <v>308</v>
      </c>
      <c r="H2226" s="17" t="s">
        <v>309</v>
      </c>
      <c r="I2226" s="17" t="s">
        <v>310</v>
      </c>
      <c r="J2226" s="27" t="s">
        <v>152</v>
      </c>
      <c r="K2226" s="29">
        <v>50</v>
      </c>
      <c r="L2226" s="31">
        <v>10000</v>
      </c>
      <c r="M2226" s="31">
        <v>1276.1699999999998</v>
      </c>
      <c r="N2226" s="31">
        <v>1016.7099999999999</v>
      </c>
      <c r="O2226" s="34">
        <f t="shared" si="292"/>
        <v>0.12761699999999998</v>
      </c>
      <c r="P2226" s="34">
        <f t="shared" si="293"/>
        <v>0.79668852895774078</v>
      </c>
      <c r="Q2226" s="34">
        <f t="shared" si="294"/>
        <v>0.87238300000000002</v>
      </c>
      <c r="R2226" s="46">
        <f t="shared" si="295"/>
        <v>20.334199999999999</v>
      </c>
    </row>
    <row r="2227" spans="2:18" ht="12.75" customHeight="1" x14ac:dyDescent="0.25">
      <c r="B2227" s="17" t="s">
        <v>0</v>
      </c>
      <c r="C2227" s="44" t="s">
        <v>12</v>
      </c>
      <c r="D2227" s="22" t="s">
        <v>9</v>
      </c>
      <c r="E2227" s="20">
        <v>2</v>
      </c>
      <c r="F2227" s="17" t="s">
        <v>289</v>
      </c>
      <c r="G2227" s="17" t="s">
        <v>308</v>
      </c>
      <c r="H2227" s="17" t="s">
        <v>309</v>
      </c>
      <c r="I2227" s="17" t="s">
        <v>310</v>
      </c>
      <c r="J2227" s="27" t="s">
        <v>13</v>
      </c>
      <c r="K2227" s="29">
        <v>14</v>
      </c>
      <c r="L2227" s="31">
        <v>829.20000000599998</v>
      </c>
      <c r="M2227" s="31">
        <v>545.07999999599997</v>
      </c>
      <c r="N2227" s="31">
        <v>434.89000000599998</v>
      </c>
      <c r="O2227" s="34">
        <f t="shared" si="292"/>
        <v>0.65735648817179915</v>
      </c>
      <c r="P2227" s="34">
        <f t="shared" si="293"/>
        <v>0.7978461877324271</v>
      </c>
      <c r="Q2227" s="34">
        <f t="shared" si="294"/>
        <v>0.34264351182820085</v>
      </c>
      <c r="R2227" s="46">
        <f t="shared" si="295"/>
        <v>31.063571429</v>
      </c>
    </row>
    <row r="2228" spans="2:18" ht="12.75" customHeight="1" x14ac:dyDescent="0.25">
      <c r="B2228" s="17" t="s">
        <v>0</v>
      </c>
      <c r="C2228" s="44" t="s">
        <v>114</v>
      </c>
      <c r="D2228" s="22" t="s">
        <v>9</v>
      </c>
      <c r="E2228" s="20">
        <v>2</v>
      </c>
      <c r="F2228" s="17" t="s">
        <v>289</v>
      </c>
      <c r="G2228" s="17" t="s">
        <v>308</v>
      </c>
      <c r="H2228" s="17" t="s">
        <v>309</v>
      </c>
      <c r="I2228" s="17" t="s">
        <v>310</v>
      </c>
      <c r="J2228" s="27" t="s">
        <v>118</v>
      </c>
      <c r="K2228" s="29">
        <v>12</v>
      </c>
      <c r="L2228" s="31">
        <v>1080</v>
      </c>
      <c r="M2228" s="31">
        <v>553.47999999599995</v>
      </c>
      <c r="N2228" s="31">
        <v>432.26000000399995</v>
      </c>
      <c r="O2228" s="34">
        <f t="shared" si="292"/>
        <v>0.51248148147777772</v>
      </c>
      <c r="P2228" s="34">
        <f t="shared" si="293"/>
        <v>0.7809857628227288</v>
      </c>
      <c r="Q2228" s="34">
        <f t="shared" si="294"/>
        <v>0.48751851852222228</v>
      </c>
      <c r="R2228" s="46">
        <f t="shared" si="295"/>
        <v>36.021666666999998</v>
      </c>
    </row>
    <row r="2229" spans="2:18" ht="12.75" customHeight="1" x14ac:dyDescent="0.25">
      <c r="B2229" s="17" t="s">
        <v>0</v>
      </c>
      <c r="C2229" s="44" t="s">
        <v>50</v>
      </c>
      <c r="D2229" s="22" t="s">
        <v>2</v>
      </c>
      <c r="E2229" s="20">
        <v>1</v>
      </c>
      <c r="F2229" s="17" t="s">
        <v>289</v>
      </c>
      <c r="G2229" s="17" t="s">
        <v>308</v>
      </c>
      <c r="H2229" s="17" t="s">
        <v>309</v>
      </c>
      <c r="I2229" s="17" t="s">
        <v>310</v>
      </c>
      <c r="J2229" s="27" t="s">
        <v>51</v>
      </c>
      <c r="K2229" s="29">
        <v>65</v>
      </c>
      <c r="L2229" s="31">
        <v>1960</v>
      </c>
      <c r="M2229" s="31">
        <v>490.86000000119998</v>
      </c>
      <c r="N2229" s="31">
        <v>348.62000000180007</v>
      </c>
      <c r="O2229" s="34">
        <f t="shared" si="292"/>
        <v>0.25043877551081634</v>
      </c>
      <c r="P2229" s="34">
        <f t="shared" si="293"/>
        <v>0.71022287414119667</v>
      </c>
      <c r="Q2229" s="34">
        <f t="shared" si="294"/>
        <v>0.74956122448918361</v>
      </c>
      <c r="R2229" s="46">
        <f t="shared" si="295"/>
        <v>5.3633846154123086</v>
      </c>
    </row>
    <row r="2230" spans="2:18" ht="12.75" customHeight="1" x14ac:dyDescent="0.25">
      <c r="B2230" s="17" t="s">
        <v>0</v>
      </c>
      <c r="C2230" s="44" t="s">
        <v>92</v>
      </c>
      <c r="D2230" s="22" t="s">
        <v>2</v>
      </c>
      <c r="E2230" s="20">
        <v>1</v>
      </c>
      <c r="F2230" s="17" t="s">
        <v>289</v>
      </c>
      <c r="G2230" s="17" t="s">
        <v>308</v>
      </c>
      <c r="H2230" s="17" t="s">
        <v>309</v>
      </c>
      <c r="I2230" s="17" t="s">
        <v>310</v>
      </c>
      <c r="J2230" s="27" t="s">
        <v>93</v>
      </c>
      <c r="K2230" s="29">
        <v>47</v>
      </c>
      <c r="L2230" s="31">
        <v>1979</v>
      </c>
      <c r="M2230" s="31">
        <v>411.49999999900001</v>
      </c>
      <c r="N2230" s="31">
        <v>267.56000000100005</v>
      </c>
      <c r="O2230" s="34">
        <f t="shared" si="292"/>
        <v>0.20793329964578069</v>
      </c>
      <c r="P2230" s="34">
        <f t="shared" si="293"/>
        <v>0.65020656136488519</v>
      </c>
      <c r="Q2230" s="34">
        <f t="shared" si="294"/>
        <v>0.79206670035421933</v>
      </c>
      <c r="R2230" s="46">
        <f t="shared" si="295"/>
        <v>5.6927659574680858</v>
      </c>
    </row>
    <row r="2231" spans="2:18" ht="12.75" customHeight="1" thickBot="1" x14ac:dyDescent="0.3">
      <c r="B2231" s="15" t="s">
        <v>0</v>
      </c>
      <c r="C2231" s="50" t="s">
        <v>155</v>
      </c>
      <c r="D2231" s="19" t="s">
        <v>9</v>
      </c>
      <c r="E2231" s="16">
        <v>2</v>
      </c>
      <c r="F2231" s="15" t="s">
        <v>289</v>
      </c>
      <c r="G2231" s="15" t="s">
        <v>308</v>
      </c>
      <c r="H2231" s="15" t="s">
        <v>309</v>
      </c>
      <c r="I2231" s="15" t="s">
        <v>310</v>
      </c>
      <c r="J2231" s="24" t="s">
        <v>156</v>
      </c>
      <c r="K2231" s="26">
        <v>12</v>
      </c>
      <c r="L2231" s="28">
        <v>508.43999999999994</v>
      </c>
      <c r="M2231" s="28">
        <v>313.56</v>
      </c>
      <c r="N2231" s="28">
        <v>249.84</v>
      </c>
      <c r="O2231" s="32">
        <f t="shared" si="292"/>
        <v>0.61670993627566684</v>
      </c>
      <c r="P2231" s="32">
        <f t="shared" si="293"/>
        <v>0.79678530424799077</v>
      </c>
      <c r="Q2231" s="32">
        <f t="shared" si="294"/>
        <v>0.38329006372433316</v>
      </c>
      <c r="R2231" s="49">
        <f t="shared" si="295"/>
        <v>20.82</v>
      </c>
    </row>
    <row r="2232" spans="2:18" ht="17.25" customHeight="1" x14ac:dyDescent="0.25">
      <c r="B2232" s="48"/>
      <c r="C2232" s="58"/>
      <c r="D2232" s="51" t="s">
        <v>366</v>
      </c>
      <c r="E2232" s="52"/>
      <c r="F2232" s="52"/>
      <c r="G2232" s="53"/>
      <c r="H2232" s="53"/>
      <c r="I2232" s="53"/>
      <c r="J2232" s="54"/>
      <c r="K2232" s="55">
        <f>SUM(K2191:K2231)</f>
        <v>319410</v>
      </c>
      <c r="L2232" s="56">
        <f>SUM(L2191:L2231)</f>
        <v>31967823.809991814</v>
      </c>
      <c r="M2232" s="56">
        <f>SUM(M2191:M2231)</f>
        <v>9884204.8599904142</v>
      </c>
      <c r="N2232" s="56">
        <f>SUM(N2191:N2231)</f>
        <v>7572683.9899955969</v>
      </c>
      <c r="O2232" s="57">
        <f>IFERROR(M2232/L2232,0)</f>
        <v>0.30919229656480474</v>
      </c>
      <c r="P2232" s="57">
        <f>IFERROR(N2232/M2232,0)</f>
        <v>0.7661399270110778</v>
      </c>
      <c r="Q2232" s="57">
        <f>IFERROR(1-(M2232/L2232),0)</f>
        <v>0.69080770343519526</v>
      </c>
      <c r="R2232" s="59">
        <f>IFERROR(N2232/K2232,0)</f>
        <v>23.708349738566724</v>
      </c>
    </row>
    <row r="2233" spans="2:18" ht="15.75" thickBot="1" x14ac:dyDescent="0.3">
      <c r="B2233" s="60"/>
      <c r="C2233" s="64"/>
      <c r="D2233" s="62" t="s">
        <v>310</v>
      </c>
      <c r="E2233" s="61"/>
      <c r="F2233" s="61"/>
      <c r="G2233" s="61"/>
      <c r="H2233" s="61"/>
      <c r="I2233" s="61"/>
      <c r="J2233" s="61"/>
      <c r="K2233" s="63"/>
      <c r="L2233" s="63"/>
      <c r="M2233" s="63"/>
      <c r="N2233" s="63"/>
      <c r="O2233" s="63"/>
      <c r="P2233" s="63"/>
      <c r="Q2233" s="63"/>
      <c r="R2233" s="65"/>
    </row>
    <row r="2234" spans="2:18" ht="15.75" thickBot="1" x14ac:dyDescent="0.3"/>
    <row r="2235" spans="2:18" ht="15.75" x14ac:dyDescent="0.25">
      <c r="B2235" s="1"/>
      <c r="C2235" s="7" t="s">
        <v>348</v>
      </c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9"/>
    </row>
    <row r="2236" spans="2:18" ht="18" x14ac:dyDescent="0.25">
      <c r="B2236" s="2"/>
      <c r="C2236" s="8" t="s">
        <v>313</v>
      </c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10"/>
    </row>
    <row r="2237" spans="2:18" ht="15.75" thickBot="1" x14ac:dyDescent="0.3">
      <c r="B2237" s="3"/>
      <c r="C2237" s="11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12"/>
    </row>
    <row r="2238" spans="2:18" ht="17.25" customHeight="1" thickBot="1" x14ac:dyDescent="0.3">
      <c r="B2238" s="14" t="s">
        <v>349</v>
      </c>
      <c r="C2238" s="18" t="s">
        <v>350</v>
      </c>
      <c r="D2238" s="21" t="s">
        <v>351</v>
      </c>
      <c r="E2238" s="23" t="s">
        <v>352</v>
      </c>
      <c r="F2238" s="21" t="s">
        <v>353</v>
      </c>
      <c r="G2238" s="23" t="s">
        <v>354</v>
      </c>
      <c r="H2238" s="23" t="s">
        <v>355</v>
      </c>
      <c r="I2238" s="23" t="s">
        <v>356</v>
      </c>
      <c r="J2238" s="25" t="s">
        <v>357</v>
      </c>
      <c r="K2238" s="25" t="s">
        <v>358</v>
      </c>
      <c r="L2238" s="30" t="s">
        <v>359</v>
      </c>
      <c r="M2238" s="30" t="s">
        <v>360</v>
      </c>
      <c r="N2238" s="30" t="s">
        <v>361</v>
      </c>
      <c r="O2238" s="33" t="s">
        <v>362</v>
      </c>
      <c r="P2238" s="33" t="s">
        <v>363</v>
      </c>
      <c r="Q2238" s="33" t="s">
        <v>364</v>
      </c>
      <c r="R2238" s="35" t="s">
        <v>365</v>
      </c>
    </row>
    <row r="2239" spans="2:18" ht="12.75" customHeight="1" x14ac:dyDescent="0.25">
      <c r="B2239" s="17" t="s">
        <v>0</v>
      </c>
      <c r="C2239" s="43" t="s">
        <v>34</v>
      </c>
      <c r="D2239" s="37" t="s">
        <v>9</v>
      </c>
      <c r="E2239" s="36">
        <v>2</v>
      </c>
      <c r="F2239" s="38" t="s">
        <v>289</v>
      </c>
      <c r="G2239" s="38" t="s">
        <v>311</v>
      </c>
      <c r="H2239" s="38" t="s">
        <v>312</v>
      </c>
      <c r="I2239" s="38" t="s">
        <v>313</v>
      </c>
      <c r="J2239" s="39" t="s">
        <v>35</v>
      </c>
      <c r="K2239" s="40">
        <v>147997</v>
      </c>
      <c r="L2239" s="41">
        <v>22796878.599996705</v>
      </c>
      <c r="M2239" s="41">
        <v>8025416.0700026974</v>
      </c>
      <c r="N2239" s="41">
        <v>5695614.9799985029</v>
      </c>
      <c r="O2239" s="42">
        <f t="shared" ref="O2239:O2270" si="296">IFERROR(M2239/L2239,0)</f>
        <v>0.35204012842371574</v>
      </c>
      <c r="P2239" s="42">
        <f t="shared" ref="P2239:P2270" si="297">IFERROR(N2239/M2239,0)</f>
        <v>0.70969715841743131</v>
      </c>
      <c r="Q2239" s="42">
        <f t="shared" ref="Q2239:Q2270" si="298">IFERROR(1-(M2239/L2239),0)</f>
        <v>0.64795987157628421</v>
      </c>
      <c r="R2239" s="45">
        <f t="shared" ref="R2239:R2270" si="299">IFERROR(N2239/K2239,0)</f>
        <v>38.484665094552611</v>
      </c>
    </row>
    <row r="2240" spans="2:18" ht="12.75" customHeight="1" x14ac:dyDescent="0.25">
      <c r="B2240" s="17" t="s">
        <v>0</v>
      </c>
      <c r="C2240" s="44" t="s">
        <v>166</v>
      </c>
      <c r="D2240" s="22" t="s">
        <v>9</v>
      </c>
      <c r="E2240" s="20">
        <v>2</v>
      </c>
      <c r="F2240" s="17" t="s">
        <v>289</v>
      </c>
      <c r="G2240" s="17" t="s">
        <v>311</v>
      </c>
      <c r="H2240" s="17" t="s">
        <v>312</v>
      </c>
      <c r="I2240" s="17" t="s">
        <v>313</v>
      </c>
      <c r="J2240" s="27" t="s">
        <v>167</v>
      </c>
      <c r="K2240" s="29">
        <v>73297</v>
      </c>
      <c r="L2240" s="31">
        <v>8477624.6699922066</v>
      </c>
      <c r="M2240" s="31">
        <v>4427379.710003661</v>
      </c>
      <c r="N2240" s="31">
        <v>3165447.3699994786</v>
      </c>
      <c r="O2240" s="34">
        <f t="shared" si="296"/>
        <v>0.52224294921607217</v>
      </c>
      <c r="P2240" s="34">
        <f t="shared" si="297"/>
        <v>0.71497083542375028</v>
      </c>
      <c r="Q2240" s="34">
        <f t="shared" si="298"/>
        <v>0.47775705078392783</v>
      </c>
      <c r="R2240" s="46">
        <f t="shared" si="299"/>
        <v>43.186588400609558</v>
      </c>
    </row>
    <row r="2241" spans="2:18" ht="12.75" customHeight="1" x14ac:dyDescent="0.25">
      <c r="B2241" s="17" t="s">
        <v>0</v>
      </c>
      <c r="C2241" s="44" t="s">
        <v>112</v>
      </c>
      <c r="D2241" s="22" t="s">
        <v>9</v>
      </c>
      <c r="E2241" s="20">
        <v>2</v>
      </c>
      <c r="F2241" s="17" t="s">
        <v>289</v>
      </c>
      <c r="G2241" s="17" t="s">
        <v>311</v>
      </c>
      <c r="H2241" s="17" t="s">
        <v>312</v>
      </c>
      <c r="I2241" s="17" t="s">
        <v>313</v>
      </c>
      <c r="J2241" s="27" t="s">
        <v>113</v>
      </c>
      <c r="K2241" s="29">
        <v>138966</v>
      </c>
      <c r="L2241" s="31">
        <v>12958367.82999659</v>
      </c>
      <c r="M2241" s="31">
        <v>4048489.8599992748</v>
      </c>
      <c r="N2241" s="31">
        <v>2889856.7500018217</v>
      </c>
      <c r="O2241" s="34">
        <f t="shared" si="296"/>
        <v>0.31242282308329417</v>
      </c>
      <c r="P2241" s="34">
        <f t="shared" si="297"/>
        <v>0.71381103817371039</v>
      </c>
      <c r="Q2241" s="34">
        <f t="shared" si="298"/>
        <v>0.68757717691670583</v>
      </c>
      <c r="R2241" s="46">
        <f t="shared" si="299"/>
        <v>20.795422981173967</v>
      </c>
    </row>
    <row r="2242" spans="2:18" ht="12.75" customHeight="1" x14ac:dyDescent="0.25">
      <c r="B2242" s="17" t="s">
        <v>0</v>
      </c>
      <c r="C2242" s="44" t="s">
        <v>170</v>
      </c>
      <c r="D2242" s="22" t="s">
        <v>9</v>
      </c>
      <c r="E2242" s="20">
        <v>2</v>
      </c>
      <c r="F2242" s="17" t="s">
        <v>289</v>
      </c>
      <c r="G2242" s="17" t="s">
        <v>311</v>
      </c>
      <c r="H2242" s="17" t="s">
        <v>312</v>
      </c>
      <c r="I2242" s="17" t="s">
        <v>313</v>
      </c>
      <c r="J2242" s="27" t="s">
        <v>171</v>
      </c>
      <c r="K2242" s="29">
        <v>212046</v>
      </c>
      <c r="L2242" s="31">
        <v>6101961.2399981515</v>
      </c>
      <c r="M2242" s="31">
        <v>2149211.7900024671</v>
      </c>
      <c r="N2242" s="31">
        <v>1608614.1499996474</v>
      </c>
      <c r="O2242" s="34">
        <f t="shared" si="296"/>
        <v>0.35221655881955721</v>
      </c>
      <c r="P2242" s="34">
        <f t="shared" si="297"/>
        <v>0.74846702287902522</v>
      </c>
      <c r="Q2242" s="34">
        <f t="shared" si="298"/>
        <v>0.64778344118044284</v>
      </c>
      <c r="R2242" s="46">
        <f t="shared" si="299"/>
        <v>7.586156541503482</v>
      </c>
    </row>
    <row r="2243" spans="2:18" ht="12.75" customHeight="1" x14ac:dyDescent="0.25">
      <c r="B2243" s="17" t="s">
        <v>0</v>
      </c>
      <c r="C2243" s="44" t="s">
        <v>92</v>
      </c>
      <c r="D2243" s="22" t="s">
        <v>9</v>
      </c>
      <c r="E2243" s="20">
        <v>2</v>
      </c>
      <c r="F2243" s="17" t="s">
        <v>289</v>
      </c>
      <c r="G2243" s="17" t="s">
        <v>311</v>
      </c>
      <c r="H2243" s="17" t="s">
        <v>312</v>
      </c>
      <c r="I2243" s="17" t="s">
        <v>313</v>
      </c>
      <c r="J2243" s="27" t="s">
        <v>93</v>
      </c>
      <c r="K2243" s="29">
        <v>471883</v>
      </c>
      <c r="L2243" s="31">
        <v>5720420.5100010689</v>
      </c>
      <c r="M2243" s="31">
        <v>1905347.9999987052</v>
      </c>
      <c r="N2243" s="31">
        <v>1474832.0600009954</v>
      </c>
      <c r="O2243" s="34">
        <f t="shared" si="296"/>
        <v>0.33307831070592908</v>
      </c>
      <c r="P2243" s="34">
        <f t="shared" si="297"/>
        <v>0.77404865672937317</v>
      </c>
      <c r="Q2243" s="34">
        <f t="shared" si="298"/>
        <v>0.66692168929407092</v>
      </c>
      <c r="R2243" s="46">
        <f t="shared" si="299"/>
        <v>3.1254189279990916</v>
      </c>
    </row>
    <row r="2244" spans="2:18" ht="12.75" customHeight="1" x14ac:dyDescent="0.25">
      <c r="B2244" s="17" t="s">
        <v>0</v>
      </c>
      <c r="C2244" s="44" t="s">
        <v>114</v>
      </c>
      <c r="D2244" s="22" t="s">
        <v>9</v>
      </c>
      <c r="E2244" s="20">
        <v>2</v>
      </c>
      <c r="F2244" s="17" t="s">
        <v>289</v>
      </c>
      <c r="G2244" s="17" t="s">
        <v>311</v>
      </c>
      <c r="H2244" s="17" t="s">
        <v>312</v>
      </c>
      <c r="I2244" s="17" t="s">
        <v>313</v>
      </c>
      <c r="J2244" s="27" t="s">
        <v>118</v>
      </c>
      <c r="K2244" s="29">
        <v>45574</v>
      </c>
      <c r="L2244" s="31">
        <v>4841924.4700049162</v>
      </c>
      <c r="M2244" s="31">
        <v>1712040.7300001874</v>
      </c>
      <c r="N2244" s="31">
        <v>1294267.7799997388</v>
      </c>
      <c r="O2244" s="34">
        <f t="shared" si="296"/>
        <v>0.35358683114659345</v>
      </c>
      <c r="P2244" s="34">
        <f t="shared" si="297"/>
        <v>0.75597954962181135</v>
      </c>
      <c r="Q2244" s="34">
        <f t="shared" si="298"/>
        <v>0.64641316885340649</v>
      </c>
      <c r="R2244" s="46">
        <f t="shared" si="299"/>
        <v>28.399257910206231</v>
      </c>
    </row>
    <row r="2245" spans="2:18" ht="12.75" customHeight="1" x14ac:dyDescent="0.25">
      <c r="B2245" s="17" t="s">
        <v>0</v>
      </c>
      <c r="C2245" s="44" t="s">
        <v>180</v>
      </c>
      <c r="D2245" s="22" t="s">
        <v>2</v>
      </c>
      <c r="E2245" s="20">
        <v>1</v>
      </c>
      <c r="F2245" s="17" t="s">
        <v>289</v>
      </c>
      <c r="G2245" s="17" t="s">
        <v>311</v>
      </c>
      <c r="H2245" s="17" t="s">
        <v>312</v>
      </c>
      <c r="I2245" s="17" t="s">
        <v>313</v>
      </c>
      <c r="J2245" s="27" t="s">
        <v>181</v>
      </c>
      <c r="K2245" s="29">
        <v>26975</v>
      </c>
      <c r="L2245" s="31">
        <v>5278632.7300019246</v>
      </c>
      <c r="M2245" s="31">
        <v>976254.2299995675</v>
      </c>
      <c r="N2245" s="31">
        <v>768327.22999932803</v>
      </c>
      <c r="O2245" s="34">
        <f t="shared" si="296"/>
        <v>0.18494452634502789</v>
      </c>
      <c r="P2245" s="34">
        <f t="shared" si="297"/>
        <v>0.78701551951244131</v>
      </c>
      <c r="Q2245" s="34">
        <f t="shared" si="298"/>
        <v>0.81505547365497211</v>
      </c>
      <c r="R2245" s="46">
        <f t="shared" si="299"/>
        <v>28.482937164015869</v>
      </c>
    </row>
    <row r="2246" spans="2:18" ht="12.75" customHeight="1" x14ac:dyDescent="0.25">
      <c r="B2246" s="17" t="s">
        <v>0</v>
      </c>
      <c r="C2246" s="44" t="s">
        <v>288</v>
      </c>
      <c r="D2246" s="22" t="s">
        <v>9</v>
      </c>
      <c r="E2246" s="20">
        <v>2</v>
      </c>
      <c r="F2246" s="17" t="s">
        <v>289</v>
      </c>
      <c r="G2246" s="17" t="s">
        <v>311</v>
      </c>
      <c r="H2246" s="17" t="s">
        <v>312</v>
      </c>
      <c r="I2246" s="17" t="s">
        <v>313</v>
      </c>
      <c r="J2246" s="27" t="s">
        <v>293</v>
      </c>
      <c r="K2246" s="29">
        <v>13640</v>
      </c>
      <c r="L2246" s="31">
        <v>1851793.4199898753</v>
      </c>
      <c r="M2246" s="31">
        <v>400337.01000093017</v>
      </c>
      <c r="N2246" s="31">
        <v>370901.82000102411</v>
      </c>
      <c r="O2246" s="34">
        <f t="shared" si="296"/>
        <v>0.21618880685034458</v>
      </c>
      <c r="P2246" s="34">
        <f t="shared" si="297"/>
        <v>0.92647397251671115</v>
      </c>
      <c r="Q2246" s="34">
        <f t="shared" si="298"/>
        <v>0.78381119314965542</v>
      </c>
      <c r="R2246" s="46">
        <f t="shared" si="299"/>
        <v>27.192215542597076</v>
      </c>
    </row>
    <row r="2247" spans="2:18" ht="12.75" customHeight="1" x14ac:dyDescent="0.25">
      <c r="B2247" s="17" t="s">
        <v>0</v>
      </c>
      <c r="C2247" s="44" t="s">
        <v>30</v>
      </c>
      <c r="D2247" s="22" t="s">
        <v>9</v>
      </c>
      <c r="E2247" s="20">
        <v>2</v>
      </c>
      <c r="F2247" s="17" t="s">
        <v>289</v>
      </c>
      <c r="G2247" s="17" t="s">
        <v>311</v>
      </c>
      <c r="H2247" s="17" t="s">
        <v>312</v>
      </c>
      <c r="I2247" s="17" t="s">
        <v>313</v>
      </c>
      <c r="J2247" s="27" t="s">
        <v>31</v>
      </c>
      <c r="K2247" s="29">
        <v>39768</v>
      </c>
      <c r="L2247" s="31">
        <v>1336702.8999984071</v>
      </c>
      <c r="M2247" s="31">
        <v>478187.02000074578</v>
      </c>
      <c r="N2247" s="31">
        <v>362444.61000069202</v>
      </c>
      <c r="O2247" s="34">
        <f t="shared" si="296"/>
        <v>0.35773620301213949</v>
      </c>
      <c r="P2247" s="34">
        <f t="shared" si="297"/>
        <v>0.75795576801755671</v>
      </c>
      <c r="Q2247" s="34">
        <f t="shared" si="298"/>
        <v>0.64226379698786051</v>
      </c>
      <c r="R2247" s="46">
        <f t="shared" si="299"/>
        <v>9.1139763126305571</v>
      </c>
    </row>
    <row r="2248" spans="2:18" ht="12.75" customHeight="1" x14ac:dyDescent="0.25">
      <c r="B2248" s="17" t="s">
        <v>0</v>
      </c>
      <c r="C2248" s="44" t="s">
        <v>46</v>
      </c>
      <c r="D2248" s="22" t="s">
        <v>9</v>
      </c>
      <c r="E2248" s="20">
        <v>2</v>
      </c>
      <c r="F2248" s="17" t="s">
        <v>289</v>
      </c>
      <c r="G2248" s="17" t="s">
        <v>311</v>
      </c>
      <c r="H2248" s="17" t="s">
        <v>312</v>
      </c>
      <c r="I2248" s="17" t="s">
        <v>313</v>
      </c>
      <c r="J2248" s="27" t="s">
        <v>47</v>
      </c>
      <c r="K2248" s="29">
        <v>33056</v>
      </c>
      <c r="L2248" s="31">
        <v>1587170.9900016182</v>
      </c>
      <c r="M2248" s="31">
        <v>443749.0999993959</v>
      </c>
      <c r="N2248" s="31">
        <v>338186.02000141976</v>
      </c>
      <c r="O2248" s="34">
        <f t="shared" si="296"/>
        <v>0.27958493621342179</v>
      </c>
      <c r="P2248" s="34">
        <f t="shared" si="297"/>
        <v>0.76211088653899273</v>
      </c>
      <c r="Q2248" s="34">
        <f t="shared" si="298"/>
        <v>0.72041506378657827</v>
      </c>
      <c r="R2248" s="46">
        <f t="shared" si="299"/>
        <v>10.230700024244305</v>
      </c>
    </row>
    <row r="2249" spans="2:18" ht="12.75" customHeight="1" x14ac:dyDescent="0.25">
      <c r="B2249" s="17" t="s">
        <v>0</v>
      </c>
      <c r="C2249" s="44" t="s">
        <v>54</v>
      </c>
      <c r="D2249" s="22" t="s">
        <v>9</v>
      </c>
      <c r="E2249" s="20">
        <v>2</v>
      </c>
      <c r="F2249" s="17" t="s">
        <v>289</v>
      </c>
      <c r="G2249" s="17" t="s">
        <v>311</v>
      </c>
      <c r="H2249" s="17" t="s">
        <v>312</v>
      </c>
      <c r="I2249" s="17" t="s">
        <v>313</v>
      </c>
      <c r="J2249" s="27" t="s">
        <v>55</v>
      </c>
      <c r="K2249" s="29">
        <v>47137</v>
      </c>
      <c r="L2249" s="31">
        <v>1057100.439998785</v>
      </c>
      <c r="M2249" s="31">
        <v>307049.77000053308</v>
      </c>
      <c r="N2249" s="31">
        <v>227532.77000061586</v>
      </c>
      <c r="O2249" s="34">
        <f t="shared" si="296"/>
        <v>0.2904641398133237</v>
      </c>
      <c r="P2249" s="34">
        <f t="shared" si="297"/>
        <v>0.74102895436209193</v>
      </c>
      <c r="Q2249" s="34">
        <f t="shared" si="298"/>
        <v>0.70953586018667636</v>
      </c>
      <c r="R2249" s="46">
        <f t="shared" si="299"/>
        <v>4.8270524216775748</v>
      </c>
    </row>
    <row r="2250" spans="2:18" ht="12.75" customHeight="1" x14ac:dyDescent="0.25">
      <c r="B2250" s="17" t="s">
        <v>0</v>
      </c>
      <c r="C2250" s="44" t="s">
        <v>66</v>
      </c>
      <c r="D2250" s="22" t="s">
        <v>9</v>
      </c>
      <c r="E2250" s="20">
        <v>2</v>
      </c>
      <c r="F2250" s="17" t="s">
        <v>289</v>
      </c>
      <c r="G2250" s="17" t="s">
        <v>311</v>
      </c>
      <c r="H2250" s="17" t="s">
        <v>312</v>
      </c>
      <c r="I2250" s="17" t="s">
        <v>313</v>
      </c>
      <c r="J2250" s="27" t="s">
        <v>67</v>
      </c>
      <c r="K2250" s="29">
        <v>2785</v>
      </c>
      <c r="L2250" s="31">
        <v>678593.10999638808</v>
      </c>
      <c r="M2250" s="31">
        <v>226231.43999990608</v>
      </c>
      <c r="N2250" s="31">
        <v>179391.42000006398</v>
      </c>
      <c r="O2250" s="34">
        <f t="shared" si="296"/>
        <v>0.3333830489394598</v>
      </c>
      <c r="P2250" s="34">
        <f t="shared" si="297"/>
        <v>0.79295530276489623</v>
      </c>
      <c r="Q2250" s="34">
        <f t="shared" si="298"/>
        <v>0.6666169510605402</v>
      </c>
      <c r="R2250" s="46">
        <f t="shared" si="299"/>
        <v>64.41343626573213</v>
      </c>
    </row>
    <row r="2251" spans="2:18" ht="12.75" customHeight="1" x14ac:dyDescent="0.25">
      <c r="B2251" s="17" t="s">
        <v>0</v>
      </c>
      <c r="C2251" s="44" t="s">
        <v>48</v>
      </c>
      <c r="D2251" s="22" t="s">
        <v>9</v>
      </c>
      <c r="E2251" s="20">
        <v>2</v>
      </c>
      <c r="F2251" s="17" t="s">
        <v>289</v>
      </c>
      <c r="G2251" s="17" t="s">
        <v>311</v>
      </c>
      <c r="H2251" s="17" t="s">
        <v>312</v>
      </c>
      <c r="I2251" s="17" t="s">
        <v>313</v>
      </c>
      <c r="J2251" s="27" t="s">
        <v>49</v>
      </c>
      <c r="K2251" s="29">
        <v>5759</v>
      </c>
      <c r="L2251" s="31">
        <v>684707.8399998399</v>
      </c>
      <c r="M2251" s="31">
        <v>228330.94999984323</v>
      </c>
      <c r="N2251" s="31">
        <v>175663.80000004396</v>
      </c>
      <c r="O2251" s="34">
        <f t="shared" si="296"/>
        <v>0.33347208350921848</v>
      </c>
      <c r="P2251" s="34">
        <f t="shared" si="297"/>
        <v>0.76933854127162604</v>
      </c>
      <c r="Q2251" s="34">
        <f t="shared" si="298"/>
        <v>0.66652791649078158</v>
      </c>
      <c r="R2251" s="46">
        <f t="shared" si="299"/>
        <v>30.502483069985061</v>
      </c>
    </row>
    <row r="2252" spans="2:18" ht="12.75" customHeight="1" x14ac:dyDescent="0.25">
      <c r="B2252" s="17" t="s">
        <v>0</v>
      </c>
      <c r="C2252" s="44" t="s">
        <v>50</v>
      </c>
      <c r="D2252" s="22" t="s">
        <v>9</v>
      </c>
      <c r="E2252" s="20">
        <v>2</v>
      </c>
      <c r="F2252" s="17" t="s">
        <v>289</v>
      </c>
      <c r="G2252" s="17" t="s">
        <v>311</v>
      </c>
      <c r="H2252" s="17" t="s">
        <v>312</v>
      </c>
      <c r="I2252" s="17" t="s">
        <v>313</v>
      </c>
      <c r="J2252" s="27" t="s">
        <v>51</v>
      </c>
      <c r="K2252" s="29">
        <v>27412</v>
      </c>
      <c r="L2252" s="31">
        <v>955577.66999989492</v>
      </c>
      <c r="M2252" s="31">
        <v>189660.69999979905</v>
      </c>
      <c r="N2252" s="31">
        <v>142950.72999987751</v>
      </c>
      <c r="O2252" s="34">
        <f t="shared" si="296"/>
        <v>0.19847753453659073</v>
      </c>
      <c r="P2252" s="34">
        <f t="shared" si="297"/>
        <v>0.75371824526656794</v>
      </c>
      <c r="Q2252" s="34">
        <f t="shared" si="298"/>
        <v>0.80152246546340922</v>
      </c>
      <c r="R2252" s="46">
        <f t="shared" si="299"/>
        <v>5.2148960309308885</v>
      </c>
    </row>
    <row r="2253" spans="2:18" ht="12.75" customHeight="1" x14ac:dyDescent="0.25">
      <c r="B2253" s="17" t="s">
        <v>0</v>
      </c>
      <c r="C2253" s="44" t="s">
        <v>56</v>
      </c>
      <c r="D2253" s="22" t="s">
        <v>9</v>
      </c>
      <c r="E2253" s="20">
        <v>2</v>
      </c>
      <c r="F2253" s="17" t="s">
        <v>289</v>
      </c>
      <c r="G2253" s="17" t="s">
        <v>311</v>
      </c>
      <c r="H2253" s="17" t="s">
        <v>312</v>
      </c>
      <c r="I2253" s="17" t="s">
        <v>313</v>
      </c>
      <c r="J2253" s="27" t="s">
        <v>57</v>
      </c>
      <c r="K2253" s="29">
        <v>12863</v>
      </c>
      <c r="L2253" s="31">
        <v>2121778.290000767</v>
      </c>
      <c r="M2253" s="31">
        <v>180848.45000025348</v>
      </c>
      <c r="N2253" s="31">
        <v>135757.89000011631</v>
      </c>
      <c r="O2253" s="34">
        <f t="shared" si="296"/>
        <v>8.5234376679473006E-2</v>
      </c>
      <c r="P2253" s="34">
        <f t="shared" si="297"/>
        <v>0.75067212353728241</v>
      </c>
      <c r="Q2253" s="34">
        <f t="shared" si="298"/>
        <v>0.91476562332052702</v>
      </c>
      <c r="R2253" s="46">
        <f t="shared" si="299"/>
        <v>10.554139003351963</v>
      </c>
    </row>
    <row r="2254" spans="2:18" ht="12.75" customHeight="1" x14ac:dyDescent="0.25">
      <c r="B2254" s="17" t="s">
        <v>0</v>
      </c>
      <c r="C2254" s="44" t="s">
        <v>82</v>
      </c>
      <c r="D2254" s="22" t="s">
        <v>9</v>
      </c>
      <c r="E2254" s="20">
        <v>2</v>
      </c>
      <c r="F2254" s="17" t="s">
        <v>289</v>
      </c>
      <c r="G2254" s="17" t="s">
        <v>311</v>
      </c>
      <c r="H2254" s="17" t="s">
        <v>312</v>
      </c>
      <c r="I2254" s="17" t="s">
        <v>313</v>
      </c>
      <c r="J2254" s="27" t="s">
        <v>83</v>
      </c>
      <c r="K2254" s="29">
        <v>26567</v>
      </c>
      <c r="L2254" s="31">
        <v>527168.25999937835</v>
      </c>
      <c r="M2254" s="31">
        <v>135435.57000049978</v>
      </c>
      <c r="N2254" s="31">
        <v>105040.17000006732</v>
      </c>
      <c r="O2254" s="34">
        <f t="shared" si="296"/>
        <v>0.256911465042792</v>
      </c>
      <c r="P2254" s="34">
        <f t="shared" si="297"/>
        <v>0.7755729901655799</v>
      </c>
      <c r="Q2254" s="34">
        <f t="shared" si="298"/>
        <v>0.74308853495720806</v>
      </c>
      <c r="R2254" s="46">
        <f t="shared" si="299"/>
        <v>3.953783641362115</v>
      </c>
    </row>
    <row r="2255" spans="2:18" ht="12.75" customHeight="1" x14ac:dyDescent="0.25">
      <c r="B2255" s="17" t="s">
        <v>0</v>
      </c>
      <c r="C2255" s="44" t="s">
        <v>48</v>
      </c>
      <c r="D2255" s="22" t="s">
        <v>2</v>
      </c>
      <c r="E2255" s="20">
        <v>1</v>
      </c>
      <c r="F2255" s="17" t="s">
        <v>289</v>
      </c>
      <c r="G2255" s="17" t="s">
        <v>311</v>
      </c>
      <c r="H2255" s="17" t="s">
        <v>312</v>
      </c>
      <c r="I2255" s="17" t="s">
        <v>313</v>
      </c>
      <c r="J2255" s="27" t="s">
        <v>49</v>
      </c>
      <c r="K2255" s="29">
        <v>1781</v>
      </c>
      <c r="L2255" s="31">
        <v>1034371.3</v>
      </c>
      <c r="M2255" s="31">
        <v>106235.4799999659</v>
      </c>
      <c r="N2255" s="31">
        <v>82123.690000062183</v>
      </c>
      <c r="O2255" s="34">
        <f t="shared" si="296"/>
        <v>0.10270536315147752</v>
      </c>
      <c r="P2255" s="34">
        <f t="shared" si="297"/>
        <v>0.77303448904347716</v>
      </c>
      <c r="Q2255" s="34">
        <f t="shared" si="298"/>
        <v>0.89729463684852251</v>
      </c>
      <c r="R2255" s="46">
        <f t="shared" si="299"/>
        <v>46.110999438552604</v>
      </c>
    </row>
    <row r="2256" spans="2:18" ht="12.75" customHeight="1" x14ac:dyDescent="0.25">
      <c r="B2256" s="17" t="s">
        <v>0</v>
      </c>
      <c r="C2256" s="44" t="s">
        <v>112</v>
      </c>
      <c r="D2256" s="22" t="s">
        <v>2</v>
      </c>
      <c r="E2256" s="20">
        <v>1</v>
      </c>
      <c r="F2256" s="17" t="s">
        <v>289</v>
      </c>
      <c r="G2256" s="17" t="s">
        <v>311</v>
      </c>
      <c r="H2256" s="17" t="s">
        <v>312</v>
      </c>
      <c r="I2256" s="17" t="s">
        <v>313</v>
      </c>
      <c r="J2256" s="27" t="s">
        <v>113</v>
      </c>
      <c r="K2256" s="29">
        <v>4152</v>
      </c>
      <c r="L2256" s="31">
        <v>391717.75999958301</v>
      </c>
      <c r="M2256" s="31">
        <v>98107.72000009683</v>
      </c>
      <c r="N2256" s="31">
        <v>65495.420000113692</v>
      </c>
      <c r="O2256" s="34">
        <f t="shared" si="296"/>
        <v>0.25045512360787847</v>
      </c>
      <c r="P2256" s="34">
        <f t="shared" si="297"/>
        <v>0.66758681172133094</v>
      </c>
      <c r="Q2256" s="34">
        <f t="shared" si="298"/>
        <v>0.74954487639212153</v>
      </c>
      <c r="R2256" s="46">
        <f t="shared" si="299"/>
        <v>15.774426782300985</v>
      </c>
    </row>
    <row r="2257" spans="2:18" ht="12.75" customHeight="1" x14ac:dyDescent="0.25">
      <c r="B2257" s="17" t="s">
        <v>0</v>
      </c>
      <c r="C2257" s="44" t="s">
        <v>114</v>
      </c>
      <c r="D2257" s="22" t="s">
        <v>2</v>
      </c>
      <c r="E2257" s="20">
        <v>1</v>
      </c>
      <c r="F2257" s="17" t="s">
        <v>289</v>
      </c>
      <c r="G2257" s="17" t="s">
        <v>311</v>
      </c>
      <c r="H2257" s="17" t="s">
        <v>312</v>
      </c>
      <c r="I2257" s="17" t="s">
        <v>313</v>
      </c>
      <c r="J2257" s="27" t="s">
        <v>118</v>
      </c>
      <c r="K2257" s="29">
        <v>2613</v>
      </c>
      <c r="L2257" s="31">
        <v>331542.799999982</v>
      </c>
      <c r="M2257" s="31">
        <v>87497.850000126011</v>
      </c>
      <c r="N2257" s="31">
        <v>65309.639999755003</v>
      </c>
      <c r="O2257" s="34">
        <f t="shared" si="296"/>
        <v>0.26391117526946978</v>
      </c>
      <c r="P2257" s="34">
        <f t="shared" si="297"/>
        <v>0.74641422617425401</v>
      </c>
      <c r="Q2257" s="34">
        <f t="shared" si="298"/>
        <v>0.73608882473053017</v>
      </c>
      <c r="R2257" s="46">
        <f t="shared" si="299"/>
        <v>24.994121699102564</v>
      </c>
    </row>
    <row r="2258" spans="2:18" ht="12.75" customHeight="1" x14ac:dyDescent="0.25">
      <c r="B2258" s="17" t="s">
        <v>0</v>
      </c>
      <c r="C2258" s="44" t="s">
        <v>131</v>
      </c>
      <c r="D2258" s="22" t="s">
        <v>9</v>
      </c>
      <c r="E2258" s="20">
        <v>2</v>
      </c>
      <c r="F2258" s="17" t="s">
        <v>289</v>
      </c>
      <c r="G2258" s="17" t="s">
        <v>311</v>
      </c>
      <c r="H2258" s="17" t="s">
        <v>312</v>
      </c>
      <c r="I2258" s="17" t="s">
        <v>313</v>
      </c>
      <c r="J2258" s="27" t="s">
        <v>132</v>
      </c>
      <c r="K2258" s="29">
        <v>1022</v>
      </c>
      <c r="L2258" s="31">
        <v>242951.44999974998</v>
      </c>
      <c r="M2258" s="31">
        <v>73610.960000128995</v>
      </c>
      <c r="N2258" s="31">
        <v>57987.540000086316</v>
      </c>
      <c r="O2258" s="34">
        <f t="shared" si="296"/>
        <v>0.3029862962341025</v>
      </c>
      <c r="P2258" s="34">
        <f t="shared" si="297"/>
        <v>0.78775687750825008</v>
      </c>
      <c r="Q2258" s="34">
        <f t="shared" si="298"/>
        <v>0.69701370376589744</v>
      </c>
      <c r="R2258" s="46">
        <f t="shared" si="299"/>
        <v>56.73927592963436</v>
      </c>
    </row>
    <row r="2259" spans="2:18" ht="12.75" customHeight="1" x14ac:dyDescent="0.25">
      <c r="B2259" s="17" t="s">
        <v>0</v>
      </c>
      <c r="C2259" s="44" t="s">
        <v>44</v>
      </c>
      <c r="D2259" s="22" t="s">
        <v>9</v>
      </c>
      <c r="E2259" s="20">
        <v>2</v>
      </c>
      <c r="F2259" s="17" t="s">
        <v>289</v>
      </c>
      <c r="G2259" s="17" t="s">
        <v>311</v>
      </c>
      <c r="H2259" s="17" t="s">
        <v>312</v>
      </c>
      <c r="I2259" s="17" t="s">
        <v>313</v>
      </c>
      <c r="J2259" s="27" t="s">
        <v>45</v>
      </c>
      <c r="K2259" s="29">
        <v>17783</v>
      </c>
      <c r="L2259" s="31">
        <v>239221.31999993901</v>
      </c>
      <c r="M2259" s="31">
        <v>62040.720000060202</v>
      </c>
      <c r="N2259" s="31">
        <v>47168.950000275203</v>
      </c>
      <c r="O2259" s="34">
        <f t="shared" si="296"/>
        <v>0.25934444304577881</v>
      </c>
      <c r="P2259" s="34">
        <f t="shared" si="297"/>
        <v>0.76029017716476266</v>
      </c>
      <c r="Q2259" s="34">
        <f t="shared" si="298"/>
        <v>0.74065555695422125</v>
      </c>
      <c r="R2259" s="46">
        <f t="shared" si="299"/>
        <v>2.6524742731977282</v>
      </c>
    </row>
    <row r="2260" spans="2:18" ht="12.75" customHeight="1" x14ac:dyDescent="0.25">
      <c r="B2260" s="17" t="s">
        <v>0</v>
      </c>
      <c r="C2260" s="44" t="s">
        <v>34</v>
      </c>
      <c r="D2260" s="22" t="s">
        <v>2</v>
      </c>
      <c r="E2260" s="20">
        <v>1</v>
      </c>
      <c r="F2260" s="17" t="s">
        <v>289</v>
      </c>
      <c r="G2260" s="17" t="s">
        <v>311</v>
      </c>
      <c r="H2260" s="17" t="s">
        <v>312</v>
      </c>
      <c r="I2260" s="17" t="s">
        <v>313</v>
      </c>
      <c r="J2260" s="27" t="s">
        <v>35</v>
      </c>
      <c r="K2260" s="29">
        <v>2498</v>
      </c>
      <c r="L2260" s="31">
        <v>282110.000000083</v>
      </c>
      <c r="M2260" s="31">
        <v>64291.770000176009</v>
      </c>
      <c r="N2260" s="31">
        <v>45462.760000058996</v>
      </c>
      <c r="O2260" s="34">
        <f t="shared" si="296"/>
        <v>0.22789610435701355</v>
      </c>
      <c r="P2260" s="34">
        <f t="shared" si="297"/>
        <v>0.70713187706505098</v>
      </c>
      <c r="Q2260" s="34">
        <f t="shared" si="298"/>
        <v>0.77210389564298643</v>
      </c>
      <c r="R2260" s="46">
        <f t="shared" si="299"/>
        <v>18.199663731008403</v>
      </c>
    </row>
    <row r="2261" spans="2:18" ht="12.75" customHeight="1" x14ac:dyDescent="0.25">
      <c r="B2261" s="17" t="s">
        <v>0</v>
      </c>
      <c r="C2261" s="44" t="s">
        <v>166</v>
      </c>
      <c r="D2261" s="22" t="s">
        <v>2</v>
      </c>
      <c r="E2261" s="20">
        <v>1</v>
      </c>
      <c r="F2261" s="17" t="s">
        <v>289</v>
      </c>
      <c r="G2261" s="17" t="s">
        <v>311</v>
      </c>
      <c r="H2261" s="17" t="s">
        <v>312</v>
      </c>
      <c r="I2261" s="17" t="s">
        <v>313</v>
      </c>
      <c r="J2261" s="27" t="s">
        <v>167</v>
      </c>
      <c r="K2261" s="29">
        <v>930</v>
      </c>
      <c r="L2261" s="31">
        <v>115936.25000028001</v>
      </c>
      <c r="M2261" s="31">
        <v>58448.480001442993</v>
      </c>
      <c r="N2261" s="31">
        <v>43833.410000051001</v>
      </c>
      <c r="O2261" s="34">
        <f t="shared" si="296"/>
        <v>0.50414326840226265</v>
      </c>
      <c r="P2261" s="34">
        <f t="shared" si="297"/>
        <v>0.74994952818223548</v>
      </c>
      <c r="Q2261" s="34">
        <f t="shared" si="298"/>
        <v>0.49585673159773735</v>
      </c>
      <c r="R2261" s="46">
        <f t="shared" si="299"/>
        <v>47.13269892478602</v>
      </c>
    </row>
    <row r="2262" spans="2:18" ht="12.75" customHeight="1" x14ac:dyDescent="0.25">
      <c r="B2262" s="17" t="s">
        <v>0</v>
      </c>
      <c r="C2262" s="44" t="s">
        <v>180</v>
      </c>
      <c r="D2262" s="22" t="s">
        <v>9</v>
      </c>
      <c r="E2262" s="20">
        <v>2</v>
      </c>
      <c r="F2262" s="17" t="s">
        <v>289</v>
      </c>
      <c r="G2262" s="17" t="s">
        <v>311</v>
      </c>
      <c r="H2262" s="17" t="s">
        <v>312</v>
      </c>
      <c r="I2262" s="17" t="s">
        <v>313</v>
      </c>
      <c r="J2262" s="27" t="s">
        <v>181</v>
      </c>
      <c r="K2262" s="29">
        <v>704</v>
      </c>
      <c r="L2262" s="31">
        <v>195459.40000009999</v>
      </c>
      <c r="M2262" s="31">
        <v>47103.740000078004</v>
      </c>
      <c r="N2262" s="31">
        <v>36970.269999967</v>
      </c>
      <c r="O2262" s="34">
        <f t="shared" si="296"/>
        <v>0.2409898935536173</v>
      </c>
      <c r="P2262" s="34">
        <f t="shared" si="297"/>
        <v>0.78486909956419126</v>
      </c>
      <c r="Q2262" s="34">
        <f t="shared" si="298"/>
        <v>0.75901010644638267</v>
      </c>
      <c r="R2262" s="46">
        <f t="shared" si="299"/>
        <v>52.514588068134941</v>
      </c>
    </row>
    <row r="2263" spans="2:18" ht="12.75" customHeight="1" x14ac:dyDescent="0.25">
      <c r="B2263" s="17" t="s">
        <v>0</v>
      </c>
      <c r="C2263" s="44" t="s">
        <v>110</v>
      </c>
      <c r="D2263" s="22" t="s">
        <v>9</v>
      </c>
      <c r="E2263" s="20">
        <v>2</v>
      </c>
      <c r="F2263" s="17" t="s">
        <v>289</v>
      </c>
      <c r="G2263" s="17" t="s">
        <v>311</v>
      </c>
      <c r="H2263" s="17" t="s">
        <v>312</v>
      </c>
      <c r="I2263" s="17" t="s">
        <v>313</v>
      </c>
      <c r="J2263" s="27" t="s">
        <v>111</v>
      </c>
      <c r="K2263" s="29">
        <v>2302</v>
      </c>
      <c r="L2263" s="31">
        <v>400718.89000024495</v>
      </c>
      <c r="M2263" s="31">
        <v>47013.229999772804</v>
      </c>
      <c r="N2263" s="31">
        <v>36856.219999818502</v>
      </c>
      <c r="O2263" s="34">
        <f t="shared" si="296"/>
        <v>0.11732222057149357</v>
      </c>
      <c r="P2263" s="34">
        <f t="shared" si="297"/>
        <v>0.78395421884428307</v>
      </c>
      <c r="Q2263" s="34">
        <f t="shared" si="298"/>
        <v>0.88267777942850645</v>
      </c>
      <c r="R2263" s="46">
        <f t="shared" si="299"/>
        <v>16.010521285759559</v>
      </c>
    </row>
    <row r="2264" spans="2:18" ht="12.75" customHeight="1" x14ac:dyDescent="0.25">
      <c r="B2264" s="17" t="s">
        <v>0</v>
      </c>
      <c r="C2264" s="44" t="s">
        <v>94</v>
      </c>
      <c r="D2264" s="22" t="s">
        <v>9</v>
      </c>
      <c r="E2264" s="20">
        <v>2</v>
      </c>
      <c r="F2264" s="17" t="s">
        <v>289</v>
      </c>
      <c r="G2264" s="17" t="s">
        <v>311</v>
      </c>
      <c r="H2264" s="17" t="s">
        <v>312</v>
      </c>
      <c r="I2264" s="17" t="s">
        <v>313</v>
      </c>
      <c r="J2264" s="27" t="s">
        <v>95</v>
      </c>
      <c r="K2264" s="29">
        <v>10148</v>
      </c>
      <c r="L2264" s="31">
        <v>322568.25999664003</v>
      </c>
      <c r="M2264" s="31">
        <v>34294.479999969401</v>
      </c>
      <c r="N2264" s="31">
        <v>26548.220000001402</v>
      </c>
      <c r="O2264" s="34">
        <f t="shared" si="296"/>
        <v>0.1063169699347562</v>
      </c>
      <c r="P2264" s="34">
        <f t="shared" si="297"/>
        <v>0.77412516533346154</v>
      </c>
      <c r="Q2264" s="34">
        <f t="shared" si="298"/>
        <v>0.89368303006524386</v>
      </c>
      <c r="R2264" s="46">
        <f t="shared" si="299"/>
        <v>2.6161036657470835</v>
      </c>
    </row>
    <row r="2265" spans="2:18" ht="12.75" customHeight="1" x14ac:dyDescent="0.25">
      <c r="B2265" s="17" t="s">
        <v>0</v>
      </c>
      <c r="C2265" s="44" t="s">
        <v>96</v>
      </c>
      <c r="D2265" s="22" t="s">
        <v>9</v>
      </c>
      <c r="E2265" s="20">
        <v>2</v>
      </c>
      <c r="F2265" s="17" t="s">
        <v>289</v>
      </c>
      <c r="G2265" s="17" t="s">
        <v>311</v>
      </c>
      <c r="H2265" s="17" t="s">
        <v>312</v>
      </c>
      <c r="I2265" s="17" t="s">
        <v>313</v>
      </c>
      <c r="J2265" s="27" t="s">
        <v>97</v>
      </c>
      <c r="K2265" s="29">
        <v>6894</v>
      </c>
      <c r="L2265" s="31">
        <v>63234</v>
      </c>
      <c r="M2265" s="31">
        <v>23224.719999966299</v>
      </c>
      <c r="N2265" s="31">
        <v>18300.029999976301</v>
      </c>
      <c r="O2265" s="34">
        <f t="shared" si="296"/>
        <v>0.36728215833200967</v>
      </c>
      <c r="P2265" s="34">
        <f t="shared" si="297"/>
        <v>0.7879548171087899</v>
      </c>
      <c r="Q2265" s="34">
        <f t="shared" si="298"/>
        <v>0.63271784166799039</v>
      </c>
      <c r="R2265" s="46">
        <f t="shared" si="299"/>
        <v>2.6544865100052655</v>
      </c>
    </row>
    <row r="2266" spans="2:18" ht="12.75" customHeight="1" x14ac:dyDescent="0.25">
      <c r="B2266" s="17" t="s">
        <v>0</v>
      </c>
      <c r="C2266" s="44" t="s">
        <v>182</v>
      </c>
      <c r="D2266" s="22" t="s">
        <v>9</v>
      </c>
      <c r="E2266" s="20">
        <v>2</v>
      </c>
      <c r="F2266" s="17" t="s">
        <v>289</v>
      </c>
      <c r="G2266" s="17" t="s">
        <v>311</v>
      </c>
      <c r="H2266" s="17" t="s">
        <v>312</v>
      </c>
      <c r="I2266" s="17" t="s">
        <v>313</v>
      </c>
      <c r="J2266" s="27" t="s">
        <v>183</v>
      </c>
      <c r="K2266" s="29">
        <v>82</v>
      </c>
      <c r="L2266" s="31">
        <v>57151</v>
      </c>
      <c r="M2266" s="31">
        <v>19582.819999949999</v>
      </c>
      <c r="N2266" s="31">
        <v>15317.74999982</v>
      </c>
      <c r="O2266" s="34">
        <f t="shared" si="296"/>
        <v>0.34265052229969728</v>
      </c>
      <c r="P2266" s="34">
        <f t="shared" si="297"/>
        <v>0.78220348243302606</v>
      </c>
      <c r="Q2266" s="34">
        <f t="shared" si="298"/>
        <v>0.65734947770030272</v>
      </c>
      <c r="R2266" s="46">
        <f t="shared" si="299"/>
        <v>186.80182926609757</v>
      </c>
    </row>
    <row r="2267" spans="2:18" ht="12.75" customHeight="1" x14ac:dyDescent="0.25">
      <c r="B2267" s="17" t="s">
        <v>0</v>
      </c>
      <c r="C2267" s="44" t="s">
        <v>62</v>
      </c>
      <c r="D2267" s="22" t="s">
        <v>9</v>
      </c>
      <c r="E2267" s="20">
        <v>2</v>
      </c>
      <c r="F2267" s="17" t="s">
        <v>289</v>
      </c>
      <c r="G2267" s="17" t="s">
        <v>311</v>
      </c>
      <c r="H2267" s="17" t="s">
        <v>312</v>
      </c>
      <c r="I2267" s="17" t="s">
        <v>313</v>
      </c>
      <c r="J2267" s="27" t="s">
        <v>63</v>
      </c>
      <c r="K2267" s="29">
        <v>3941</v>
      </c>
      <c r="L2267" s="31">
        <v>78820</v>
      </c>
      <c r="M2267" s="31">
        <v>17742.219999921799</v>
      </c>
      <c r="N2267" s="31">
        <v>14122.1899998637</v>
      </c>
      <c r="O2267" s="34">
        <f t="shared" si="296"/>
        <v>0.22509794468309818</v>
      </c>
      <c r="P2267" s="34">
        <f t="shared" si="297"/>
        <v>0.7959652174263393</v>
      </c>
      <c r="Q2267" s="34">
        <f t="shared" si="298"/>
        <v>0.77490205531690182</v>
      </c>
      <c r="R2267" s="46">
        <f t="shared" si="299"/>
        <v>3.5834026896380866</v>
      </c>
    </row>
    <row r="2268" spans="2:18" ht="12.75" customHeight="1" x14ac:dyDescent="0.25">
      <c r="B2268" s="17" t="s">
        <v>0</v>
      </c>
      <c r="C2268" s="44" t="s">
        <v>219</v>
      </c>
      <c r="D2268" s="22" t="s">
        <v>9</v>
      </c>
      <c r="E2268" s="20">
        <v>2</v>
      </c>
      <c r="F2268" s="17" t="s">
        <v>289</v>
      </c>
      <c r="G2268" s="17" t="s">
        <v>311</v>
      </c>
      <c r="H2268" s="17" t="s">
        <v>312</v>
      </c>
      <c r="I2268" s="17" t="s">
        <v>313</v>
      </c>
      <c r="J2268" s="27" t="s">
        <v>220</v>
      </c>
      <c r="K2268" s="29">
        <v>241</v>
      </c>
      <c r="L2268" s="31">
        <v>72300</v>
      </c>
      <c r="M2268" s="31">
        <v>16332.569999985</v>
      </c>
      <c r="N2268" s="31">
        <v>12744.709999924</v>
      </c>
      <c r="O2268" s="34">
        <f t="shared" si="296"/>
        <v>0.22589999999979254</v>
      </c>
      <c r="P2268" s="34">
        <f t="shared" si="297"/>
        <v>0.7803248355853184</v>
      </c>
      <c r="Q2268" s="34">
        <f t="shared" si="298"/>
        <v>0.7741000000002074</v>
      </c>
      <c r="R2268" s="46">
        <f t="shared" si="299"/>
        <v>52.882614107568465</v>
      </c>
    </row>
    <row r="2269" spans="2:18" ht="12.75" customHeight="1" x14ac:dyDescent="0.25">
      <c r="B2269" s="17" t="s">
        <v>0</v>
      </c>
      <c r="C2269" s="44" t="s">
        <v>135</v>
      </c>
      <c r="D2269" s="22" t="s">
        <v>9</v>
      </c>
      <c r="E2269" s="20">
        <v>2</v>
      </c>
      <c r="F2269" s="17" t="s">
        <v>289</v>
      </c>
      <c r="G2269" s="17" t="s">
        <v>311</v>
      </c>
      <c r="H2269" s="17" t="s">
        <v>312</v>
      </c>
      <c r="I2269" s="17" t="s">
        <v>313</v>
      </c>
      <c r="J2269" s="27" t="s">
        <v>136</v>
      </c>
      <c r="K2269" s="29">
        <v>555</v>
      </c>
      <c r="L2269" s="31">
        <v>54918.999999920001</v>
      </c>
      <c r="M2269" s="31">
        <v>16720.439999939001</v>
      </c>
      <c r="N2269" s="31">
        <v>12495.950000073999</v>
      </c>
      <c r="O2269" s="34">
        <f t="shared" si="296"/>
        <v>0.30445638121530538</v>
      </c>
      <c r="P2269" s="34">
        <f t="shared" si="297"/>
        <v>0.74734576363538197</v>
      </c>
      <c r="Q2269" s="34">
        <f t="shared" si="298"/>
        <v>0.69554361878469462</v>
      </c>
      <c r="R2269" s="46">
        <f t="shared" si="299"/>
        <v>22.515225225358556</v>
      </c>
    </row>
    <row r="2270" spans="2:18" ht="12.75" customHeight="1" x14ac:dyDescent="0.25">
      <c r="B2270" s="17" t="s">
        <v>0</v>
      </c>
      <c r="C2270" s="44" t="s">
        <v>127</v>
      </c>
      <c r="D2270" s="22" t="s">
        <v>9</v>
      </c>
      <c r="E2270" s="20">
        <v>2</v>
      </c>
      <c r="F2270" s="17" t="s">
        <v>289</v>
      </c>
      <c r="G2270" s="17" t="s">
        <v>311</v>
      </c>
      <c r="H2270" s="17" t="s">
        <v>312</v>
      </c>
      <c r="I2270" s="17" t="s">
        <v>313</v>
      </c>
      <c r="J2270" s="27" t="s">
        <v>128</v>
      </c>
      <c r="K2270" s="29">
        <v>215</v>
      </c>
      <c r="L2270" s="31">
        <v>53750</v>
      </c>
      <c r="M2270" s="31">
        <v>16028.089999966</v>
      </c>
      <c r="N2270" s="31">
        <v>12329.229999993</v>
      </c>
      <c r="O2270" s="34">
        <f t="shared" si="296"/>
        <v>0.29819702325518138</v>
      </c>
      <c r="P2270" s="34">
        <f t="shared" si="297"/>
        <v>0.76922640189936253</v>
      </c>
      <c r="Q2270" s="34">
        <f t="shared" si="298"/>
        <v>0.70180297674481862</v>
      </c>
      <c r="R2270" s="46">
        <f t="shared" si="299"/>
        <v>57.345255813920929</v>
      </c>
    </row>
    <row r="2271" spans="2:18" ht="12.75" customHeight="1" x14ac:dyDescent="0.25">
      <c r="B2271" s="17" t="s">
        <v>0</v>
      </c>
      <c r="C2271" s="44" t="s">
        <v>66</v>
      </c>
      <c r="D2271" s="22" t="s">
        <v>2</v>
      </c>
      <c r="E2271" s="20">
        <v>1</v>
      </c>
      <c r="F2271" s="17" t="s">
        <v>289</v>
      </c>
      <c r="G2271" s="17" t="s">
        <v>311</v>
      </c>
      <c r="H2271" s="17" t="s">
        <v>312</v>
      </c>
      <c r="I2271" s="17" t="s">
        <v>313</v>
      </c>
      <c r="J2271" s="27" t="s">
        <v>67</v>
      </c>
      <c r="K2271" s="29">
        <v>537</v>
      </c>
      <c r="L2271" s="31">
        <v>93288.999999239997</v>
      </c>
      <c r="M2271" s="31">
        <v>14441.620000057999</v>
      </c>
      <c r="N2271" s="31">
        <v>11105.290000021001</v>
      </c>
      <c r="O2271" s="34">
        <f t="shared" ref="O2271:O2297" si="300">IFERROR(M2271/L2271,0)</f>
        <v>0.15480517531730056</v>
      </c>
      <c r="P2271" s="34">
        <f t="shared" ref="P2271:P2297" si="301">IFERROR(N2271/M2271,0)</f>
        <v>0.76897813403042048</v>
      </c>
      <c r="Q2271" s="34">
        <f t="shared" ref="Q2271:Q2297" si="302">IFERROR(1-(M2271/L2271),0)</f>
        <v>0.84519482468269946</v>
      </c>
      <c r="R2271" s="46">
        <f t="shared" ref="R2271:R2297" si="303">IFERROR(N2271/K2271,0)</f>
        <v>20.68024208570019</v>
      </c>
    </row>
    <row r="2272" spans="2:18" ht="12.75" customHeight="1" x14ac:dyDescent="0.25">
      <c r="B2272" s="17" t="s">
        <v>0</v>
      </c>
      <c r="C2272" s="44" t="s">
        <v>7</v>
      </c>
      <c r="D2272" s="22" t="s">
        <v>9</v>
      </c>
      <c r="E2272" s="20">
        <v>2</v>
      </c>
      <c r="F2272" s="17" t="s">
        <v>289</v>
      </c>
      <c r="G2272" s="17" t="s">
        <v>311</v>
      </c>
      <c r="H2272" s="17" t="s">
        <v>312</v>
      </c>
      <c r="I2272" s="17" t="s">
        <v>313</v>
      </c>
      <c r="J2272" s="27" t="s">
        <v>8</v>
      </c>
      <c r="K2272" s="29">
        <v>192</v>
      </c>
      <c r="L2272" s="31">
        <v>47642.000000640001</v>
      </c>
      <c r="M2272" s="31">
        <v>13749.459999936</v>
      </c>
      <c r="N2272" s="31">
        <v>10754.319999936</v>
      </c>
      <c r="O2272" s="34">
        <f t="shared" si="300"/>
        <v>0.28859955500926276</v>
      </c>
      <c r="P2272" s="34">
        <f t="shared" si="301"/>
        <v>0.78216308131272494</v>
      </c>
      <c r="Q2272" s="34">
        <f t="shared" si="302"/>
        <v>0.71140044499073718</v>
      </c>
      <c r="R2272" s="46">
        <f t="shared" si="303"/>
        <v>56.012083333</v>
      </c>
    </row>
    <row r="2273" spans="2:18" ht="12.75" customHeight="1" x14ac:dyDescent="0.25">
      <c r="B2273" s="17" t="s">
        <v>0</v>
      </c>
      <c r="C2273" s="44" t="s">
        <v>58</v>
      </c>
      <c r="D2273" s="22" t="s">
        <v>9</v>
      </c>
      <c r="E2273" s="20">
        <v>2</v>
      </c>
      <c r="F2273" s="17" t="s">
        <v>289</v>
      </c>
      <c r="G2273" s="17" t="s">
        <v>311</v>
      </c>
      <c r="H2273" s="17" t="s">
        <v>312</v>
      </c>
      <c r="I2273" s="17" t="s">
        <v>313</v>
      </c>
      <c r="J2273" s="27" t="s">
        <v>59</v>
      </c>
      <c r="K2273" s="29">
        <v>161</v>
      </c>
      <c r="L2273" s="31">
        <v>33968.310000190002</v>
      </c>
      <c r="M2273" s="31">
        <v>13385.660000051999</v>
      </c>
      <c r="N2273" s="31">
        <v>10664.709999993</v>
      </c>
      <c r="O2273" s="34">
        <f t="shared" si="300"/>
        <v>0.39406317240914035</v>
      </c>
      <c r="P2273" s="34">
        <f t="shared" si="301"/>
        <v>0.79672649685944286</v>
      </c>
      <c r="Q2273" s="34">
        <f t="shared" si="302"/>
        <v>0.60593682759085965</v>
      </c>
      <c r="R2273" s="46">
        <f t="shared" si="303"/>
        <v>66.240434782565217</v>
      </c>
    </row>
    <row r="2274" spans="2:18" ht="12.75" customHeight="1" x14ac:dyDescent="0.25">
      <c r="B2274" s="17" t="s">
        <v>0</v>
      </c>
      <c r="C2274" s="44" t="s">
        <v>30</v>
      </c>
      <c r="D2274" s="22" t="s">
        <v>2</v>
      </c>
      <c r="E2274" s="20">
        <v>1</v>
      </c>
      <c r="F2274" s="17" t="s">
        <v>289</v>
      </c>
      <c r="G2274" s="17" t="s">
        <v>311</v>
      </c>
      <c r="H2274" s="17" t="s">
        <v>312</v>
      </c>
      <c r="I2274" s="17" t="s">
        <v>313</v>
      </c>
      <c r="J2274" s="27" t="s">
        <v>31</v>
      </c>
      <c r="K2274" s="29">
        <v>1237</v>
      </c>
      <c r="L2274" s="31">
        <v>49478.000000320004</v>
      </c>
      <c r="M2274" s="31">
        <v>14098.410000001697</v>
      </c>
      <c r="N2274" s="31">
        <v>10306.7300000504</v>
      </c>
      <c r="O2274" s="34">
        <f t="shared" si="300"/>
        <v>0.28494300497009811</v>
      </c>
      <c r="P2274" s="34">
        <f t="shared" si="301"/>
        <v>0.73105619712075043</v>
      </c>
      <c r="Q2274" s="34">
        <f t="shared" si="302"/>
        <v>0.71505699502990194</v>
      </c>
      <c r="R2274" s="46">
        <f t="shared" si="303"/>
        <v>8.3320371867828626</v>
      </c>
    </row>
    <row r="2275" spans="2:18" ht="12.75" customHeight="1" x14ac:dyDescent="0.25">
      <c r="B2275" s="17" t="s">
        <v>0</v>
      </c>
      <c r="C2275" s="44" t="s">
        <v>137</v>
      </c>
      <c r="D2275" s="22" t="s">
        <v>9</v>
      </c>
      <c r="E2275" s="20">
        <v>2</v>
      </c>
      <c r="F2275" s="17" t="s">
        <v>289</v>
      </c>
      <c r="G2275" s="17" t="s">
        <v>311</v>
      </c>
      <c r="H2275" s="17" t="s">
        <v>312</v>
      </c>
      <c r="I2275" s="17" t="s">
        <v>313</v>
      </c>
      <c r="J2275" s="27" t="s">
        <v>138</v>
      </c>
      <c r="K2275" s="29">
        <v>221</v>
      </c>
      <c r="L2275" s="31">
        <v>40743.860000329994</v>
      </c>
      <c r="M2275" s="31">
        <v>12998.220000017998</v>
      </c>
      <c r="N2275" s="31">
        <v>9331.2599999919985</v>
      </c>
      <c r="O2275" s="34">
        <f t="shared" si="300"/>
        <v>0.31902279263458894</v>
      </c>
      <c r="P2275" s="34">
        <f t="shared" si="301"/>
        <v>0.71788752613658469</v>
      </c>
      <c r="Q2275" s="34">
        <f t="shared" si="302"/>
        <v>0.68097720736541101</v>
      </c>
      <c r="R2275" s="46">
        <f t="shared" si="303"/>
        <v>42.222895927565602</v>
      </c>
    </row>
    <row r="2276" spans="2:18" ht="12.75" customHeight="1" x14ac:dyDescent="0.25">
      <c r="B2276" s="17" t="s">
        <v>0</v>
      </c>
      <c r="C2276" s="44" t="s">
        <v>170</v>
      </c>
      <c r="D2276" s="22" t="s">
        <v>2</v>
      </c>
      <c r="E2276" s="20">
        <v>1</v>
      </c>
      <c r="F2276" s="17" t="s">
        <v>289</v>
      </c>
      <c r="G2276" s="17" t="s">
        <v>311</v>
      </c>
      <c r="H2276" s="17" t="s">
        <v>312</v>
      </c>
      <c r="I2276" s="17" t="s">
        <v>313</v>
      </c>
      <c r="J2276" s="27" t="s">
        <v>171</v>
      </c>
      <c r="K2276" s="29">
        <v>537</v>
      </c>
      <c r="L2276" s="31">
        <v>41198.199999999997</v>
      </c>
      <c r="M2276" s="31">
        <v>11666.029999977</v>
      </c>
      <c r="N2276" s="31">
        <v>8917.3799999877992</v>
      </c>
      <c r="O2276" s="34">
        <f t="shared" si="300"/>
        <v>0.28316843939727948</v>
      </c>
      <c r="P2276" s="34">
        <f t="shared" si="301"/>
        <v>0.76438857091961709</v>
      </c>
      <c r="Q2276" s="34">
        <f t="shared" si="302"/>
        <v>0.71683156060272046</v>
      </c>
      <c r="R2276" s="46">
        <f t="shared" si="303"/>
        <v>16.605921787686778</v>
      </c>
    </row>
    <row r="2277" spans="2:18" ht="12.75" customHeight="1" x14ac:dyDescent="0.25">
      <c r="B2277" s="17" t="s">
        <v>0</v>
      </c>
      <c r="C2277" s="44" t="s">
        <v>16</v>
      </c>
      <c r="D2277" s="22" t="s">
        <v>9</v>
      </c>
      <c r="E2277" s="20">
        <v>2</v>
      </c>
      <c r="F2277" s="17" t="s">
        <v>289</v>
      </c>
      <c r="G2277" s="17" t="s">
        <v>311</v>
      </c>
      <c r="H2277" s="17" t="s">
        <v>312</v>
      </c>
      <c r="I2277" s="17" t="s">
        <v>313</v>
      </c>
      <c r="J2277" s="27" t="s">
        <v>17</v>
      </c>
      <c r="K2277" s="29">
        <v>130</v>
      </c>
      <c r="L2277" s="31">
        <v>29180.77000026</v>
      </c>
      <c r="M2277" s="31">
        <v>10158.05999996</v>
      </c>
      <c r="N2277" s="31">
        <v>8092.9800000350006</v>
      </c>
      <c r="O2277" s="34">
        <f t="shared" si="300"/>
        <v>0.34810801770719185</v>
      </c>
      <c r="P2277" s="34">
        <f t="shared" si="301"/>
        <v>0.79670527640778543</v>
      </c>
      <c r="Q2277" s="34">
        <f t="shared" si="302"/>
        <v>0.6518919822928082</v>
      </c>
      <c r="R2277" s="46">
        <f t="shared" si="303"/>
        <v>62.253692307961543</v>
      </c>
    </row>
    <row r="2278" spans="2:18" ht="12.75" customHeight="1" x14ac:dyDescent="0.25">
      <c r="B2278" s="17" t="s">
        <v>0</v>
      </c>
      <c r="C2278" s="44" t="s">
        <v>92</v>
      </c>
      <c r="D2278" s="22" t="s">
        <v>2</v>
      </c>
      <c r="E2278" s="20">
        <v>1</v>
      </c>
      <c r="F2278" s="17" t="s">
        <v>289</v>
      </c>
      <c r="G2278" s="17" t="s">
        <v>311</v>
      </c>
      <c r="H2278" s="17" t="s">
        <v>312</v>
      </c>
      <c r="I2278" s="17" t="s">
        <v>313</v>
      </c>
      <c r="J2278" s="27" t="s">
        <v>93</v>
      </c>
      <c r="K2278" s="29">
        <v>2133</v>
      </c>
      <c r="L2278" s="31">
        <v>27351</v>
      </c>
      <c r="M2278" s="31">
        <v>9137.0499999824005</v>
      </c>
      <c r="N2278" s="31">
        <v>6995.0300000420002</v>
      </c>
      <c r="O2278" s="34">
        <f t="shared" si="300"/>
        <v>0.33406639610918798</v>
      </c>
      <c r="P2278" s="34">
        <f t="shared" si="301"/>
        <v>0.76556766134096599</v>
      </c>
      <c r="Q2278" s="34">
        <f t="shared" si="302"/>
        <v>0.66593360389081202</v>
      </c>
      <c r="R2278" s="46">
        <f t="shared" si="303"/>
        <v>3.2794327238827945</v>
      </c>
    </row>
    <row r="2279" spans="2:18" ht="12.75" customHeight="1" x14ac:dyDescent="0.25">
      <c r="B2279" s="17" t="s">
        <v>0</v>
      </c>
      <c r="C2279" s="44" t="s">
        <v>46</v>
      </c>
      <c r="D2279" s="22" t="s">
        <v>2</v>
      </c>
      <c r="E2279" s="20">
        <v>1</v>
      </c>
      <c r="F2279" s="17" t="s">
        <v>289</v>
      </c>
      <c r="G2279" s="17" t="s">
        <v>311</v>
      </c>
      <c r="H2279" s="17" t="s">
        <v>312</v>
      </c>
      <c r="I2279" s="17" t="s">
        <v>313</v>
      </c>
      <c r="J2279" s="27" t="s">
        <v>47</v>
      </c>
      <c r="K2279" s="29">
        <v>323</v>
      </c>
      <c r="L2279" s="31">
        <v>39816.899999940004</v>
      </c>
      <c r="M2279" s="31">
        <v>8449.0199999800006</v>
      </c>
      <c r="N2279" s="31">
        <v>6467.3200000216002</v>
      </c>
      <c r="O2279" s="34">
        <f t="shared" si="300"/>
        <v>0.21219683099369191</v>
      </c>
      <c r="P2279" s="34">
        <f t="shared" si="301"/>
        <v>0.76545208793882713</v>
      </c>
      <c r="Q2279" s="34">
        <f t="shared" si="302"/>
        <v>0.78780316900630809</v>
      </c>
      <c r="R2279" s="46">
        <f t="shared" si="303"/>
        <v>20.022662538766564</v>
      </c>
    </row>
    <row r="2280" spans="2:18" ht="12.75" customHeight="1" x14ac:dyDescent="0.25">
      <c r="B2280" s="17" t="s">
        <v>0</v>
      </c>
      <c r="C2280" s="44" t="s">
        <v>70</v>
      </c>
      <c r="D2280" s="22" t="s">
        <v>9</v>
      </c>
      <c r="E2280" s="20">
        <v>2</v>
      </c>
      <c r="F2280" s="17" t="s">
        <v>289</v>
      </c>
      <c r="G2280" s="17" t="s">
        <v>311</v>
      </c>
      <c r="H2280" s="17" t="s">
        <v>312</v>
      </c>
      <c r="I2280" s="17" t="s">
        <v>313</v>
      </c>
      <c r="J2280" s="27" t="s">
        <v>71</v>
      </c>
      <c r="K2280" s="29">
        <v>1332</v>
      </c>
      <c r="L2280" s="31">
        <v>29527.720000028999</v>
      </c>
      <c r="M2280" s="31">
        <v>9136.4799999730003</v>
      </c>
      <c r="N2280" s="31">
        <v>6462.449999986</v>
      </c>
      <c r="O2280" s="34">
        <f t="shared" si="300"/>
        <v>0.30942043611779124</v>
      </c>
      <c r="P2280" s="34">
        <f t="shared" si="301"/>
        <v>0.70732382711997377</v>
      </c>
      <c r="Q2280" s="34">
        <f t="shared" si="302"/>
        <v>0.69057956388220876</v>
      </c>
      <c r="R2280" s="46">
        <f t="shared" si="303"/>
        <v>4.8516891891786784</v>
      </c>
    </row>
    <row r="2281" spans="2:18" ht="12.75" customHeight="1" x14ac:dyDescent="0.25">
      <c r="B2281" s="17" t="s">
        <v>0</v>
      </c>
      <c r="C2281" s="44" t="s">
        <v>14</v>
      </c>
      <c r="D2281" s="22" t="s">
        <v>9</v>
      </c>
      <c r="E2281" s="20">
        <v>2</v>
      </c>
      <c r="F2281" s="17" t="s">
        <v>289</v>
      </c>
      <c r="G2281" s="17" t="s">
        <v>311</v>
      </c>
      <c r="H2281" s="17" t="s">
        <v>312</v>
      </c>
      <c r="I2281" s="17" t="s">
        <v>313</v>
      </c>
      <c r="J2281" s="27" t="s">
        <v>15</v>
      </c>
      <c r="K2281" s="29">
        <v>951</v>
      </c>
      <c r="L2281" s="31">
        <v>22110.37</v>
      </c>
      <c r="M2281" s="31">
        <v>8530.6000000387994</v>
      </c>
      <c r="N2281" s="31">
        <v>6346.630000019999</v>
      </c>
      <c r="O2281" s="34">
        <f t="shared" si="300"/>
        <v>0.38581896187349191</v>
      </c>
      <c r="P2281" s="34">
        <f t="shared" si="301"/>
        <v>0.74398401050232488</v>
      </c>
      <c r="Q2281" s="34">
        <f t="shared" si="302"/>
        <v>0.61418103812650804</v>
      </c>
      <c r="R2281" s="46">
        <f t="shared" si="303"/>
        <v>6.6736382755205037</v>
      </c>
    </row>
    <row r="2282" spans="2:18" ht="12.75" customHeight="1" x14ac:dyDescent="0.25">
      <c r="B2282" s="17" t="s">
        <v>0</v>
      </c>
      <c r="C2282" s="44" t="s">
        <v>36</v>
      </c>
      <c r="D2282" s="22" t="s">
        <v>2</v>
      </c>
      <c r="E2282" s="20">
        <v>1</v>
      </c>
      <c r="F2282" s="17" t="s">
        <v>289</v>
      </c>
      <c r="G2282" s="17" t="s">
        <v>311</v>
      </c>
      <c r="H2282" s="17" t="s">
        <v>312</v>
      </c>
      <c r="I2282" s="17" t="s">
        <v>313</v>
      </c>
      <c r="J2282" s="27" t="s">
        <v>37</v>
      </c>
      <c r="K2282" s="29">
        <v>138</v>
      </c>
      <c r="L2282" s="31">
        <v>72810.000000009997</v>
      </c>
      <c r="M2282" s="31">
        <v>6317.1400000064004</v>
      </c>
      <c r="N2282" s="31">
        <v>4749.7099999948005</v>
      </c>
      <c r="O2282" s="34">
        <f t="shared" si="300"/>
        <v>8.6761983244135879E-2</v>
      </c>
      <c r="P2282" s="34">
        <f t="shared" si="301"/>
        <v>0.75187664037681423</v>
      </c>
      <c r="Q2282" s="34">
        <f t="shared" si="302"/>
        <v>0.91323801675586413</v>
      </c>
      <c r="R2282" s="46">
        <f t="shared" si="303"/>
        <v>34.418188405759423</v>
      </c>
    </row>
    <row r="2283" spans="2:18" ht="12.75" customHeight="1" x14ac:dyDescent="0.25">
      <c r="B2283" s="17" t="s">
        <v>0</v>
      </c>
      <c r="C2283" s="44" t="s">
        <v>182</v>
      </c>
      <c r="D2283" s="22" t="s">
        <v>2</v>
      </c>
      <c r="E2283" s="20">
        <v>1</v>
      </c>
      <c r="F2283" s="17" t="s">
        <v>289</v>
      </c>
      <c r="G2283" s="17" t="s">
        <v>311</v>
      </c>
      <c r="H2283" s="17" t="s">
        <v>312</v>
      </c>
      <c r="I2283" s="17" t="s">
        <v>313</v>
      </c>
      <c r="J2283" s="27" t="s">
        <v>183</v>
      </c>
      <c r="K2283" s="29">
        <v>78</v>
      </c>
      <c r="L2283" s="31">
        <v>48107.75</v>
      </c>
      <c r="M2283" s="31">
        <v>5802.8899999969999</v>
      </c>
      <c r="N2283" s="31">
        <v>4323.3899999980003</v>
      </c>
      <c r="O2283" s="34">
        <f t="shared" si="300"/>
        <v>0.12062276868065956</v>
      </c>
      <c r="P2283" s="34">
        <f t="shared" si="301"/>
        <v>0.74504083310216729</v>
      </c>
      <c r="Q2283" s="34">
        <f t="shared" si="302"/>
        <v>0.87937723131934042</v>
      </c>
      <c r="R2283" s="46">
        <f t="shared" si="303"/>
        <v>55.428076923051286</v>
      </c>
    </row>
    <row r="2284" spans="2:18" ht="12.75" customHeight="1" x14ac:dyDescent="0.25">
      <c r="B2284" s="17" t="s">
        <v>0</v>
      </c>
      <c r="C2284" s="44" t="s">
        <v>54</v>
      </c>
      <c r="D2284" s="22" t="s">
        <v>2</v>
      </c>
      <c r="E2284" s="20">
        <v>1</v>
      </c>
      <c r="F2284" s="17" t="s">
        <v>289</v>
      </c>
      <c r="G2284" s="17" t="s">
        <v>311</v>
      </c>
      <c r="H2284" s="17" t="s">
        <v>312</v>
      </c>
      <c r="I2284" s="17" t="s">
        <v>313</v>
      </c>
      <c r="J2284" s="27" t="s">
        <v>55</v>
      </c>
      <c r="K2284" s="29">
        <v>116</v>
      </c>
      <c r="L2284" s="31">
        <v>12699</v>
      </c>
      <c r="M2284" s="31">
        <v>3626.3200000339998</v>
      </c>
      <c r="N2284" s="31">
        <v>2889.3300000170002</v>
      </c>
      <c r="O2284" s="34">
        <f t="shared" si="300"/>
        <v>0.28555949287613197</v>
      </c>
      <c r="P2284" s="34">
        <f t="shared" si="301"/>
        <v>0.79676641884607824</v>
      </c>
      <c r="Q2284" s="34">
        <f t="shared" si="302"/>
        <v>0.71444050712386797</v>
      </c>
      <c r="R2284" s="46">
        <f t="shared" si="303"/>
        <v>24.908017241525865</v>
      </c>
    </row>
    <row r="2285" spans="2:18" ht="12.75" customHeight="1" x14ac:dyDescent="0.25">
      <c r="B2285" s="17" t="s">
        <v>0</v>
      </c>
      <c r="C2285" s="44" t="s">
        <v>42</v>
      </c>
      <c r="D2285" s="22" t="s">
        <v>2</v>
      </c>
      <c r="E2285" s="20">
        <v>1</v>
      </c>
      <c r="F2285" s="17" t="s">
        <v>289</v>
      </c>
      <c r="G2285" s="17" t="s">
        <v>311</v>
      </c>
      <c r="H2285" s="17" t="s">
        <v>312</v>
      </c>
      <c r="I2285" s="17" t="s">
        <v>313</v>
      </c>
      <c r="J2285" s="27" t="s">
        <v>43</v>
      </c>
      <c r="K2285" s="29">
        <v>61</v>
      </c>
      <c r="L2285" s="31">
        <v>13399.00000005</v>
      </c>
      <c r="M2285" s="31">
        <v>2976.5999999939995</v>
      </c>
      <c r="N2285" s="31">
        <v>2371.6600000050003</v>
      </c>
      <c r="O2285" s="34">
        <f t="shared" si="300"/>
        <v>0.22215090678281155</v>
      </c>
      <c r="P2285" s="34">
        <f t="shared" si="301"/>
        <v>0.79676812470932645</v>
      </c>
      <c r="Q2285" s="34">
        <f t="shared" si="302"/>
        <v>0.77784909321718843</v>
      </c>
      <c r="R2285" s="46">
        <f t="shared" si="303"/>
        <v>38.879672131229512</v>
      </c>
    </row>
    <row r="2286" spans="2:18" ht="12.75" customHeight="1" x14ac:dyDescent="0.25">
      <c r="B2286" s="17" t="s">
        <v>0</v>
      </c>
      <c r="C2286" s="44" t="s">
        <v>98</v>
      </c>
      <c r="D2286" s="22" t="s">
        <v>2</v>
      </c>
      <c r="E2286" s="20">
        <v>1</v>
      </c>
      <c r="F2286" s="17" t="s">
        <v>289</v>
      </c>
      <c r="G2286" s="17" t="s">
        <v>311</v>
      </c>
      <c r="H2286" s="17" t="s">
        <v>312</v>
      </c>
      <c r="I2286" s="17" t="s">
        <v>313</v>
      </c>
      <c r="J2286" s="27" t="s">
        <v>102</v>
      </c>
      <c r="K2286" s="29">
        <v>11</v>
      </c>
      <c r="L2286" s="31">
        <v>22066</v>
      </c>
      <c r="M2286" s="31">
        <v>2833.8399999799999</v>
      </c>
      <c r="N2286" s="31">
        <v>2257.86999999</v>
      </c>
      <c r="O2286" s="34">
        <f t="shared" si="300"/>
        <v>0.12842563219341974</v>
      </c>
      <c r="P2286" s="34">
        <f t="shared" si="301"/>
        <v>0.7967528159691214</v>
      </c>
      <c r="Q2286" s="34">
        <f t="shared" si="302"/>
        <v>0.87157436780658026</v>
      </c>
      <c r="R2286" s="46">
        <f t="shared" si="303"/>
        <v>205.26090909000001</v>
      </c>
    </row>
    <row r="2287" spans="2:18" ht="12.75" customHeight="1" x14ac:dyDescent="0.25">
      <c r="B2287" s="17" t="s">
        <v>0</v>
      </c>
      <c r="C2287" s="44" t="s">
        <v>151</v>
      </c>
      <c r="D2287" s="22" t="s">
        <v>9</v>
      </c>
      <c r="E2287" s="20">
        <v>2</v>
      </c>
      <c r="F2287" s="17" t="s">
        <v>289</v>
      </c>
      <c r="G2287" s="17" t="s">
        <v>311</v>
      </c>
      <c r="H2287" s="17" t="s">
        <v>312</v>
      </c>
      <c r="I2287" s="17" t="s">
        <v>313</v>
      </c>
      <c r="J2287" s="27" t="s">
        <v>152</v>
      </c>
      <c r="K2287" s="29">
        <v>81</v>
      </c>
      <c r="L2287" s="31">
        <v>7290</v>
      </c>
      <c r="M2287" s="31">
        <v>2539.6500000240003</v>
      </c>
      <c r="N2287" s="31">
        <v>1973.6600000400001</v>
      </c>
      <c r="O2287" s="34">
        <f t="shared" si="300"/>
        <v>0.34837448560000006</v>
      </c>
      <c r="P2287" s="34">
        <f t="shared" si="301"/>
        <v>0.77713858209648912</v>
      </c>
      <c r="Q2287" s="34">
        <f t="shared" si="302"/>
        <v>0.65162551439999994</v>
      </c>
      <c r="R2287" s="46">
        <f t="shared" si="303"/>
        <v>24.366172840000001</v>
      </c>
    </row>
    <row r="2288" spans="2:18" ht="12.75" customHeight="1" x14ac:dyDescent="0.25">
      <c r="B2288" s="17" t="s">
        <v>0</v>
      </c>
      <c r="C2288" s="44" t="s">
        <v>50</v>
      </c>
      <c r="D2288" s="22" t="s">
        <v>2</v>
      </c>
      <c r="E2288" s="20">
        <v>1</v>
      </c>
      <c r="F2288" s="17" t="s">
        <v>289</v>
      </c>
      <c r="G2288" s="17" t="s">
        <v>311</v>
      </c>
      <c r="H2288" s="17" t="s">
        <v>312</v>
      </c>
      <c r="I2288" s="17" t="s">
        <v>313</v>
      </c>
      <c r="J2288" s="27" t="s">
        <v>51</v>
      </c>
      <c r="K2288" s="29">
        <v>88</v>
      </c>
      <c r="L2288" s="31">
        <v>10560</v>
      </c>
      <c r="M2288" s="31">
        <v>2553.739999976</v>
      </c>
      <c r="N2288" s="31">
        <v>1959.3400000240001</v>
      </c>
      <c r="O2288" s="34">
        <f t="shared" si="300"/>
        <v>0.24183143939166668</v>
      </c>
      <c r="P2288" s="34">
        <f t="shared" si="301"/>
        <v>0.76724333723966176</v>
      </c>
      <c r="Q2288" s="34">
        <f t="shared" si="302"/>
        <v>0.75816856060833326</v>
      </c>
      <c r="R2288" s="46">
        <f t="shared" si="303"/>
        <v>22.265227273000001</v>
      </c>
    </row>
    <row r="2289" spans="2:18" ht="12.75" customHeight="1" x14ac:dyDescent="0.25">
      <c r="B2289" s="17" t="s">
        <v>0</v>
      </c>
      <c r="C2289" s="44" t="s">
        <v>56</v>
      </c>
      <c r="D2289" s="22" t="s">
        <v>2</v>
      </c>
      <c r="E2289" s="20">
        <v>1</v>
      </c>
      <c r="F2289" s="17" t="s">
        <v>289</v>
      </c>
      <c r="G2289" s="17" t="s">
        <v>311</v>
      </c>
      <c r="H2289" s="17" t="s">
        <v>312</v>
      </c>
      <c r="I2289" s="17" t="s">
        <v>313</v>
      </c>
      <c r="J2289" s="27" t="s">
        <v>57</v>
      </c>
      <c r="K2289" s="29">
        <v>485</v>
      </c>
      <c r="L2289" s="31">
        <v>29226.000000031003</v>
      </c>
      <c r="M2289" s="31">
        <v>2543.5300000036004</v>
      </c>
      <c r="N2289" s="31">
        <v>1885.0200000016</v>
      </c>
      <c r="O2289" s="34">
        <f t="shared" si="300"/>
        <v>8.702969958259435E-2</v>
      </c>
      <c r="P2289" s="34">
        <f t="shared" si="301"/>
        <v>0.74110389891172179</v>
      </c>
      <c r="Q2289" s="34">
        <f t="shared" si="302"/>
        <v>0.91297030041740568</v>
      </c>
      <c r="R2289" s="46">
        <f t="shared" si="303"/>
        <v>3.8866391752610308</v>
      </c>
    </row>
    <row r="2290" spans="2:18" ht="12.75" customHeight="1" x14ac:dyDescent="0.25">
      <c r="B2290" s="17" t="s">
        <v>0</v>
      </c>
      <c r="C2290" s="44" t="s">
        <v>159</v>
      </c>
      <c r="D2290" s="22" t="s">
        <v>2</v>
      </c>
      <c r="E2290" s="20">
        <v>1</v>
      </c>
      <c r="F2290" s="17" t="s">
        <v>289</v>
      </c>
      <c r="G2290" s="17" t="s">
        <v>311</v>
      </c>
      <c r="H2290" s="17" t="s">
        <v>312</v>
      </c>
      <c r="I2290" s="17" t="s">
        <v>313</v>
      </c>
      <c r="J2290" s="27" t="s">
        <v>160</v>
      </c>
      <c r="K2290" s="29">
        <v>51</v>
      </c>
      <c r="L2290" s="31">
        <v>6681</v>
      </c>
      <c r="M2290" s="31">
        <v>2416.3199999789999</v>
      </c>
      <c r="N2290" s="31">
        <v>1860.8999999939999</v>
      </c>
      <c r="O2290" s="34">
        <f t="shared" si="300"/>
        <v>0.36167040861832062</v>
      </c>
      <c r="P2290" s="34">
        <f t="shared" si="301"/>
        <v>0.7701380611881592</v>
      </c>
      <c r="Q2290" s="34">
        <f t="shared" si="302"/>
        <v>0.63832959138167933</v>
      </c>
      <c r="R2290" s="46">
        <f t="shared" si="303"/>
        <v>36.488235293999999</v>
      </c>
    </row>
    <row r="2291" spans="2:18" ht="12.75" customHeight="1" x14ac:dyDescent="0.25">
      <c r="B2291" s="17" t="s">
        <v>0</v>
      </c>
      <c r="C2291" s="44" t="s">
        <v>24</v>
      </c>
      <c r="D2291" s="22" t="s">
        <v>9</v>
      </c>
      <c r="E2291" s="20">
        <v>2</v>
      </c>
      <c r="F2291" s="17" t="s">
        <v>289</v>
      </c>
      <c r="G2291" s="17" t="s">
        <v>311</v>
      </c>
      <c r="H2291" s="17" t="s">
        <v>312</v>
      </c>
      <c r="I2291" s="17" t="s">
        <v>313</v>
      </c>
      <c r="J2291" s="27" t="s">
        <v>25</v>
      </c>
      <c r="K2291" s="29">
        <v>14</v>
      </c>
      <c r="L2291" s="31">
        <v>2209.7600000000002</v>
      </c>
      <c r="M2291" s="31">
        <v>1177.96</v>
      </c>
      <c r="N2291" s="31">
        <v>953.26</v>
      </c>
      <c r="O2291" s="34">
        <f t="shared" si="300"/>
        <v>0.53307146477445511</v>
      </c>
      <c r="P2291" s="34">
        <f t="shared" si="301"/>
        <v>0.80924649393867365</v>
      </c>
      <c r="Q2291" s="34">
        <f t="shared" si="302"/>
        <v>0.46692853522554489</v>
      </c>
      <c r="R2291" s="46">
        <f t="shared" si="303"/>
        <v>68.09</v>
      </c>
    </row>
    <row r="2292" spans="2:18" ht="12.75" customHeight="1" x14ac:dyDescent="0.25">
      <c r="B2292" s="17" t="s">
        <v>0</v>
      </c>
      <c r="C2292" s="44" t="s">
        <v>288</v>
      </c>
      <c r="D2292" s="22" t="s">
        <v>2</v>
      </c>
      <c r="E2292" s="20">
        <v>1</v>
      </c>
      <c r="F2292" s="17" t="s">
        <v>289</v>
      </c>
      <c r="G2292" s="17" t="s">
        <v>311</v>
      </c>
      <c r="H2292" s="17" t="s">
        <v>312</v>
      </c>
      <c r="I2292" s="17" t="s">
        <v>313</v>
      </c>
      <c r="J2292" s="27" t="s">
        <v>293</v>
      </c>
      <c r="K2292" s="29">
        <v>26</v>
      </c>
      <c r="L2292" s="31">
        <v>6968</v>
      </c>
      <c r="M2292" s="31">
        <v>1175.3599999959999</v>
      </c>
      <c r="N2292" s="31">
        <v>936.49999999400006</v>
      </c>
      <c r="O2292" s="34">
        <f t="shared" si="300"/>
        <v>0.16867967852985075</v>
      </c>
      <c r="P2292" s="34">
        <f t="shared" si="301"/>
        <v>0.79677715763441603</v>
      </c>
      <c r="Q2292" s="34">
        <f t="shared" si="302"/>
        <v>0.83132032147014923</v>
      </c>
      <c r="R2292" s="46">
        <f t="shared" si="303"/>
        <v>36.019230769000004</v>
      </c>
    </row>
    <row r="2293" spans="2:18" ht="12.75" customHeight="1" x14ac:dyDescent="0.25">
      <c r="B2293" s="17" t="s">
        <v>0</v>
      </c>
      <c r="C2293" s="44" t="s">
        <v>135</v>
      </c>
      <c r="D2293" s="22" t="s">
        <v>2</v>
      </c>
      <c r="E2293" s="20">
        <v>1</v>
      </c>
      <c r="F2293" s="17" t="s">
        <v>289</v>
      </c>
      <c r="G2293" s="17" t="s">
        <v>311</v>
      </c>
      <c r="H2293" s="17" t="s">
        <v>312</v>
      </c>
      <c r="I2293" s="17" t="s">
        <v>313</v>
      </c>
      <c r="J2293" s="27" t="s">
        <v>136</v>
      </c>
      <c r="K2293" s="29">
        <v>30</v>
      </c>
      <c r="L2293" s="31">
        <v>4068</v>
      </c>
      <c r="M2293" s="31">
        <v>879.56000000999995</v>
      </c>
      <c r="N2293" s="31">
        <v>677.12000001000001</v>
      </c>
      <c r="O2293" s="34">
        <f t="shared" si="300"/>
        <v>0.21621435595132743</v>
      </c>
      <c r="P2293" s="34">
        <f t="shared" si="301"/>
        <v>0.76983946518975588</v>
      </c>
      <c r="Q2293" s="34">
        <f t="shared" si="302"/>
        <v>0.78378564404867257</v>
      </c>
      <c r="R2293" s="46">
        <f t="shared" si="303"/>
        <v>22.570666667000001</v>
      </c>
    </row>
    <row r="2294" spans="2:18" ht="12.75" customHeight="1" x14ac:dyDescent="0.25">
      <c r="B2294" s="17" t="s">
        <v>0</v>
      </c>
      <c r="C2294" s="44" t="s">
        <v>145</v>
      </c>
      <c r="D2294" s="22" t="s">
        <v>2</v>
      </c>
      <c r="E2294" s="20">
        <v>1</v>
      </c>
      <c r="F2294" s="17" t="s">
        <v>289</v>
      </c>
      <c r="G2294" s="17" t="s">
        <v>311</v>
      </c>
      <c r="H2294" s="17" t="s">
        <v>312</v>
      </c>
      <c r="I2294" s="17" t="s">
        <v>313</v>
      </c>
      <c r="J2294" s="27" t="s">
        <v>146</v>
      </c>
      <c r="K2294" s="29">
        <v>16</v>
      </c>
      <c r="L2294" s="31">
        <v>3200</v>
      </c>
      <c r="M2294" s="31">
        <v>710.32</v>
      </c>
      <c r="N2294" s="31">
        <v>565.91999999999996</v>
      </c>
      <c r="O2294" s="34">
        <f t="shared" si="300"/>
        <v>0.22197500000000001</v>
      </c>
      <c r="P2294" s="34">
        <f t="shared" si="301"/>
        <v>0.79671134136727095</v>
      </c>
      <c r="Q2294" s="34">
        <f t="shared" si="302"/>
        <v>0.77802499999999997</v>
      </c>
      <c r="R2294" s="46">
        <f t="shared" si="303"/>
        <v>35.369999999999997</v>
      </c>
    </row>
    <row r="2295" spans="2:18" ht="12.75" customHeight="1" x14ac:dyDescent="0.25">
      <c r="B2295" s="17" t="s">
        <v>0</v>
      </c>
      <c r="C2295" s="44" t="s">
        <v>82</v>
      </c>
      <c r="D2295" s="22" t="s">
        <v>2</v>
      </c>
      <c r="E2295" s="20">
        <v>1</v>
      </c>
      <c r="F2295" s="17" t="s">
        <v>289</v>
      </c>
      <c r="G2295" s="17" t="s">
        <v>311</v>
      </c>
      <c r="H2295" s="17" t="s">
        <v>312</v>
      </c>
      <c r="I2295" s="17" t="s">
        <v>313</v>
      </c>
      <c r="J2295" s="27" t="s">
        <v>83</v>
      </c>
      <c r="K2295" s="29">
        <v>19</v>
      </c>
      <c r="L2295" s="31">
        <v>1133.9999999940001</v>
      </c>
      <c r="M2295" s="31">
        <v>437.240000001</v>
      </c>
      <c r="N2295" s="31">
        <v>330.62000000799998</v>
      </c>
      <c r="O2295" s="34">
        <f t="shared" si="300"/>
        <v>0.3855731922427808</v>
      </c>
      <c r="P2295" s="34">
        <f t="shared" si="301"/>
        <v>0.756152227626118</v>
      </c>
      <c r="Q2295" s="34">
        <f t="shared" si="302"/>
        <v>0.61442680775721925</v>
      </c>
      <c r="R2295" s="46">
        <f t="shared" si="303"/>
        <v>17.401052631999999</v>
      </c>
    </row>
    <row r="2296" spans="2:18" ht="12.75" customHeight="1" x14ac:dyDescent="0.25">
      <c r="B2296" s="17" t="s">
        <v>0</v>
      </c>
      <c r="C2296" s="44" t="s">
        <v>110</v>
      </c>
      <c r="D2296" s="22" t="s">
        <v>2</v>
      </c>
      <c r="E2296" s="20">
        <v>1</v>
      </c>
      <c r="F2296" s="17" t="s">
        <v>289</v>
      </c>
      <c r="G2296" s="17" t="s">
        <v>311</v>
      </c>
      <c r="H2296" s="17" t="s">
        <v>312</v>
      </c>
      <c r="I2296" s="17" t="s">
        <v>313</v>
      </c>
      <c r="J2296" s="27" t="s">
        <v>111</v>
      </c>
      <c r="K2296" s="29">
        <v>84</v>
      </c>
      <c r="L2296" s="31">
        <v>3528</v>
      </c>
      <c r="M2296" s="31">
        <v>336.78000000119999</v>
      </c>
      <c r="N2296" s="31">
        <v>261.79999999860001</v>
      </c>
      <c r="O2296" s="34">
        <f t="shared" si="300"/>
        <v>9.5459183673809525E-2</v>
      </c>
      <c r="P2296" s="34">
        <f t="shared" si="301"/>
        <v>0.77736207612586017</v>
      </c>
      <c r="Q2296" s="34">
        <f t="shared" si="302"/>
        <v>0.90454081632619043</v>
      </c>
      <c r="R2296" s="46">
        <f t="shared" si="303"/>
        <v>3.11666666665</v>
      </c>
    </row>
    <row r="2297" spans="2:18" ht="12.75" customHeight="1" thickBot="1" x14ac:dyDescent="0.3">
      <c r="B2297" s="15" t="s">
        <v>0</v>
      </c>
      <c r="C2297" s="50" t="s">
        <v>161</v>
      </c>
      <c r="D2297" s="19" t="s">
        <v>9</v>
      </c>
      <c r="E2297" s="16">
        <v>2</v>
      </c>
      <c r="F2297" s="15" t="s">
        <v>289</v>
      </c>
      <c r="G2297" s="15" t="s">
        <v>311</v>
      </c>
      <c r="H2297" s="15" t="s">
        <v>312</v>
      </c>
      <c r="I2297" s="15" t="s">
        <v>313</v>
      </c>
      <c r="J2297" s="24" t="s">
        <v>162</v>
      </c>
      <c r="K2297" s="26">
        <v>12</v>
      </c>
      <c r="L2297" s="28">
        <v>159.99999999600001</v>
      </c>
      <c r="M2297" s="28">
        <v>33.36</v>
      </c>
      <c r="N2297" s="28">
        <v>26.540000000399999</v>
      </c>
      <c r="O2297" s="32">
        <f t="shared" si="300"/>
        <v>0.20850000000521249</v>
      </c>
      <c r="P2297" s="32">
        <f t="shared" si="301"/>
        <v>0.79556354917266181</v>
      </c>
      <c r="Q2297" s="32">
        <f t="shared" si="302"/>
        <v>0.79149999999478748</v>
      </c>
      <c r="R2297" s="49">
        <f t="shared" si="303"/>
        <v>2.2116666666999998</v>
      </c>
    </row>
    <row r="2298" spans="2:18" ht="17.25" customHeight="1" x14ac:dyDescent="0.25">
      <c r="B2298" s="48"/>
      <c r="C2298" s="58"/>
      <c r="D2298" s="51" t="s">
        <v>366</v>
      </c>
      <c r="E2298" s="52"/>
      <c r="F2298" s="52"/>
      <c r="G2298" s="53"/>
      <c r="H2298" s="53"/>
      <c r="I2298" s="53"/>
      <c r="J2298" s="54"/>
      <c r="K2298" s="55">
        <f>SUM(K2239:K2297)</f>
        <v>1390650</v>
      </c>
      <c r="L2298" s="56">
        <f>SUM(L2239:L2297)</f>
        <v>81611587.039974108</v>
      </c>
      <c r="M2298" s="56">
        <f>SUM(M2239:M2297)</f>
        <v>26784356.910009976</v>
      </c>
      <c r="N2298" s="56">
        <f>SUM(N2239:N2297)</f>
        <v>19651362.270003431</v>
      </c>
      <c r="O2298" s="57">
        <f>IFERROR(M2298/L2298,0)</f>
        <v>0.32819306524318353</v>
      </c>
      <c r="P2298" s="57">
        <f>IFERROR(N2298/M2298,0)</f>
        <v>0.73368803798530746</v>
      </c>
      <c r="Q2298" s="57">
        <f>IFERROR(1-(M2298/L2298),0)</f>
        <v>0.67180693475681652</v>
      </c>
      <c r="R2298" s="59">
        <f>IFERROR(N2298/K2298,0)</f>
        <v>14.131062646966116</v>
      </c>
    </row>
    <row r="2299" spans="2:18" ht="15.75" thickBot="1" x14ac:dyDescent="0.3">
      <c r="B2299" s="60"/>
      <c r="C2299" s="64"/>
      <c r="D2299" s="62" t="s">
        <v>313</v>
      </c>
      <c r="E2299" s="61"/>
      <c r="F2299" s="61"/>
      <c r="G2299" s="61"/>
      <c r="H2299" s="61"/>
      <c r="I2299" s="61"/>
      <c r="J2299" s="61"/>
      <c r="K2299" s="63"/>
      <c r="L2299" s="63"/>
      <c r="M2299" s="63"/>
      <c r="N2299" s="63"/>
      <c r="O2299" s="63"/>
      <c r="P2299" s="63"/>
      <c r="Q2299" s="63"/>
      <c r="R2299" s="65"/>
    </row>
    <row r="2300" spans="2:18" ht="15.75" thickBot="1" x14ac:dyDescent="0.3"/>
    <row r="2301" spans="2:18" ht="15.75" x14ac:dyDescent="0.25">
      <c r="B2301" s="1"/>
      <c r="C2301" s="7" t="s">
        <v>348</v>
      </c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9"/>
    </row>
    <row r="2302" spans="2:18" ht="18" x14ac:dyDescent="0.25">
      <c r="B2302" s="2"/>
      <c r="C2302" s="8" t="s">
        <v>317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10"/>
    </row>
    <row r="2303" spans="2:18" ht="15.75" thickBot="1" x14ac:dyDescent="0.3">
      <c r="B2303" s="3"/>
      <c r="C2303" s="11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12"/>
    </row>
    <row r="2304" spans="2:18" ht="17.25" customHeight="1" thickBot="1" x14ac:dyDescent="0.3">
      <c r="B2304" s="14" t="s">
        <v>349</v>
      </c>
      <c r="C2304" s="18" t="s">
        <v>350</v>
      </c>
      <c r="D2304" s="21" t="s">
        <v>351</v>
      </c>
      <c r="E2304" s="23" t="s">
        <v>352</v>
      </c>
      <c r="F2304" s="21" t="s">
        <v>353</v>
      </c>
      <c r="G2304" s="23" t="s">
        <v>354</v>
      </c>
      <c r="H2304" s="23" t="s">
        <v>355</v>
      </c>
      <c r="I2304" s="23" t="s">
        <v>356</v>
      </c>
      <c r="J2304" s="25" t="s">
        <v>357</v>
      </c>
      <c r="K2304" s="25" t="s">
        <v>358</v>
      </c>
      <c r="L2304" s="30" t="s">
        <v>359</v>
      </c>
      <c r="M2304" s="30" t="s">
        <v>360</v>
      </c>
      <c r="N2304" s="30" t="s">
        <v>361</v>
      </c>
      <c r="O2304" s="33" t="s">
        <v>362</v>
      </c>
      <c r="P2304" s="33" t="s">
        <v>363</v>
      </c>
      <c r="Q2304" s="33" t="s">
        <v>364</v>
      </c>
      <c r="R2304" s="35" t="s">
        <v>365</v>
      </c>
    </row>
    <row r="2305" spans="2:18" ht="12.75" customHeight="1" x14ac:dyDescent="0.25">
      <c r="B2305" s="17" t="s">
        <v>0</v>
      </c>
      <c r="C2305" s="43" t="s">
        <v>145</v>
      </c>
      <c r="D2305" s="37" t="s">
        <v>9</v>
      </c>
      <c r="E2305" s="36">
        <v>2</v>
      </c>
      <c r="F2305" s="38" t="s">
        <v>314</v>
      </c>
      <c r="G2305" s="38" t="s">
        <v>315</v>
      </c>
      <c r="H2305" s="38" t="s">
        <v>316</v>
      </c>
      <c r="I2305" s="38" t="s">
        <v>317</v>
      </c>
      <c r="J2305" s="39" t="s">
        <v>146</v>
      </c>
      <c r="K2305" s="40">
        <v>3291440</v>
      </c>
      <c r="L2305" s="41">
        <v>342762409.35998166</v>
      </c>
      <c r="M2305" s="41">
        <v>112122050.08997922</v>
      </c>
      <c r="N2305" s="41">
        <v>89215974.710008457</v>
      </c>
      <c r="O2305" s="42">
        <f t="shared" ref="O2305:O2337" si="304">IFERROR(M2305/L2305,0)</f>
        <v>0.32711302939939524</v>
      </c>
      <c r="P2305" s="42">
        <f t="shared" ref="P2305:P2337" si="305">IFERROR(N2305/M2305,0)</f>
        <v>0.79570409779710261</v>
      </c>
      <c r="Q2305" s="42">
        <f t="shared" ref="Q2305:Q2337" si="306">IFERROR(1-(M2305/L2305),0)</f>
        <v>0.67288697060060476</v>
      </c>
      <c r="R2305" s="45">
        <f t="shared" ref="R2305:R2337" si="307">IFERROR(N2305/K2305,0)</f>
        <v>27.105453755805502</v>
      </c>
    </row>
    <row r="2306" spans="2:18" ht="12.75" customHeight="1" x14ac:dyDescent="0.25">
      <c r="B2306" s="17" t="s">
        <v>0</v>
      </c>
      <c r="C2306" s="44" t="s">
        <v>157</v>
      </c>
      <c r="D2306" s="22" t="s">
        <v>9</v>
      </c>
      <c r="E2306" s="20">
        <v>2</v>
      </c>
      <c r="F2306" s="17" t="s">
        <v>314</v>
      </c>
      <c r="G2306" s="17" t="s">
        <v>315</v>
      </c>
      <c r="H2306" s="17" t="s">
        <v>316</v>
      </c>
      <c r="I2306" s="17" t="s">
        <v>317</v>
      </c>
      <c r="J2306" s="27" t="s">
        <v>158</v>
      </c>
      <c r="K2306" s="29">
        <v>2655845</v>
      </c>
      <c r="L2306" s="31">
        <v>282579104.98964977</v>
      </c>
      <c r="M2306" s="31">
        <v>92551190.229928181</v>
      </c>
      <c r="N2306" s="31">
        <v>73651357.199982092</v>
      </c>
      <c r="O2306" s="34">
        <f t="shared" si="304"/>
        <v>0.32752312041372672</v>
      </c>
      <c r="P2306" s="34">
        <f t="shared" si="305"/>
        <v>0.79579049191055706</v>
      </c>
      <c r="Q2306" s="34">
        <f t="shared" si="306"/>
        <v>0.67247687958627322</v>
      </c>
      <c r="R2306" s="46">
        <f t="shared" si="307"/>
        <v>27.73179805296698</v>
      </c>
    </row>
    <row r="2307" spans="2:18" ht="12.75" customHeight="1" x14ac:dyDescent="0.25">
      <c r="B2307" s="17" t="s">
        <v>0</v>
      </c>
      <c r="C2307" s="44" t="s">
        <v>94</v>
      </c>
      <c r="D2307" s="22" t="s">
        <v>9</v>
      </c>
      <c r="E2307" s="20">
        <v>2</v>
      </c>
      <c r="F2307" s="17" t="s">
        <v>314</v>
      </c>
      <c r="G2307" s="17" t="s">
        <v>315</v>
      </c>
      <c r="H2307" s="17" t="s">
        <v>316</v>
      </c>
      <c r="I2307" s="17" t="s">
        <v>317</v>
      </c>
      <c r="J2307" s="27" t="s">
        <v>95</v>
      </c>
      <c r="K2307" s="29">
        <v>187418</v>
      </c>
      <c r="L2307" s="31">
        <v>38027956.740115866</v>
      </c>
      <c r="M2307" s="31">
        <v>15103416.619991897</v>
      </c>
      <c r="N2307" s="31">
        <v>11935952.310009852</v>
      </c>
      <c r="O2307" s="34">
        <f t="shared" si="304"/>
        <v>0.39716613551469709</v>
      </c>
      <c r="P2307" s="34">
        <f t="shared" si="305"/>
        <v>0.79028160384655111</v>
      </c>
      <c r="Q2307" s="34">
        <f t="shared" si="306"/>
        <v>0.60283386448530285</v>
      </c>
      <c r="R2307" s="46">
        <f t="shared" si="307"/>
        <v>63.686264446370423</v>
      </c>
    </row>
    <row r="2308" spans="2:18" ht="12.75" customHeight="1" x14ac:dyDescent="0.25">
      <c r="B2308" s="17" t="s">
        <v>0</v>
      </c>
      <c r="C2308" s="44" t="s">
        <v>30</v>
      </c>
      <c r="D2308" s="22" t="s">
        <v>9</v>
      </c>
      <c r="E2308" s="20">
        <v>2</v>
      </c>
      <c r="F2308" s="17" t="s">
        <v>314</v>
      </c>
      <c r="G2308" s="17" t="s">
        <v>315</v>
      </c>
      <c r="H2308" s="17" t="s">
        <v>316</v>
      </c>
      <c r="I2308" s="17" t="s">
        <v>317</v>
      </c>
      <c r="J2308" s="27" t="s">
        <v>31</v>
      </c>
      <c r="K2308" s="29">
        <v>328137</v>
      </c>
      <c r="L2308" s="31">
        <v>32887470.48995829</v>
      </c>
      <c r="M2308" s="31">
        <v>10861664.990015281</v>
      </c>
      <c r="N2308" s="31">
        <v>8635099.3200026732</v>
      </c>
      <c r="O2308" s="34">
        <f t="shared" si="304"/>
        <v>0.33026757084682851</v>
      </c>
      <c r="P2308" s="34">
        <f t="shared" si="305"/>
        <v>0.79500696513293256</v>
      </c>
      <c r="Q2308" s="34">
        <f t="shared" si="306"/>
        <v>0.66973242915317144</v>
      </c>
      <c r="R2308" s="46">
        <f t="shared" si="307"/>
        <v>26.315530769168589</v>
      </c>
    </row>
    <row r="2309" spans="2:18" ht="12.75" customHeight="1" x14ac:dyDescent="0.25">
      <c r="B2309" s="17" t="s">
        <v>0</v>
      </c>
      <c r="C2309" s="44" t="s">
        <v>159</v>
      </c>
      <c r="D2309" s="22" t="s">
        <v>9</v>
      </c>
      <c r="E2309" s="20">
        <v>2</v>
      </c>
      <c r="F2309" s="17" t="s">
        <v>314</v>
      </c>
      <c r="G2309" s="17" t="s">
        <v>315</v>
      </c>
      <c r="H2309" s="17" t="s">
        <v>316</v>
      </c>
      <c r="I2309" s="17" t="s">
        <v>317</v>
      </c>
      <c r="J2309" s="27" t="s">
        <v>160</v>
      </c>
      <c r="K2309" s="29">
        <v>158685</v>
      </c>
      <c r="L2309" s="31">
        <v>12433868.080164012</v>
      </c>
      <c r="M2309" s="31">
        <v>3258464.7200093977</v>
      </c>
      <c r="N2309" s="31">
        <v>2593893.6400148873</v>
      </c>
      <c r="O2309" s="34">
        <f t="shared" si="304"/>
        <v>0.26206363932778803</v>
      </c>
      <c r="P2309" s="34">
        <f t="shared" si="305"/>
        <v>0.79604779026344841</v>
      </c>
      <c r="Q2309" s="34">
        <f t="shared" si="306"/>
        <v>0.73793636067221202</v>
      </c>
      <c r="R2309" s="46">
        <f t="shared" si="307"/>
        <v>16.346180420423401</v>
      </c>
    </row>
    <row r="2310" spans="2:18" ht="12.75" customHeight="1" x14ac:dyDescent="0.25">
      <c r="B2310" s="17" t="s">
        <v>0</v>
      </c>
      <c r="C2310" s="44" t="s">
        <v>46</v>
      </c>
      <c r="D2310" s="22" t="s">
        <v>9</v>
      </c>
      <c r="E2310" s="20">
        <v>2</v>
      </c>
      <c r="F2310" s="17" t="s">
        <v>314</v>
      </c>
      <c r="G2310" s="17" t="s">
        <v>315</v>
      </c>
      <c r="H2310" s="17" t="s">
        <v>316</v>
      </c>
      <c r="I2310" s="17" t="s">
        <v>317</v>
      </c>
      <c r="J2310" s="27" t="s">
        <v>47</v>
      </c>
      <c r="K2310" s="29">
        <v>38218</v>
      </c>
      <c r="L2310" s="31">
        <v>8621088.169999443</v>
      </c>
      <c r="M2310" s="31">
        <v>1905538.7300004954</v>
      </c>
      <c r="N2310" s="31">
        <v>1503674.5700010741</v>
      </c>
      <c r="O2310" s="34">
        <f t="shared" si="304"/>
        <v>0.22103227486195848</v>
      </c>
      <c r="P2310" s="34">
        <f t="shared" si="305"/>
        <v>0.78910732504538661</v>
      </c>
      <c r="Q2310" s="34">
        <f t="shared" si="306"/>
        <v>0.77896772513804158</v>
      </c>
      <c r="R2310" s="46">
        <f t="shared" si="307"/>
        <v>39.344669265819093</v>
      </c>
    </row>
    <row r="2311" spans="2:18" ht="12.75" customHeight="1" x14ac:dyDescent="0.25">
      <c r="B2311" s="17" t="s">
        <v>0</v>
      </c>
      <c r="C2311" s="44" t="s">
        <v>172</v>
      </c>
      <c r="D2311" s="22" t="s">
        <v>9</v>
      </c>
      <c r="E2311" s="20">
        <v>2</v>
      </c>
      <c r="F2311" s="17" t="s">
        <v>314</v>
      </c>
      <c r="G2311" s="17" t="s">
        <v>315</v>
      </c>
      <c r="H2311" s="17" t="s">
        <v>316</v>
      </c>
      <c r="I2311" s="17" t="s">
        <v>317</v>
      </c>
      <c r="J2311" s="27" t="s">
        <v>173</v>
      </c>
      <c r="K2311" s="29">
        <v>86707</v>
      </c>
      <c r="L2311" s="31">
        <v>6359539.6600398477</v>
      </c>
      <c r="M2311" s="31">
        <v>1799995.960000807</v>
      </c>
      <c r="N2311" s="31">
        <v>1430840.7200026547</v>
      </c>
      <c r="O2311" s="34">
        <f t="shared" si="304"/>
        <v>0.28303871918766027</v>
      </c>
      <c r="P2311" s="34">
        <f t="shared" si="305"/>
        <v>0.79491329525095888</v>
      </c>
      <c r="Q2311" s="34">
        <f t="shared" si="306"/>
        <v>0.71696128081233979</v>
      </c>
      <c r="R2311" s="46">
        <f t="shared" si="307"/>
        <v>16.502020828798766</v>
      </c>
    </row>
    <row r="2312" spans="2:18" ht="12.75" customHeight="1" x14ac:dyDescent="0.25">
      <c r="B2312" s="17" t="s">
        <v>0</v>
      </c>
      <c r="C2312" s="44" t="s">
        <v>34</v>
      </c>
      <c r="D2312" s="22" t="s">
        <v>9</v>
      </c>
      <c r="E2312" s="20">
        <v>2</v>
      </c>
      <c r="F2312" s="17" t="s">
        <v>314</v>
      </c>
      <c r="G2312" s="17" t="s">
        <v>315</v>
      </c>
      <c r="H2312" s="17" t="s">
        <v>316</v>
      </c>
      <c r="I2312" s="17" t="s">
        <v>317</v>
      </c>
      <c r="J2312" s="27" t="s">
        <v>35</v>
      </c>
      <c r="K2312" s="29">
        <v>13675</v>
      </c>
      <c r="L2312" s="31">
        <v>2606137.6600020216</v>
      </c>
      <c r="M2312" s="31">
        <v>971496.94000118342</v>
      </c>
      <c r="N2312" s="31">
        <v>739389.7099993343</v>
      </c>
      <c r="O2312" s="34">
        <f t="shared" si="304"/>
        <v>0.37277268768696964</v>
      </c>
      <c r="P2312" s="34">
        <f t="shared" si="305"/>
        <v>0.76108290160793879</v>
      </c>
      <c r="Q2312" s="34">
        <f t="shared" si="306"/>
        <v>0.62722731231303031</v>
      </c>
      <c r="R2312" s="46">
        <f t="shared" si="307"/>
        <v>54.068717367410187</v>
      </c>
    </row>
    <row r="2313" spans="2:18" ht="12.75" customHeight="1" x14ac:dyDescent="0.25">
      <c r="B2313" s="17" t="s">
        <v>0</v>
      </c>
      <c r="C2313" s="44" t="s">
        <v>56</v>
      </c>
      <c r="D2313" s="22" t="s">
        <v>9</v>
      </c>
      <c r="E2313" s="20">
        <v>2</v>
      </c>
      <c r="F2313" s="17" t="s">
        <v>314</v>
      </c>
      <c r="G2313" s="17" t="s">
        <v>315</v>
      </c>
      <c r="H2313" s="17" t="s">
        <v>316</v>
      </c>
      <c r="I2313" s="17" t="s">
        <v>317</v>
      </c>
      <c r="J2313" s="27" t="s">
        <v>57</v>
      </c>
      <c r="K2313" s="29">
        <v>69123</v>
      </c>
      <c r="L2313" s="31">
        <v>2526931.6699996274</v>
      </c>
      <c r="M2313" s="31">
        <v>590687.06000018737</v>
      </c>
      <c r="N2313" s="31">
        <v>451022.99000010738</v>
      </c>
      <c r="O2313" s="34">
        <f t="shared" si="304"/>
        <v>0.23375664131047694</v>
      </c>
      <c r="P2313" s="34">
        <f t="shared" si="305"/>
        <v>0.76355657765715113</v>
      </c>
      <c r="Q2313" s="34">
        <f t="shared" si="306"/>
        <v>0.76624335868952309</v>
      </c>
      <c r="R2313" s="46">
        <f t="shared" si="307"/>
        <v>6.5249336689684672</v>
      </c>
    </row>
    <row r="2314" spans="2:18" ht="12.75" customHeight="1" x14ac:dyDescent="0.25">
      <c r="B2314" s="17" t="s">
        <v>0</v>
      </c>
      <c r="C2314" s="44" t="s">
        <v>66</v>
      </c>
      <c r="D2314" s="22" t="s">
        <v>9</v>
      </c>
      <c r="E2314" s="20">
        <v>2</v>
      </c>
      <c r="F2314" s="17" t="s">
        <v>314</v>
      </c>
      <c r="G2314" s="17" t="s">
        <v>315</v>
      </c>
      <c r="H2314" s="17" t="s">
        <v>316</v>
      </c>
      <c r="I2314" s="17" t="s">
        <v>317</v>
      </c>
      <c r="J2314" s="27" t="s">
        <v>67</v>
      </c>
      <c r="K2314" s="29">
        <v>5155</v>
      </c>
      <c r="L2314" s="31">
        <v>1527193.239998949</v>
      </c>
      <c r="M2314" s="31">
        <v>448987.54000313208</v>
      </c>
      <c r="N2314" s="31">
        <v>354489.73000076204</v>
      </c>
      <c r="O2314" s="34">
        <f t="shared" si="304"/>
        <v>0.29399523795917343</v>
      </c>
      <c r="P2314" s="34">
        <f t="shared" si="305"/>
        <v>0.78953133086563865</v>
      </c>
      <c r="Q2314" s="34">
        <f t="shared" si="306"/>
        <v>0.70600476204082652</v>
      </c>
      <c r="R2314" s="46">
        <f t="shared" si="307"/>
        <v>68.76619398656878</v>
      </c>
    </row>
    <row r="2315" spans="2:18" ht="12.75" customHeight="1" x14ac:dyDescent="0.25">
      <c r="B2315" s="17" t="s">
        <v>0</v>
      </c>
      <c r="C2315" s="44" t="s">
        <v>110</v>
      </c>
      <c r="D2315" s="22" t="s">
        <v>9</v>
      </c>
      <c r="E2315" s="20">
        <v>2</v>
      </c>
      <c r="F2315" s="17" t="s">
        <v>314</v>
      </c>
      <c r="G2315" s="17" t="s">
        <v>315</v>
      </c>
      <c r="H2315" s="17" t="s">
        <v>316</v>
      </c>
      <c r="I2315" s="17" t="s">
        <v>317</v>
      </c>
      <c r="J2315" s="27" t="s">
        <v>111</v>
      </c>
      <c r="K2315" s="29">
        <v>21774</v>
      </c>
      <c r="L2315" s="31">
        <v>1387882.9999819999</v>
      </c>
      <c r="M2315" s="31">
        <v>414308.48999675264</v>
      </c>
      <c r="N2315" s="31">
        <v>329739.35999938392</v>
      </c>
      <c r="O2315" s="34">
        <f t="shared" si="304"/>
        <v>0.29851831170359894</v>
      </c>
      <c r="P2315" s="34">
        <f t="shared" si="305"/>
        <v>0.79587883898292411</v>
      </c>
      <c r="Q2315" s="34">
        <f t="shared" si="306"/>
        <v>0.70148168829640101</v>
      </c>
      <c r="R2315" s="46">
        <f t="shared" si="307"/>
        <v>15.143720033038667</v>
      </c>
    </row>
    <row r="2316" spans="2:18" ht="12.75" customHeight="1" x14ac:dyDescent="0.25">
      <c r="B2316" s="17" t="s">
        <v>0</v>
      </c>
      <c r="C2316" s="44" t="s">
        <v>161</v>
      </c>
      <c r="D2316" s="22" t="s">
        <v>9</v>
      </c>
      <c r="E2316" s="20">
        <v>2</v>
      </c>
      <c r="F2316" s="17" t="s">
        <v>314</v>
      </c>
      <c r="G2316" s="17" t="s">
        <v>315</v>
      </c>
      <c r="H2316" s="17" t="s">
        <v>316</v>
      </c>
      <c r="I2316" s="17" t="s">
        <v>317</v>
      </c>
      <c r="J2316" s="27" t="s">
        <v>162</v>
      </c>
      <c r="K2316" s="29">
        <v>7313</v>
      </c>
      <c r="L2316" s="31">
        <v>1567088.2500124592</v>
      </c>
      <c r="M2316" s="31">
        <v>413269.38999974763</v>
      </c>
      <c r="N2316" s="31">
        <v>326454.02999956079</v>
      </c>
      <c r="O2316" s="34">
        <f t="shared" si="304"/>
        <v>0.26371800694470265</v>
      </c>
      <c r="P2316" s="34">
        <f t="shared" si="305"/>
        <v>0.78993034059396494</v>
      </c>
      <c r="Q2316" s="34">
        <f t="shared" si="306"/>
        <v>0.73628199305529729</v>
      </c>
      <c r="R2316" s="46">
        <f t="shared" si="307"/>
        <v>44.640233830105402</v>
      </c>
    </row>
    <row r="2317" spans="2:18" ht="12.75" customHeight="1" x14ac:dyDescent="0.25">
      <c r="B2317" s="17" t="s">
        <v>0</v>
      </c>
      <c r="C2317" s="44" t="s">
        <v>151</v>
      </c>
      <c r="D2317" s="22" t="s">
        <v>9</v>
      </c>
      <c r="E2317" s="20">
        <v>2</v>
      </c>
      <c r="F2317" s="17" t="s">
        <v>314</v>
      </c>
      <c r="G2317" s="17" t="s">
        <v>315</v>
      </c>
      <c r="H2317" s="17" t="s">
        <v>316</v>
      </c>
      <c r="I2317" s="17" t="s">
        <v>317</v>
      </c>
      <c r="J2317" s="27" t="s">
        <v>152</v>
      </c>
      <c r="K2317" s="29">
        <v>3609</v>
      </c>
      <c r="L2317" s="31">
        <v>1069141.900005013</v>
      </c>
      <c r="M2317" s="31">
        <v>405657.38000665401</v>
      </c>
      <c r="N2317" s="31">
        <v>317422.25999977702</v>
      </c>
      <c r="O2317" s="34">
        <f t="shared" si="304"/>
        <v>0.37942333006007151</v>
      </c>
      <c r="P2317" s="34">
        <f t="shared" si="305"/>
        <v>0.7824885621323352</v>
      </c>
      <c r="Q2317" s="34">
        <f t="shared" si="306"/>
        <v>0.62057666993992844</v>
      </c>
      <c r="R2317" s="46">
        <f t="shared" si="307"/>
        <v>87.9529675809856</v>
      </c>
    </row>
    <row r="2318" spans="2:18" ht="12.75" customHeight="1" x14ac:dyDescent="0.25">
      <c r="B2318" s="17" t="s">
        <v>0</v>
      </c>
      <c r="C2318" s="44" t="s">
        <v>92</v>
      </c>
      <c r="D2318" s="22" t="s">
        <v>9</v>
      </c>
      <c r="E2318" s="20">
        <v>2</v>
      </c>
      <c r="F2318" s="17" t="s">
        <v>314</v>
      </c>
      <c r="G2318" s="17" t="s">
        <v>315</v>
      </c>
      <c r="H2318" s="17" t="s">
        <v>316</v>
      </c>
      <c r="I2318" s="17" t="s">
        <v>317</v>
      </c>
      <c r="J2318" s="27" t="s">
        <v>93</v>
      </c>
      <c r="K2318" s="29">
        <v>5569</v>
      </c>
      <c r="L2318" s="31">
        <v>851385.01000118803</v>
      </c>
      <c r="M2318" s="31">
        <v>375208.29000045406</v>
      </c>
      <c r="N2318" s="31">
        <v>288704.839999502</v>
      </c>
      <c r="O2318" s="34">
        <f t="shared" si="304"/>
        <v>0.44070342511659971</v>
      </c>
      <c r="P2318" s="34">
        <f t="shared" si="305"/>
        <v>0.76945218880732258</v>
      </c>
      <c r="Q2318" s="34">
        <f t="shared" si="306"/>
        <v>0.55929657488340023</v>
      </c>
      <c r="R2318" s="46">
        <f t="shared" si="307"/>
        <v>51.841414975669238</v>
      </c>
    </row>
    <row r="2319" spans="2:18" ht="12.75" customHeight="1" x14ac:dyDescent="0.25">
      <c r="B2319" s="17" t="s">
        <v>0</v>
      </c>
      <c r="C2319" s="44" t="s">
        <v>50</v>
      </c>
      <c r="D2319" s="22" t="s">
        <v>9</v>
      </c>
      <c r="E2319" s="20">
        <v>2</v>
      </c>
      <c r="F2319" s="17" t="s">
        <v>314</v>
      </c>
      <c r="G2319" s="17" t="s">
        <v>315</v>
      </c>
      <c r="H2319" s="17" t="s">
        <v>316</v>
      </c>
      <c r="I2319" s="17" t="s">
        <v>317</v>
      </c>
      <c r="J2319" s="27" t="s">
        <v>51</v>
      </c>
      <c r="K2319" s="29">
        <v>13854</v>
      </c>
      <c r="L2319" s="31">
        <v>1224660.6900033618</v>
      </c>
      <c r="M2319" s="31">
        <v>284714.68000118854</v>
      </c>
      <c r="N2319" s="31">
        <v>218661.78999957937</v>
      </c>
      <c r="O2319" s="34">
        <f t="shared" si="304"/>
        <v>0.23248454231057827</v>
      </c>
      <c r="P2319" s="34">
        <f t="shared" si="305"/>
        <v>0.76800321640832347</v>
      </c>
      <c r="Q2319" s="34">
        <f t="shared" si="306"/>
        <v>0.76751545768942175</v>
      </c>
      <c r="R2319" s="46">
        <f t="shared" si="307"/>
        <v>15.78329652083004</v>
      </c>
    </row>
    <row r="2320" spans="2:18" ht="12.75" customHeight="1" x14ac:dyDescent="0.25">
      <c r="B2320" s="17" t="s">
        <v>0</v>
      </c>
      <c r="C2320" s="44" t="s">
        <v>54</v>
      </c>
      <c r="D2320" s="22" t="s">
        <v>9</v>
      </c>
      <c r="E2320" s="20">
        <v>2</v>
      </c>
      <c r="F2320" s="17" t="s">
        <v>314</v>
      </c>
      <c r="G2320" s="17" t="s">
        <v>315</v>
      </c>
      <c r="H2320" s="17" t="s">
        <v>316</v>
      </c>
      <c r="I2320" s="17" t="s">
        <v>317</v>
      </c>
      <c r="J2320" s="27" t="s">
        <v>55</v>
      </c>
      <c r="K2320" s="29">
        <v>2186</v>
      </c>
      <c r="L2320" s="31">
        <v>1488749.0000009499</v>
      </c>
      <c r="M2320" s="31">
        <v>249483.859991448</v>
      </c>
      <c r="N2320" s="31">
        <v>196462.860000855</v>
      </c>
      <c r="O2320" s="34">
        <f t="shared" si="304"/>
        <v>0.16757953153371644</v>
      </c>
      <c r="P2320" s="34">
        <f t="shared" si="305"/>
        <v>0.78747723402864422</v>
      </c>
      <c r="Q2320" s="34">
        <f t="shared" si="306"/>
        <v>0.83242046846628359</v>
      </c>
      <c r="R2320" s="46">
        <f t="shared" si="307"/>
        <v>89.873220494444183</v>
      </c>
    </row>
    <row r="2321" spans="2:18" ht="12.75" customHeight="1" x14ac:dyDescent="0.25">
      <c r="B2321" s="17" t="s">
        <v>0</v>
      </c>
      <c r="C2321" s="44" t="s">
        <v>48</v>
      </c>
      <c r="D2321" s="22" t="s">
        <v>9</v>
      </c>
      <c r="E2321" s="20">
        <v>2</v>
      </c>
      <c r="F2321" s="17" t="s">
        <v>314</v>
      </c>
      <c r="G2321" s="17" t="s">
        <v>315</v>
      </c>
      <c r="H2321" s="17" t="s">
        <v>316</v>
      </c>
      <c r="I2321" s="17" t="s">
        <v>317</v>
      </c>
      <c r="J2321" s="27" t="s">
        <v>49</v>
      </c>
      <c r="K2321" s="29">
        <v>1657</v>
      </c>
      <c r="L2321" s="31">
        <v>595159.88000012992</v>
      </c>
      <c r="M2321" s="31">
        <v>164618.15000039601</v>
      </c>
      <c r="N2321" s="31">
        <v>128619.68000033499</v>
      </c>
      <c r="O2321" s="34">
        <f t="shared" si="304"/>
        <v>0.27659483700473908</v>
      </c>
      <c r="P2321" s="34">
        <f t="shared" si="305"/>
        <v>0.78132137920408884</v>
      </c>
      <c r="Q2321" s="34">
        <f t="shared" si="306"/>
        <v>0.72340516299526092</v>
      </c>
      <c r="R2321" s="46">
        <f t="shared" si="307"/>
        <v>77.622015691210009</v>
      </c>
    </row>
    <row r="2322" spans="2:18" ht="12.75" customHeight="1" x14ac:dyDescent="0.25">
      <c r="B2322" s="17" t="s">
        <v>0</v>
      </c>
      <c r="C2322" s="44" t="s">
        <v>44</v>
      </c>
      <c r="D2322" s="22" t="s">
        <v>9</v>
      </c>
      <c r="E2322" s="20">
        <v>2</v>
      </c>
      <c r="F2322" s="17" t="s">
        <v>314</v>
      </c>
      <c r="G2322" s="17" t="s">
        <v>315</v>
      </c>
      <c r="H2322" s="17" t="s">
        <v>316</v>
      </c>
      <c r="I2322" s="17" t="s">
        <v>317</v>
      </c>
      <c r="J2322" s="27" t="s">
        <v>45</v>
      </c>
      <c r="K2322" s="29">
        <v>1591</v>
      </c>
      <c r="L2322" s="31">
        <v>230150.38000002</v>
      </c>
      <c r="M2322" s="31">
        <v>103487.90000012</v>
      </c>
      <c r="N2322" s="31">
        <v>79671.399999831003</v>
      </c>
      <c r="O2322" s="34">
        <f t="shared" si="304"/>
        <v>0.4496533961843166</v>
      </c>
      <c r="P2322" s="34">
        <f t="shared" si="305"/>
        <v>0.76986198386225457</v>
      </c>
      <c r="Q2322" s="34">
        <f t="shared" si="306"/>
        <v>0.55034660381568345</v>
      </c>
      <c r="R2322" s="46">
        <f t="shared" si="307"/>
        <v>50.076304211081712</v>
      </c>
    </row>
    <row r="2323" spans="2:18" ht="12.75" customHeight="1" x14ac:dyDescent="0.25">
      <c r="B2323" s="17" t="s">
        <v>0</v>
      </c>
      <c r="C2323" s="44" t="s">
        <v>82</v>
      </c>
      <c r="D2323" s="22" t="s">
        <v>9</v>
      </c>
      <c r="E2323" s="20">
        <v>2</v>
      </c>
      <c r="F2323" s="17" t="s">
        <v>314</v>
      </c>
      <c r="G2323" s="17" t="s">
        <v>315</v>
      </c>
      <c r="H2323" s="17" t="s">
        <v>316</v>
      </c>
      <c r="I2323" s="17" t="s">
        <v>317</v>
      </c>
      <c r="J2323" s="27" t="s">
        <v>83</v>
      </c>
      <c r="K2323" s="29">
        <v>1884</v>
      </c>
      <c r="L2323" s="31">
        <v>160019.72000029852</v>
      </c>
      <c r="M2323" s="31">
        <v>59233.079999980597</v>
      </c>
      <c r="N2323" s="31">
        <v>44372.159999986703</v>
      </c>
      <c r="O2323" s="34">
        <f t="shared" si="304"/>
        <v>0.37016112764020642</v>
      </c>
      <c r="P2323" s="34">
        <f t="shared" si="305"/>
        <v>0.74911113857326406</v>
      </c>
      <c r="Q2323" s="34">
        <f t="shared" si="306"/>
        <v>0.62983887235979363</v>
      </c>
      <c r="R2323" s="46">
        <f t="shared" si="307"/>
        <v>23.552101910820969</v>
      </c>
    </row>
    <row r="2324" spans="2:18" ht="12.75" customHeight="1" x14ac:dyDescent="0.25">
      <c r="B2324" s="17" t="s">
        <v>0</v>
      </c>
      <c r="C2324" s="44" t="s">
        <v>114</v>
      </c>
      <c r="D2324" s="22" t="s">
        <v>9</v>
      </c>
      <c r="E2324" s="20">
        <v>2</v>
      </c>
      <c r="F2324" s="17" t="s">
        <v>314</v>
      </c>
      <c r="G2324" s="17" t="s">
        <v>315</v>
      </c>
      <c r="H2324" s="17" t="s">
        <v>316</v>
      </c>
      <c r="I2324" s="17" t="s">
        <v>317</v>
      </c>
      <c r="J2324" s="27" t="s">
        <v>118</v>
      </c>
      <c r="K2324" s="29">
        <v>704</v>
      </c>
      <c r="L2324" s="31">
        <v>97131.730000530006</v>
      </c>
      <c r="M2324" s="31">
        <v>48071.619999913994</v>
      </c>
      <c r="N2324" s="31">
        <v>37024.220000206005</v>
      </c>
      <c r="O2324" s="34">
        <f t="shared" si="304"/>
        <v>0.49491160097376713</v>
      </c>
      <c r="P2324" s="34">
        <f t="shared" si="305"/>
        <v>0.77018873090343631</v>
      </c>
      <c r="Q2324" s="34">
        <f t="shared" si="306"/>
        <v>0.50508839902623293</v>
      </c>
      <c r="R2324" s="46">
        <f t="shared" si="307"/>
        <v>52.591221591201709</v>
      </c>
    </row>
    <row r="2325" spans="2:18" ht="12.75" customHeight="1" x14ac:dyDescent="0.25">
      <c r="B2325" s="17" t="s">
        <v>0</v>
      </c>
      <c r="C2325" s="44" t="s">
        <v>170</v>
      </c>
      <c r="D2325" s="22" t="s">
        <v>9</v>
      </c>
      <c r="E2325" s="20">
        <v>2</v>
      </c>
      <c r="F2325" s="17" t="s">
        <v>314</v>
      </c>
      <c r="G2325" s="17" t="s">
        <v>315</v>
      </c>
      <c r="H2325" s="17" t="s">
        <v>316</v>
      </c>
      <c r="I2325" s="17" t="s">
        <v>317</v>
      </c>
      <c r="J2325" s="27" t="s">
        <v>171</v>
      </c>
      <c r="K2325" s="29">
        <v>1531</v>
      </c>
      <c r="L2325" s="31">
        <v>171639.94</v>
      </c>
      <c r="M2325" s="31">
        <v>44739.309999659003</v>
      </c>
      <c r="N2325" s="31">
        <v>33524.890000118001</v>
      </c>
      <c r="O2325" s="34">
        <f t="shared" si="304"/>
        <v>0.26065792145848454</v>
      </c>
      <c r="P2325" s="34">
        <f t="shared" si="305"/>
        <v>0.7493385570848885</v>
      </c>
      <c r="Q2325" s="34">
        <f t="shared" si="306"/>
        <v>0.73934207854151546</v>
      </c>
      <c r="R2325" s="46">
        <f t="shared" si="307"/>
        <v>21.897380796941867</v>
      </c>
    </row>
    <row r="2326" spans="2:18" ht="12.75" customHeight="1" x14ac:dyDescent="0.25">
      <c r="B2326" s="17" t="s">
        <v>0</v>
      </c>
      <c r="C2326" s="44" t="s">
        <v>28</v>
      </c>
      <c r="D2326" s="22" t="s">
        <v>9</v>
      </c>
      <c r="E2326" s="20">
        <v>2</v>
      </c>
      <c r="F2326" s="17" t="s">
        <v>314</v>
      </c>
      <c r="G2326" s="17" t="s">
        <v>315</v>
      </c>
      <c r="H2326" s="17" t="s">
        <v>316</v>
      </c>
      <c r="I2326" s="17" t="s">
        <v>317</v>
      </c>
      <c r="J2326" s="27" t="s">
        <v>29</v>
      </c>
      <c r="K2326" s="29">
        <v>179</v>
      </c>
      <c r="L2326" s="31">
        <v>54892.100000660001</v>
      </c>
      <c r="M2326" s="31">
        <v>21571.999999919997</v>
      </c>
      <c r="N2326" s="31">
        <v>17187.110000057997</v>
      </c>
      <c r="O2326" s="34">
        <f t="shared" si="304"/>
        <v>0.39298915508170801</v>
      </c>
      <c r="P2326" s="34">
        <f t="shared" si="305"/>
        <v>0.79673233822184952</v>
      </c>
      <c r="Q2326" s="34">
        <f t="shared" si="306"/>
        <v>0.60701084491829205</v>
      </c>
      <c r="R2326" s="46">
        <f t="shared" si="307"/>
        <v>96.017374301999979</v>
      </c>
    </row>
    <row r="2327" spans="2:18" ht="12.75" customHeight="1" x14ac:dyDescent="0.25">
      <c r="B2327" s="17" t="s">
        <v>0</v>
      </c>
      <c r="C2327" s="44" t="s">
        <v>24</v>
      </c>
      <c r="D2327" s="22" t="s">
        <v>9</v>
      </c>
      <c r="E2327" s="20">
        <v>2</v>
      </c>
      <c r="F2327" s="17" t="s">
        <v>314</v>
      </c>
      <c r="G2327" s="17" t="s">
        <v>315</v>
      </c>
      <c r="H2327" s="17" t="s">
        <v>316</v>
      </c>
      <c r="I2327" s="17" t="s">
        <v>317</v>
      </c>
      <c r="J2327" s="27" t="s">
        <v>25</v>
      </c>
      <c r="K2327" s="29">
        <v>146</v>
      </c>
      <c r="L2327" s="31">
        <v>50815.999999920001</v>
      </c>
      <c r="M2327" s="31">
        <v>11377.450000215002</v>
      </c>
      <c r="N2327" s="31">
        <v>9064.7999997259994</v>
      </c>
      <c r="O2327" s="34">
        <f t="shared" si="304"/>
        <v>0.22389503306503686</v>
      </c>
      <c r="P2327" s="34">
        <f t="shared" si="305"/>
        <v>0.79673389024383323</v>
      </c>
      <c r="Q2327" s="34">
        <f t="shared" si="306"/>
        <v>0.77610496693496311</v>
      </c>
      <c r="R2327" s="46">
        <f t="shared" si="307"/>
        <v>62.087671230999995</v>
      </c>
    </row>
    <row r="2328" spans="2:18" ht="12.75" customHeight="1" x14ac:dyDescent="0.25">
      <c r="B2328" s="17" t="s">
        <v>0</v>
      </c>
      <c r="C2328" s="44" t="s">
        <v>56</v>
      </c>
      <c r="D2328" s="22" t="s">
        <v>2</v>
      </c>
      <c r="E2328" s="20">
        <v>1</v>
      </c>
      <c r="F2328" s="17" t="s">
        <v>314</v>
      </c>
      <c r="G2328" s="17" t="s">
        <v>315</v>
      </c>
      <c r="H2328" s="17" t="s">
        <v>316</v>
      </c>
      <c r="I2328" s="17" t="s">
        <v>317</v>
      </c>
      <c r="J2328" s="27" t="s">
        <v>57</v>
      </c>
      <c r="K2328" s="29">
        <v>194</v>
      </c>
      <c r="L2328" s="31">
        <v>63639.399999950001</v>
      </c>
      <c r="M2328" s="31">
        <v>6577.82</v>
      </c>
      <c r="N2328" s="31">
        <v>4951.0600000169998</v>
      </c>
      <c r="O2328" s="34">
        <f t="shared" si="304"/>
        <v>0.10336081106995301</v>
      </c>
      <c r="P2328" s="34">
        <f t="shared" si="305"/>
        <v>0.75269010097828759</v>
      </c>
      <c r="Q2328" s="34">
        <f t="shared" si="306"/>
        <v>0.89663918893004702</v>
      </c>
      <c r="R2328" s="46">
        <f t="shared" si="307"/>
        <v>25.520927835139172</v>
      </c>
    </row>
    <row r="2329" spans="2:18" ht="12.75" customHeight="1" x14ac:dyDescent="0.25">
      <c r="B2329" s="17" t="s">
        <v>0</v>
      </c>
      <c r="C2329" s="44" t="s">
        <v>38</v>
      </c>
      <c r="D2329" s="22" t="s">
        <v>9</v>
      </c>
      <c r="E2329" s="20">
        <v>2</v>
      </c>
      <c r="F2329" s="17" t="s">
        <v>314</v>
      </c>
      <c r="G2329" s="17" t="s">
        <v>315</v>
      </c>
      <c r="H2329" s="17" t="s">
        <v>316</v>
      </c>
      <c r="I2329" s="17" t="s">
        <v>317</v>
      </c>
      <c r="J2329" s="27" t="s">
        <v>39</v>
      </c>
      <c r="K2329" s="29">
        <v>93</v>
      </c>
      <c r="L2329" s="31">
        <v>15519.999999990001</v>
      </c>
      <c r="M2329" s="31">
        <v>5915.2799999700001</v>
      </c>
      <c r="N2329" s="31">
        <v>4685.4400000169999</v>
      </c>
      <c r="O2329" s="34">
        <f t="shared" si="304"/>
        <v>0.38113917525604452</v>
      </c>
      <c r="P2329" s="34">
        <f t="shared" si="305"/>
        <v>0.79209099147306006</v>
      </c>
      <c r="Q2329" s="34">
        <f t="shared" si="306"/>
        <v>0.61886082474395554</v>
      </c>
      <c r="R2329" s="46">
        <f t="shared" si="307"/>
        <v>50.381075269</v>
      </c>
    </row>
    <row r="2330" spans="2:18" ht="12.75" customHeight="1" x14ac:dyDescent="0.25">
      <c r="B2330" s="17" t="s">
        <v>0</v>
      </c>
      <c r="C2330" s="44" t="s">
        <v>46</v>
      </c>
      <c r="D2330" s="22" t="s">
        <v>2</v>
      </c>
      <c r="E2330" s="20">
        <v>1</v>
      </c>
      <c r="F2330" s="17" t="s">
        <v>314</v>
      </c>
      <c r="G2330" s="17" t="s">
        <v>315</v>
      </c>
      <c r="H2330" s="17" t="s">
        <v>316</v>
      </c>
      <c r="I2330" s="17" t="s">
        <v>317</v>
      </c>
      <c r="J2330" s="27" t="s">
        <v>47</v>
      </c>
      <c r="K2330" s="29">
        <v>119</v>
      </c>
      <c r="L2330" s="31">
        <v>72063.000000040003</v>
      </c>
      <c r="M2330" s="31">
        <v>6064.5699999850003</v>
      </c>
      <c r="N2330" s="31">
        <v>4111.1499999890002</v>
      </c>
      <c r="O2330" s="34">
        <f t="shared" si="304"/>
        <v>8.4156501949428059E-2</v>
      </c>
      <c r="P2330" s="34">
        <f t="shared" si="305"/>
        <v>0.67789637187783613</v>
      </c>
      <c r="Q2330" s="34">
        <f t="shared" si="306"/>
        <v>0.91584349805057197</v>
      </c>
      <c r="R2330" s="46">
        <f t="shared" si="307"/>
        <v>34.547478991504207</v>
      </c>
    </row>
    <row r="2331" spans="2:18" ht="12.75" customHeight="1" x14ac:dyDescent="0.25">
      <c r="B2331" s="17" t="s">
        <v>0</v>
      </c>
      <c r="C2331" s="44" t="s">
        <v>98</v>
      </c>
      <c r="D2331" s="22" t="s">
        <v>2</v>
      </c>
      <c r="E2331" s="20">
        <v>1</v>
      </c>
      <c r="F2331" s="17" t="s">
        <v>314</v>
      </c>
      <c r="G2331" s="17" t="s">
        <v>315</v>
      </c>
      <c r="H2331" s="17" t="s">
        <v>316</v>
      </c>
      <c r="I2331" s="17" t="s">
        <v>317</v>
      </c>
      <c r="J2331" s="27" t="s">
        <v>102</v>
      </c>
      <c r="K2331" s="29">
        <v>48</v>
      </c>
      <c r="L2331" s="31">
        <v>10337.52</v>
      </c>
      <c r="M2331" s="31">
        <v>3085.639999988</v>
      </c>
      <c r="N2331" s="31">
        <v>2399.5200000120003</v>
      </c>
      <c r="O2331" s="34">
        <f t="shared" si="304"/>
        <v>0.29848938623460947</v>
      </c>
      <c r="P2331" s="34">
        <f t="shared" si="305"/>
        <v>0.77764094321480537</v>
      </c>
      <c r="Q2331" s="34">
        <f t="shared" si="306"/>
        <v>0.70151061376539059</v>
      </c>
      <c r="R2331" s="46">
        <f t="shared" si="307"/>
        <v>49.990000000250006</v>
      </c>
    </row>
    <row r="2332" spans="2:18" ht="12.75" customHeight="1" x14ac:dyDescent="0.25">
      <c r="B2332" s="17" t="s">
        <v>0</v>
      </c>
      <c r="C2332" s="44" t="s">
        <v>18</v>
      </c>
      <c r="D2332" s="22" t="s">
        <v>9</v>
      </c>
      <c r="E2332" s="20">
        <v>2</v>
      </c>
      <c r="F2332" s="17" t="s">
        <v>314</v>
      </c>
      <c r="G2332" s="17" t="s">
        <v>315</v>
      </c>
      <c r="H2332" s="17" t="s">
        <v>316</v>
      </c>
      <c r="I2332" s="17" t="s">
        <v>317</v>
      </c>
      <c r="J2332" s="27" t="s">
        <v>19</v>
      </c>
      <c r="K2332" s="29">
        <v>41</v>
      </c>
      <c r="L2332" s="31">
        <v>16534</v>
      </c>
      <c r="M2332" s="31">
        <v>2893.4599999970001</v>
      </c>
      <c r="N2332" s="31">
        <v>2305.3399999970002</v>
      </c>
      <c r="O2332" s="34">
        <f t="shared" si="304"/>
        <v>0.17500060481414056</v>
      </c>
      <c r="P2332" s="34">
        <f t="shared" si="305"/>
        <v>0.79674161730225768</v>
      </c>
      <c r="Q2332" s="34">
        <f t="shared" si="306"/>
        <v>0.82499939518585941</v>
      </c>
      <c r="R2332" s="46">
        <f t="shared" si="307"/>
        <v>56.227804877975615</v>
      </c>
    </row>
    <row r="2333" spans="2:18" ht="12.75" customHeight="1" x14ac:dyDescent="0.25">
      <c r="B2333" s="17" t="s">
        <v>0</v>
      </c>
      <c r="C2333" s="44" t="s">
        <v>62</v>
      </c>
      <c r="D2333" s="22" t="s">
        <v>9</v>
      </c>
      <c r="E2333" s="20">
        <v>2</v>
      </c>
      <c r="F2333" s="17" t="s">
        <v>314</v>
      </c>
      <c r="G2333" s="17" t="s">
        <v>315</v>
      </c>
      <c r="H2333" s="17" t="s">
        <v>316</v>
      </c>
      <c r="I2333" s="17" t="s">
        <v>317</v>
      </c>
      <c r="J2333" s="27" t="s">
        <v>63</v>
      </c>
      <c r="K2333" s="29">
        <v>21</v>
      </c>
      <c r="L2333" s="31">
        <v>2352</v>
      </c>
      <c r="M2333" s="31">
        <v>1492.559999994</v>
      </c>
      <c r="N2333" s="31">
        <v>1189.200000009</v>
      </c>
      <c r="O2333" s="34">
        <f t="shared" si="304"/>
        <v>0.63459183673214281</v>
      </c>
      <c r="P2333" s="34">
        <f t="shared" si="305"/>
        <v>0.79675188938051433</v>
      </c>
      <c r="Q2333" s="34">
        <f t="shared" si="306"/>
        <v>0.36540816326785719</v>
      </c>
      <c r="R2333" s="46">
        <f t="shared" si="307"/>
        <v>56.628571428999997</v>
      </c>
    </row>
    <row r="2334" spans="2:18" ht="12.75" customHeight="1" x14ac:dyDescent="0.25">
      <c r="B2334" s="17" t="s">
        <v>0</v>
      </c>
      <c r="C2334" s="44" t="s">
        <v>50</v>
      </c>
      <c r="D2334" s="22" t="s">
        <v>2</v>
      </c>
      <c r="E2334" s="20">
        <v>1</v>
      </c>
      <c r="F2334" s="17" t="s">
        <v>314</v>
      </c>
      <c r="G2334" s="17" t="s">
        <v>315</v>
      </c>
      <c r="H2334" s="17" t="s">
        <v>316</v>
      </c>
      <c r="I2334" s="17" t="s">
        <v>317</v>
      </c>
      <c r="J2334" s="27" t="s">
        <v>51</v>
      </c>
      <c r="K2334" s="29">
        <v>22</v>
      </c>
      <c r="L2334" s="31">
        <v>21026.000000060001</v>
      </c>
      <c r="M2334" s="31">
        <v>1427.68000001</v>
      </c>
      <c r="N2334" s="31">
        <v>1109.57999999</v>
      </c>
      <c r="O2334" s="34">
        <f t="shared" si="304"/>
        <v>6.7900694378670495E-2</v>
      </c>
      <c r="P2334" s="34">
        <f t="shared" si="305"/>
        <v>0.77719096715106195</v>
      </c>
      <c r="Q2334" s="34">
        <f t="shared" si="306"/>
        <v>0.93209930562132948</v>
      </c>
      <c r="R2334" s="46">
        <f t="shared" si="307"/>
        <v>50.435454544999999</v>
      </c>
    </row>
    <row r="2335" spans="2:18" ht="12.75" customHeight="1" x14ac:dyDescent="0.25">
      <c r="B2335" s="17" t="s">
        <v>0</v>
      </c>
      <c r="C2335" s="44" t="s">
        <v>36</v>
      </c>
      <c r="D2335" s="22" t="s">
        <v>2</v>
      </c>
      <c r="E2335" s="20">
        <v>1</v>
      </c>
      <c r="F2335" s="17" t="s">
        <v>314</v>
      </c>
      <c r="G2335" s="17" t="s">
        <v>315</v>
      </c>
      <c r="H2335" s="17" t="s">
        <v>316</v>
      </c>
      <c r="I2335" s="17" t="s">
        <v>317</v>
      </c>
      <c r="J2335" s="27" t="s">
        <v>37</v>
      </c>
      <c r="K2335" s="29">
        <v>31</v>
      </c>
      <c r="L2335" s="31">
        <v>9672</v>
      </c>
      <c r="M2335" s="31">
        <v>1278.390000007</v>
      </c>
      <c r="N2335" s="31">
        <v>885.87000000299997</v>
      </c>
      <c r="O2335" s="34">
        <f t="shared" si="304"/>
        <v>0.13217431761858975</v>
      </c>
      <c r="P2335" s="34">
        <f t="shared" si="305"/>
        <v>0.69295754816460486</v>
      </c>
      <c r="Q2335" s="34">
        <f t="shared" si="306"/>
        <v>0.86782568238141022</v>
      </c>
      <c r="R2335" s="46">
        <f t="shared" si="307"/>
        <v>28.576451613</v>
      </c>
    </row>
    <row r="2336" spans="2:18" ht="12.75" customHeight="1" x14ac:dyDescent="0.25">
      <c r="B2336" s="17" t="s">
        <v>0</v>
      </c>
      <c r="C2336" s="44" t="s">
        <v>18</v>
      </c>
      <c r="D2336" s="22" t="s">
        <v>2</v>
      </c>
      <c r="E2336" s="20">
        <v>1</v>
      </c>
      <c r="F2336" s="17" t="s">
        <v>314</v>
      </c>
      <c r="G2336" s="17" t="s">
        <v>315</v>
      </c>
      <c r="H2336" s="17" t="s">
        <v>316</v>
      </c>
      <c r="I2336" s="17" t="s">
        <v>317</v>
      </c>
      <c r="J2336" s="27" t="s">
        <v>19</v>
      </c>
      <c r="K2336" s="29">
        <v>33</v>
      </c>
      <c r="L2336" s="31">
        <v>8113.0000000199998</v>
      </c>
      <c r="M2336" s="31">
        <v>940.4</v>
      </c>
      <c r="N2336" s="31">
        <v>749</v>
      </c>
      <c r="O2336" s="34">
        <f t="shared" si="304"/>
        <v>0.11591273265101464</v>
      </c>
      <c r="P2336" s="34">
        <f t="shared" si="305"/>
        <v>0.79646958740961293</v>
      </c>
      <c r="Q2336" s="34">
        <f t="shared" si="306"/>
        <v>0.88408726734898535</v>
      </c>
      <c r="R2336" s="46">
        <f t="shared" si="307"/>
        <v>22.696969696969695</v>
      </c>
    </row>
    <row r="2337" spans="2:18" ht="12.75" customHeight="1" thickBot="1" x14ac:dyDescent="0.3">
      <c r="B2337" s="15" t="s">
        <v>0</v>
      </c>
      <c r="C2337" s="50" t="s">
        <v>26</v>
      </c>
      <c r="D2337" s="19" t="s">
        <v>2</v>
      </c>
      <c r="E2337" s="16">
        <v>1</v>
      </c>
      <c r="F2337" s="15" t="s">
        <v>314</v>
      </c>
      <c r="G2337" s="15" t="s">
        <v>315</v>
      </c>
      <c r="H2337" s="15" t="s">
        <v>316</v>
      </c>
      <c r="I2337" s="15" t="s">
        <v>317</v>
      </c>
      <c r="J2337" s="24" t="s">
        <v>27</v>
      </c>
      <c r="K2337" s="26">
        <v>27</v>
      </c>
      <c r="L2337" s="28">
        <v>6597.00000009</v>
      </c>
      <c r="M2337" s="28">
        <v>755.25999999400005</v>
      </c>
      <c r="N2337" s="28">
        <v>601.56000000599988</v>
      </c>
      <c r="O2337" s="32">
        <f t="shared" si="304"/>
        <v>0.11448537213637962</v>
      </c>
      <c r="P2337" s="32">
        <f t="shared" si="305"/>
        <v>0.79649392263694463</v>
      </c>
      <c r="Q2337" s="32">
        <f t="shared" si="306"/>
        <v>0.88551462786362034</v>
      </c>
      <c r="R2337" s="49">
        <f t="shared" si="307"/>
        <v>22.280000000222216</v>
      </c>
    </row>
    <row r="2338" spans="2:18" ht="17.25" customHeight="1" x14ac:dyDescent="0.25">
      <c r="B2338" s="48"/>
      <c r="C2338" s="58"/>
      <c r="D2338" s="51" t="s">
        <v>366</v>
      </c>
      <c r="E2338" s="52"/>
      <c r="F2338" s="52"/>
      <c r="G2338" s="53"/>
      <c r="H2338" s="53"/>
      <c r="I2338" s="53"/>
      <c r="J2338" s="54"/>
      <c r="K2338" s="55">
        <f>SUM(K2305:K2337)</f>
        <v>6897029</v>
      </c>
      <c r="L2338" s="56">
        <f>SUM(L2305:L2337)</f>
        <v>739506271.57991612</v>
      </c>
      <c r="M2338" s="56">
        <f>SUM(M2305:M2337)</f>
        <v>242239665.5399262</v>
      </c>
      <c r="N2338" s="56">
        <f>SUM(N2305:N2337)</f>
        <v>192561592.02002075</v>
      </c>
      <c r="O2338" s="57">
        <f>IFERROR(M2338/L2338,0)</f>
        <v>0.32756945390387826</v>
      </c>
      <c r="P2338" s="57">
        <f>IFERROR(N2338/M2338,0)</f>
        <v>0.79492180436602589</v>
      </c>
      <c r="Q2338" s="57">
        <f>IFERROR(1-(M2338/L2338),0)</f>
        <v>0.67243054609612174</v>
      </c>
      <c r="R2338" s="59">
        <f>IFERROR(N2338/K2338,0)</f>
        <v>27.919498673997275</v>
      </c>
    </row>
    <row r="2339" spans="2:18" ht="15.75" thickBot="1" x14ac:dyDescent="0.3">
      <c r="B2339" s="60"/>
      <c r="C2339" s="64"/>
      <c r="D2339" s="62" t="s">
        <v>317</v>
      </c>
      <c r="E2339" s="61"/>
      <c r="F2339" s="61"/>
      <c r="G2339" s="61"/>
      <c r="H2339" s="61"/>
      <c r="I2339" s="61"/>
      <c r="J2339" s="61"/>
      <c r="K2339" s="63"/>
      <c r="L2339" s="63"/>
      <c r="M2339" s="63"/>
      <c r="N2339" s="63"/>
      <c r="O2339" s="63"/>
      <c r="P2339" s="63"/>
      <c r="Q2339" s="63"/>
      <c r="R2339" s="65"/>
    </row>
    <row r="2340" spans="2:18" ht="15.75" thickBot="1" x14ac:dyDescent="0.3"/>
    <row r="2341" spans="2:18" ht="15.75" x14ac:dyDescent="0.25">
      <c r="B2341" s="1"/>
      <c r="C2341" s="7" t="s">
        <v>348</v>
      </c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9"/>
    </row>
    <row r="2342" spans="2:18" ht="18" x14ac:dyDescent="0.25">
      <c r="B2342" s="2"/>
      <c r="C2342" s="8" t="s">
        <v>320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10"/>
    </row>
    <row r="2343" spans="2:18" ht="15.75" thickBot="1" x14ac:dyDescent="0.3">
      <c r="B2343" s="3"/>
      <c r="C2343" s="11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12"/>
    </row>
    <row r="2344" spans="2:18" ht="17.25" customHeight="1" thickBot="1" x14ac:dyDescent="0.3">
      <c r="B2344" s="14" t="s">
        <v>349</v>
      </c>
      <c r="C2344" s="18" t="s">
        <v>350</v>
      </c>
      <c r="D2344" s="21" t="s">
        <v>351</v>
      </c>
      <c r="E2344" s="23" t="s">
        <v>352</v>
      </c>
      <c r="F2344" s="21" t="s">
        <v>353</v>
      </c>
      <c r="G2344" s="23" t="s">
        <v>354</v>
      </c>
      <c r="H2344" s="23" t="s">
        <v>355</v>
      </c>
      <c r="I2344" s="23" t="s">
        <v>356</v>
      </c>
      <c r="J2344" s="25" t="s">
        <v>357</v>
      </c>
      <c r="K2344" s="25" t="s">
        <v>358</v>
      </c>
      <c r="L2344" s="30" t="s">
        <v>359</v>
      </c>
      <c r="M2344" s="30" t="s">
        <v>360</v>
      </c>
      <c r="N2344" s="30" t="s">
        <v>361</v>
      </c>
      <c r="O2344" s="33" t="s">
        <v>362</v>
      </c>
      <c r="P2344" s="33" t="s">
        <v>363</v>
      </c>
      <c r="Q2344" s="33" t="s">
        <v>364</v>
      </c>
      <c r="R2344" s="35" t="s">
        <v>365</v>
      </c>
    </row>
    <row r="2345" spans="2:18" ht="12.75" customHeight="1" x14ac:dyDescent="0.25">
      <c r="B2345" s="17" t="s">
        <v>0</v>
      </c>
      <c r="C2345" s="43" t="s">
        <v>24</v>
      </c>
      <c r="D2345" s="37" t="s">
        <v>9</v>
      </c>
      <c r="E2345" s="36">
        <v>2</v>
      </c>
      <c r="F2345" s="38" t="s">
        <v>314</v>
      </c>
      <c r="G2345" s="38" t="s">
        <v>318</v>
      </c>
      <c r="H2345" s="38" t="s">
        <v>319</v>
      </c>
      <c r="I2345" s="38" t="s">
        <v>320</v>
      </c>
      <c r="J2345" s="39" t="s">
        <v>25</v>
      </c>
      <c r="K2345" s="40">
        <v>156947</v>
      </c>
      <c r="L2345" s="41">
        <v>102604441.90995246</v>
      </c>
      <c r="M2345" s="41">
        <v>44830615.910007633</v>
      </c>
      <c r="N2345" s="41">
        <v>35232348.319993235</v>
      </c>
      <c r="O2345" s="42">
        <f t="shared" ref="O2345:O2368" si="308">IFERROR(M2345/L2345,0)</f>
        <v>0.43692665810074582</v>
      </c>
      <c r="P2345" s="42">
        <f t="shared" ref="P2345:P2368" si="309">IFERROR(N2345/M2345,0)</f>
        <v>0.78589927005950955</v>
      </c>
      <c r="Q2345" s="42">
        <f t="shared" ref="Q2345:Q2368" si="310">IFERROR(1-(M2345/L2345),0)</f>
        <v>0.56307334189925418</v>
      </c>
      <c r="R2345" s="45">
        <f t="shared" ref="R2345:R2368" si="311">IFERROR(N2345/K2345,0)</f>
        <v>224.48564368859064</v>
      </c>
    </row>
    <row r="2346" spans="2:18" ht="12.75" customHeight="1" x14ac:dyDescent="0.25">
      <c r="B2346" s="17" t="s">
        <v>0</v>
      </c>
      <c r="C2346" s="44" t="s">
        <v>30</v>
      </c>
      <c r="D2346" s="22" t="s">
        <v>9</v>
      </c>
      <c r="E2346" s="20">
        <v>2</v>
      </c>
      <c r="F2346" s="17" t="s">
        <v>314</v>
      </c>
      <c r="G2346" s="17" t="s">
        <v>318</v>
      </c>
      <c r="H2346" s="17" t="s">
        <v>319</v>
      </c>
      <c r="I2346" s="17" t="s">
        <v>320</v>
      </c>
      <c r="J2346" s="27" t="s">
        <v>31</v>
      </c>
      <c r="K2346" s="29">
        <v>14371</v>
      </c>
      <c r="L2346" s="31">
        <v>6913721.589995834</v>
      </c>
      <c r="M2346" s="31">
        <v>3224732.8700061459</v>
      </c>
      <c r="N2346" s="31">
        <v>2529677.2700046753</v>
      </c>
      <c r="O2346" s="34">
        <f t="shared" si="308"/>
        <v>0.4664250401220002</v>
      </c>
      <c r="P2346" s="34">
        <f t="shared" si="309"/>
        <v>0.78446103041082405</v>
      </c>
      <c r="Q2346" s="34">
        <f t="shared" si="310"/>
        <v>0.53357495987799974</v>
      </c>
      <c r="R2346" s="46">
        <f t="shared" si="311"/>
        <v>176.02653051316369</v>
      </c>
    </row>
    <row r="2347" spans="2:18" ht="12.75" customHeight="1" x14ac:dyDescent="0.25">
      <c r="B2347" s="17" t="s">
        <v>0</v>
      </c>
      <c r="C2347" s="44" t="s">
        <v>24</v>
      </c>
      <c r="D2347" s="22" t="s">
        <v>2</v>
      </c>
      <c r="E2347" s="20">
        <v>1</v>
      </c>
      <c r="F2347" s="17" t="s">
        <v>314</v>
      </c>
      <c r="G2347" s="17" t="s">
        <v>318</v>
      </c>
      <c r="H2347" s="17" t="s">
        <v>319</v>
      </c>
      <c r="I2347" s="17" t="s">
        <v>320</v>
      </c>
      <c r="J2347" s="27" t="s">
        <v>25</v>
      </c>
      <c r="K2347" s="29">
        <v>31662</v>
      </c>
      <c r="L2347" s="31">
        <v>10105927.019998211</v>
      </c>
      <c r="M2347" s="31">
        <v>2590455.6100014085</v>
      </c>
      <c r="N2347" s="31">
        <v>2041725.6100008762</v>
      </c>
      <c r="O2347" s="34">
        <f t="shared" si="308"/>
        <v>0.25633033019882889</v>
      </c>
      <c r="P2347" s="34">
        <f t="shared" si="309"/>
        <v>0.78817239798205463</v>
      </c>
      <c r="Q2347" s="34">
        <f t="shared" si="310"/>
        <v>0.74366966980117111</v>
      </c>
      <c r="R2347" s="46">
        <f t="shared" si="311"/>
        <v>64.485048638774444</v>
      </c>
    </row>
    <row r="2348" spans="2:18" ht="12.75" customHeight="1" x14ac:dyDescent="0.25">
      <c r="B2348" s="17" t="s">
        <v>0</v>
      </c>
      <c r="C2348" s="44" t="s">
        <v>62</v>
      </c>
      <c r="D2348" s="22" t="s">
        <v>9</v>
      </c>
      <c r="E2348" s="20">
        <v>2</v>
      </c>
      <c r="F2348" s="17" t="s">
        <v>314</v>
      </c>
      <c r="G2348" s="17" t="s">
        <v>318</v>
      </c>
      <c r="H2348" s="17" t="s">
        <v>319</v>
      </c>
      <c r="I2348" s="17" t="s">
        <v>320</v>
      </c>
      <c r="J2348" s="27" t="s">
        <v>63</v>
      </c>
      <c r="K2348" s="29">
        <v>1787</v>
      </c>
      <c r="L2348" s="31">
        <v>604443.46000090998</v>
      </c>
      <c r="M2348" s="31">
        <v>323654.65999973007</v>
      </c>
      <c r="N2348" s="31">
        <v>253262.63999793003</v>
      </c>
      <c r="O2348" s="34">
        <f t="shared" si="308"/>
        <v>0.53545894929402138</v>
      </c>
      <c r="P2348" s="34">
        <f t="shared" si="309"/>
        <v>0.78250886299039002</v>
      </c>
      <c r="Q2348" s="34">
        <f t="shared" si="310"/>
        <v>0.46454105070597862</v>
      </c>
      <c r="R2348" s="46">
        <f t="shared" si="311"/>
        <v>141.72503637265251</v>
      </c>
    </row>
    <row r="2349" spans="2:18" ht="12.75" customHeight="1" x14ac:dyDescent="0.25">
      <c r="B2349" s="17" t="s">
        <v>0</v>
      </c>
      <c r="C2349" s="44" t="s">
        <v>22</v>
      </c>
      <c r="D2349" s="22" t="s">
        <v>9</v>
      </c>
      <c r="E2349" s="20">
        <v>2</v>
      </c>
      <c r="F2349" s="17" t="s">
        <v>314</v>
      </c>
      <c r="G2349" s="17" t="s">
        <v>318</v>
      </c>
      <c r="H2349" s="17" t="s">
        <v>319</v>
      </c>
      <c r="I2349" s="17" t="s">
        <v>320</v>
      </c>
      <c r="J2349" s="27" t="s">
        <v>23</v>
      </c>
      <c r="K2349" s="29">
        <v>2680</v>
      </c>
      <c r="L2349" s="31">
        <v>1299433.4400007152</v>
      </c>
      <c r="M2349" s="31">
        <v>319176.71999801509</v>
      </c>
      <c r="N2349" s="31">
        <v>242770.79999972996</v>
      </c>
      <c r="O2349" s="34">
        <f t="shared" si="308"/>
        <v>0.24562760213238735</v>
      </c>
      <c r="P2349" s="34">
        <f t="shared" si="309"/>
        <v>0.76061562385013459</v>
      </c>
      <c r="Q2349" s="34">
        <f t="shared" si="310"/>
        <v>0.75437239786761268</v>
      </c>
      <c r="R2349" s="46">
        <f t="shared" si="311"/>
        <v>90.586119402884322</v>
      </c>
    </row>
    <row r="2350" spans="2:18" ht="12.75" customHeight="1" x14ac:dyDescent="0.25">
      <c r="B2350" s="17" t="s">
        <v>0</v>
      </c>
      <c r="C2350" s="44" t="s">
        <v>30</v>
      </c>
      <c r="D2350" s="22" t="s">
        <v>2</v>
      </c>
      <c r="E2350" s="20">
        <v>1</v>
      </c>
      <c r="F2350" s="17" t="s">
        <v>314</v>
      </c>
      <c r="G2350" s="17" t="s">
        <v>318</v>
      </c>
      <c r="H2350" s="17" t="s">
        <v>319</v>
      </c>
      <c r="I2350" s="17" t="s">
        <v>320</v>
      </c>
      <c r="J2350" s="27" t="s">
        <v>31</v>
      </c>
      <c r="K2350" s="29">
        <v>2504</v>
      </c>
      <c r="L2350" s="31">
        <v>815370.11999817006</v>
      </c>
      <c r="M2350" s="31">
        <v>261192.37999922203</v>
      </c>
      <c r="N2350" s="31">
        <v>206040.09000035704</v>
      </c>
      <c r="O2350" s="34">
        <f t="shared" si="308"/>
        <v>0.32033597208566855</v>
      </c>
      <c r="P2350" s="34">
        <f t="shared" si="309"/>
        <v>0.78884418450863969</v>
      </c>
      <c r="Q2350" s="34">
        <f t="shared" si="310"/>
        <v>0.67966402791433145</v>
      </c>
      <c r="R2350" s="46">
        <f t="shared" si="311"/>
        <v>82.284380990557921</v>
      </c>
    </row>
    <row r="2351" spans="2:18" ht="12.75" customHeight="1" x14ac:dyDescent="0.25">
      <c r="B2351" s="17" t="s">
        <v>0</v>
      </c>
      <c r="C2351" s="44" t="s">
        <v>46</v>
      </c>
      <c r="D2351" s="22" t="s">
        <v>9</v>
      </c>
      <c r="E2351" s="20">
        <v>2</v>
      </c>
      <c r="F2351" s="17" t="s">
        <v>314</v>
      </c>
      <c r="G2351" s="17" t="s">
        <v>318</v>
      </c>
      <c r="H2351" s="17" t="s">
        <v>319</v>
      </c>
      <c r="I2351" s="17" t="s">
        <v>320</v>
      </c>
      <c r="J2351" s="27" t="s">
        <v>47</v>
      </c>
      <c r="K2351" s="29">
        <v>1059</v>
      </c>
      <c r="L2351" s="31">
        <v>464400.19000019995</v>
      </c>
      <c r="M2351" s="31">
        <v>122721.36000006662</v>
      </c>
      <c r="N2351" s="31">
        <v>96183.949999293924</v>
      </c>
      <c r="O2351" s="34">
        <f t="shared" si="308"/>
        <v>0.26425777302118197</v>
      </c>
      <c r="P2351" s="34">
        <f t="shared" si="309"/>
        <v>0.78375883382682288</v>
      </c>
      <c r="Q2351" s="34">
        <f t="shared" si="310"/>
        <v>0.73574222697881808</v>
      </c>
      <c r="R2351" s="46">
        <f t="shared" si="311"/>
        <v>90.825259678275657</v>
      </c>
    </row>
    <row r="2352" spans="2:18" ht="12.75" customHeight="1" x14ac:dyDescent="0.25">
      <c r="B2352" s="17" t="s">
        <v>0</v>
      </c>
      <c r="C2352" s="44" t="s">
        <v>50</v>
      </c>
      <c r="D2352" s="22" t="s">
        <v>9</v>
      </c>
      <c r="E2352" s="20">
        <v>2</v>
      </c>
      <c r="F2352" s="17" t="s">
        <v>314</v>
      </c>
      <c r="G2352" s="17" t="s">
        <v>318</v>
      </c>
      <c r="H2352" s="17" t="s">
        <v>319</v>
      </c>
      <c r="I2352" s="17" t="s">
        <v>320</v>
      </c>
      <c r="J2352" s="27" t="s">
        <v>51</v>
      </c>
      <c r="K2352" s="29">
        <v>296</v>
      </c>
      <c r="L2352" s="31">
        <v>156460</v>
      </c>
      <c r="M2352" s="31">
        <v>69246.529999599996</v>
      </c>
      <c r="N2352" s="31">
        <v>52275.350000559993</v>
      </c>
      <c r="O2352" s="34">
        <f t="shared" si="308"/>
        <v>0.44258296049852996</v>
      </c>
      <c r="P2352" s="34">
        <f t="shared" si="309"/>
        <v>0.75491652795976871</v>
      </c>
      <c r="Q2352" s="34">
        <f t="shared" si="310"/>
        <v>0.55741703950147004</v>
      </c>
      <c r="R2352" s="46">
        <f t="shared" si="311"/>
        <v>176.60591216405402</v>
      </c>
    </row>
    <row r="2353" spans="2:18" ht="12.75" customHeight="1" x14ac:dyDescent="0.25">
      <c r="B2353" s="17" t="s">
        <v>0</v>
      </c>
      <c r="C2353" s="44" t="s">
        <v>46</v>
      </c>
      <c r="D2353" s="22" t="s">
        <v>2</v>
      </c>
      <c r="E2353" s="20">
        <v>1</v>
      </c>
      <c r="F2353" s="17" t="s">
        <v>314</v>
      </c>
      <c r="G2353" s="17" t="s">
        <v>318</v>
      </c>
      <c r="H2353" s="17" t="s">
        <v>319</v>
      </c>
      <c r="I2353" s="17" t="s">
        <v>320</v>
      </c>
      <c r="J2353" s="27" t="s">
        <v>47</v>
      </c>
      <c r="K2353" s="29">
        <v>923</v>
      </c>
      <c r="L2353" s="31">
        <v>269804.40000008</v>
      </c>
      <c r="M2353" s="31">
        <v>53429.069999945001</v>
      </c>
      <c r="N2353" s="31">
        <v>42332.429999987005</v>
      </c>
      <c r="O2353" s="34">
        <f t="shared" si="308"/>
        <v>0.1980289053845273</v>
      </c>
      <c r="P2353" s="34">
        <f t="shared" si="309"/>
        <v>0.79231081506810019</v>
      </c>
      <c r="Q2353" s="34">
        <f t="shared" si="310"/>
        <v>0.80197109461547267</v>
      </c>
      <c r="R2353" s="46">
        <f t="shared" si="311"/>
        <v>45.863954496193941</v>
      </c>
    </row>
    <row r="2354" spans="2:18" ht="12.75" customHeight="1" x14ac:dyDescent="0.25">
      <c r="B2354" s="17" t="s">
        <v>0</v>
      </c>
      <c r="C2354" s="44" t="s">
        <v>36</v>
      </c>
      <c r="D2354" s="22" t="s">
        <v>2</v>
      </c>
      <c r="E2354" s="20">
        <v>1</v>
      </c>
      <c r="F2354" s="17" t="s">
        <v>314</v>
      </c>
      <c r="G2354" s="17" t="s">
        <v>318</v>
      </c>
      <c r="H2354" s="17" t="s">
        <v>319</v>
      </c>
      <c r="I2354" s="17" t="s">
        <v>320</v>
      </c>
      <c r="J2354" s="27" t="s">
        <v>37</v>
      </c>
      <c r="K2354" s="29">
        <v>174</v>
      </c>
      <c r="L2354" s="31">
        <v>195122.99999996999</v>
      </c>
      <c r="M2354" s="31">
        <v>54073.01999991</v>
      </c>
      <c r="N2354" s="31">
        <v>42325.280000110004</v>
      </c>
      <c r="O2354" s="34">
        <f t="shared" si="308"/>
        <v>0.27712273796486481</v>
      </c>
      <c r="P2354" s="34">
        <f t="shared" si="309"/>
        <v>0.78274303895326081</v>
      </c>
      <c r="Q2354" s="34">
        <f t="shared" si="310"/>
        <v>0.72287726203513514</v>
      </c>
      <c r="R2354" s="46">
        <f t="shared" si="311"/>
        <v>243.24873563281611</v>
      </c>
    </row>
    <row r="2355" spans="2:18" ht="12.75" customHeight="1" x14ac:dyDescent="0.25">
      <c r="B2355" s="17" t="s">
        <v>0</v>
      </c>
      <c r="C2355" s="44" t="s">
        <v>66</v>
      </c>
      <c r="D2355" s="22" t="s">
        <v>2</v>
      </c>
      <c r="E2355" s="20">
        <v>1</v>
      </c>
      <c r="F2355" s="17" t="s">
        <v>314</v>
      </c>
      <c r="G2355" s="17" t="s">
        <v>318</v>
      </c>
      <c r="H2355" s="17" t="s">
        <v>319</v>
      </c>
      <c r="I2355" s="17" t="s">
        <v>320</v>
      </c>
      <c r="J2355" s="27" t="s">
        <v>67</v>
      </c>
      <c r="K2355" s="29">
        <v>134</v>
      </c>
      <c r="L2355" s="31">
        <v>53568.980000279997</v>
      </c>
      <c r="M2355" s="31">
        <v>38909.359999603999</v>
      </c>
      <c r="N2355" s="31">
        <v>31004.699999924</v>
      </c>
      <c r="O2355" s="34">
        <f t="shared" si="308"/>
        <v>0.72634125195963462</v>
      </c>
      <c r="P2355" s="34">
        <f t="shared" si="309"/>
        <v>0.79684425547579174</v>
      </c>
      <c r="Q2355" s="34">
        <f t="shared" si="310"/>
        <v>0.27365874804036538</v>
      </c>
      <c r="R2355" s="46">
        <f t="shared" si="311"/>
        <v>231.37835820838805</v>
      </c>
    </row>
    <row r="2356" spans="2:18" ht="12.75" customHeight="1" x14ac:dyDescent="0.25">
      <c r="B2356" s="17" t="s">
        <v>0</v>
      </c>
      <c r="C2356" s="44" t="s">
        <v>62</v>
      </c>
      <c r="D2356" s="22" t="s">
        <v>2</v>
      </c>
      <c r="E2356" s="20">
        <v>1</v>
      </c>
      <c r="F2356" s="17" t="s">
        <v>314</v>
      </c>
      <c r="G2356" s="17" t="s">
        <v>318</v>
      </c>
      <c r="H2356" s="17" t="s">
        <v>319</v>
      </c>
      <c r="I2356" s="17" t="s">
        <v>320</v>
      </c>
      <c r="J2356" s="27" t="s">
        <v>63</v>
      </c>
      <c r="K2356" s="29">
        <v>476</v>
      </c>
      <c r="L2356" s="31">
        <v>85165.000000038999</v>
      </c>
      <c r="M2356" s="31">
        <v>31635.470000037003</v>
      </c>
      <c r="N2356" s="31">
        <v>24851.589999827003</v>
      </c>
      <c r="O2356" s="34">
        <f t="shared" si="308"/>
        <v>0.37146092878556353</v>
      </c>
      <c r="P2356" s="34">
        <f t="shared" si="309"/>
        <v>0.78556095420102612</v>
      </c>
      <c r="Q2356" s="34">
        <f t="shared" si="310"/>
        <v>0.62853907121443653</v>
      </c>
      <c r="R2356" s="46">
        <f t="shared" si="311"/>
        <v>52.209222688712195</v>
      </c>
    </row>
    <row r="2357" spans="2:18" ht="12.75" customHeight="1" x14ac:dyDescent="0.25">
      <c r="B2357" s="17" t="s">
        <v>0</v>
      </c>
      <c r="C2357" s="44" t="s">
        <v>22</v>
      </c>
      <c r="D2357" s="22" t="s">
        <v>2</v>
      </c>
      <c r="E2357" s="20">
        <v>1</v>
      </c>
      <c r="F2357" s="17" t="s">
        <v>314</v>
      </c>
      <c r="G2357" s="17" t="s">
        <v>318</v>
      </c>
      <c r="H2357" s="17" t="s">
        <v>319</v>
      </c>
      <c r="I2357" s="17" t="s">
        <v>320</v>
      </c>
      <c r="J2357" s="27" t="s">
        <v>23</v>
      </c>
      <c r="K2357" s="29">
        <v>301</v>
      </c>
      <c r="L2357" s="31">
        <v>125193.799999604</v>
      </c>
      <c r="M2357" s="31">
        <v>25967.420000049999</v>
      </c>
      <c r="N2357" s="31">
        <v>20203.779999977996</v>
      </c>
      <c r="O2357" s="34">
        <f t="shared" si="308"/>
        <v>0.20741777947575787</v>
      </c>
      <c r="P2357" s="34">
        <f t="shared" si="309"/>
        <v>0.77804340977806408</v>
      </c>
      <c r="Q2357" s="34">
        <f t="shared" si="310"/>
        <v>0.7925822205242421</v>
      </c>
      <c r="R2357" s="46">
        <f t="shared" si="311"/>
        <v>67.122192690956794</v>
      </c>
    </row>
    <row r="2358" spans="2:18" ht="12.75" customHeight="1" x14ac:dyDescent="0.25">
      <c r="B2358" s="17" t="s">
        <v>0</v>
      </c>
      <c r="C2358" s="44" t="s">
        <v>64</v>
      </c>
      <c r="D2358" s="22" t="s">
        <v>9</v>
      </c>
      <c r="E2358" s="20">
        <v>2</v>
      </c>
      <c r="F2358" s="17" t="s">
        <v>314</v>
      </c>
      <c r="G2358" s="17" t="s">
        <v>318</v>
      </c>
      <c r="H2358" s="17" t="s">
        <v>319</v>
      </c>
      <c r="I2358" s="17" t="s">
        <v>320</v>
      </c>
      <c r="J2358" s="27" t="s">
        <v>65</v>
      </c>
      <c r="K2358" s="29">
        <v>209</v>
      </c>
      <c r="L2358" s="31">
        <v>95713.779999999984</v>
      </c>
      <c r="M2358" s="31">
        <v>24894.9399992</v>
      </c>
      <c r="N2358" s="31">
        <v>18404.200000020996</v>
      </c>
      <c r="O2358" s="34">
        <f t="shared" si="308"/>
        <v>0.26009776229922177</v>
      </c>
      <c r="P2358" s="34">
        <f t="shared" si="309"/>
        <v>0.73927472814204076</v>
      </c>
      <c r="Q2358" s="34">
        <f t="shared" si="310"/>
        <v>0.73990223770077823</v>
      </c>
      <c r="R2358" s="46">
        <f t="shared" si="311"/>
        <v>88.058373205842088</v>
      </c>
    </row>
    <row r="2359" spans="2:18" ht="12.75" customHeight="1" x14ac:dyDescent="0.25">
      <c r="B2359" s="17" t="s">
        <v>0</v>
      </c>
      <c r="C2359" s="44" t="s">
        <v>98</v>
      </c>
      <c r="D2359" s="22" t="s">
        <v>2</v>
      </c>
      <c r="E2359" s="20">
        <v>1</v>
      </c>
      <c r="F2359" s="17" t="s">
        <v>314</v>
      </c>
      <c r="G2359" s="17" t="s">
        <v>318</v>
      </c>
      <c r="H2359" s="17" t="s">
        <v>319</v>
      </c>
      <c r="I2359" s="17" t="s">
        <v>320</v>
      </c>
      <c r="J2359" s="27" t="s">
        <v>102</v>
      </c>
      <c r="K2359" s="29">
        <v>17</v>
      </c>
      <c r="L2359" s="31">
        <v>85901</v>
      </c>
      <c r="M2359" s="31">
        <v>22987.340000200002</v>
      </c>
      <c r="N2359" s="31">
        <v>18368.940000800001</v>
      </c>
      <c r="O2359" s="34">
        <f t="shared" si="308"/>
        <v>0.26760270544231152</v>
      </c>
      <c r="P2359" s="34">
        <f t="shared" si="309"/>
        <v>0.79908941185192295</v>
      </c>
      <c r="Q2359" s="34">
        <f t="shared" si="310"/>
        <v>0.73239729455768843</v>
      </c>
      <c r="R2359" s="46">
        <f t="shared" si="311"/>
        <v>1080.5258824</v>
      </c>
    </row>
    <row r="2360" spans="2:18" ht="12.75" customHeight="1" x14ac:dyDescent="0.25">
      <c r="B2360" s="17" t="s">
        <v>0</v>
      </c>
      <c r="C2360" s="44" t="s">
        <v>36</v>
      </c>
      <c r="D2360" s="22" t="s">
        <v>9</v>
      </c>
      <c r="E2360" s="20">
        <v>2</v>
      </c>
      <c r="F2360" s="17" t="s">
        <v>314</v>
      </c>
      <c r="G2360" s="17" t="s">
        <v>318</v>
      </c>
      <c r="H2360" s="17" t="s">
        <v>319</v>
      </c>
      <c r="I2360" s="17" t="s">
        <v>320</v>
      </c>
      <c r="J2360" s="27" t="s">
        <v>37</v>
      </c>
      <c r="K2360" s="29">
        <v>146</v>
      </c>
      <c r="L2360" s="31">
        <v>63034.000000119995</v>
      </c>
      <c r="M2360" s="31">
        <v>17813.490000009999</v>
      </c>
      <c r="N2360" s="31">
        <v>13833.309999962001</v>
      </c>
      <c r="O2360" s="34">
        <f t="shared" si="308"/>
        <v>0.28260129453907556</v>
      </c>
      <c r="P2360" s="34">
        <f t="shared" si="309"/>
        <v>0.77656371659648027</v>
      </c>
      <c r="Q2360" s="34">
        <f t="shared" si="310"/>
        <v>0.71739870546092444</v>
      </c>
      <c r="R2360" s="46">
        <f t="shared" si="311"/>
        <v>94.748698629876714</v>
      </c>
    </row>
    <row r="2361" spans="2:18" ht="12.75" customHeight="1" x14ac:dyDescent="0.25">
      <c r="B2361" s="17" t="s">
        <v>0</v>
      </c>
      <c r="C2361" s="44" t="s">
        <v>236</v>
      </c>
      <c r="D2361" s="22" t="s">
        <v>9</v>
      </c>
      <c r="E2361" s="20">
        <v>2</v>
      </c>
      <c r="F2361" s="17" t="s">
        <v>314</v>
      </c>
      <c r="G2361" s="17" t="s">
        <v>318</v>
      </c>
      <c r="H2361" s="17" t="s">
        <v>319</v>
      </c>
      <c r="I2361" s="17" t="s">
        <v>320</v>
      </c>
      <c r="J2361" s="27" t="s">
        <v>237</v>
      </c>
      <c r="K2361" s="29">
        <v>111</v>
      </c>
      <c r="L2361" s="31">
        <v>27750</v>
      </c>
      <c r="M2361" s="31">
        <v>10979.01999999</v>
      </c>
      <c r="N2361" s="31">
        <v>8101.3599999749995</v>
      </c>
      <c r="O2361" s="34">
        <f t="shared" si="308"/>
        <v>0.39564036036</v>
      </c>
      <c r="P2361" s="34">
        <f t="shared" si="309"/>
        <v>0.73789463904632457</v>
      </c>
      <c r="Q2361" s="34">
        <f t="shared" si="310"/>
        <v>0.60435963963999995</v>
      </c>
      <c r="R2361" s="46">
        <f t="shared" si="311"/>
        <v>72.985225224999994</v>
      </c>
    </row>
    <row r="2362" spans="2:18" ht="12.75" customHeight="1" x14ac:dyDescent="0.25">
      <c r="B2362" s="17" t="s">
        <v>0</v>
      </c>
      <c r="C2362" s="44" t="s">
        <v>18</v>
      </c>
      <c r="D2362" s="22" t="s">
        <v>9</v>
      </c>
      <c r="E2362" s="20">
        <v>2</v>
      </c>
      <c r="F2362" s="17" t="s">
        <v>314</v>
      </c>
      <c r="G2362" s="17" t="s">
        <v>318</v>
      </c>
      <c r="H2362" s="17" t="s">
        <v>319</v>
      </c>
      <c r="I2362" s="17" t="s">
        <v>320</v>
      </c>
      <c r="J2362" s="27" t="s">
        <v>19</v>
      </c>
      <c r="K2362" s="29">
        <v>60</v>
      </c>
      <c r="L2362" s="31">
        <v>24684</v>
      </c>
      <c r="M2362" s="31">
        <v>7274.5100000399998</v>
      </c>
      <c r="N2362" s="31">
        <v>5702.1300000150004</v>
      </c>
      <c r="O2362" s="34">
        <f t="shared" si="308"/>
        <v>0.29470547723383567</v>
      </c>
      <c r="P2362" s="34">
        <f t="shared" si="309"/>
        <v>0.783850733586681</v>
      </c>
      <c r="Q2362" s="34">
        <f t="shared" si="310"/>
        <v>0.70529452276616433</v>
      </c>
      <c r="R2362" s="46">
        <f t="shared" si="311"/>
        <v>95.035500000250011</v>
      </c>
    </row>
    <row r="2363" spans="2:18" ht="12.75" customHeight="1" x14ac:dyDescent="0.25">
      <c r="B2363" s="17" t="s">
        <v>0</v>
      </c>
      <c r="C2363" s="44" t="s">
        <v>42</v>
      </c>
      <c r="D2363" s="22" t="s">
        <v>9</v>
      </c>
      <c r="E2363" s="20">
        <v>2</v>
      </c>
      <c r="F2363" s="17" t="s">
        <v>314</v>
      </c>
      <c r="G2363" s="17" t="s">
        <v>318</v>
      </c>
      <c r="H2363" s="17" t="s">
        <v>319</v>
      </c>
      <c r="I2363" s="17" t="s">
        <v>320</v>
      </c>
      <c r="J2363" s="27" t="s">
        <v>43</v>
      </c>
      <c r="K2363" s="29">
        <v>43</v>
      </c>
      <c r="L2363" s="31">
        <v>17440.3</v>
      </c>
      <c r="M2363" s="31">
        <v>5467.3699999399996</v>
      </c>
      <c r="N2363" s="31">
        <v>4267.7099999990005</v>
      </c>
      <c r="O2363" s="34">
        <f t="shared" si="308"/>
        <v>0.31349059362166937</v>
      </c>
      <c r="P2363" s="34">
        <f t="shared" si="309"/>
        <v>0.78057823049214436</v>
      </c>
      <c r="Q2363" s="34">
        <f t="shared" si="310"/>
        <v>0.68650940637833058</v>
      </c>
      <c r="R2363" s="46">
        <f t="shared" si="311"/>
        <v>99.249069767418618</v>
      </c>
    </row>
    <row r="2364" spans="2:18" ht="12.75" customHeight="1" x14ac:dyDescent="0.25">
      <c r="B2364" s="17" t="s">
        <v>0</v>
      </c>
      <c r="C2364" s="44" t="s">
        <v>18</v>
      </c>
      <c r="D2364" s="22" t="s">
        <v>2</v>
      </c>
      <c r="E2364" s="20">
        <v>1</v>
      </c>
      <c r="F2364" s="17" t="s">
        <v>314</v>
      </c>
      <c r="G2364" s="17" t="s">
        <v>318</v>
      </c>
      <c r="H2364" s="17" t="s">
        <v>319</v>
      </c>
      <c r="I2364" s="17" t="s">
        <v>320</v>
      </c>
      <c r="J2364" s="27" t="s">
        <v>19</v>
      </c>
      <c r="K2364" s="29">
        <v>155</v>
      </c>
      <c r="L2364" s="31">
        <v>19229.000000020002</v>
      </c>
      <c r="M2364" s="31">
        <v>3402.889999987</v>
      </c>
      <c r="N2364" s="31">
        <v>2665.15</v>
      </c>
      <c r="O2364" s="34">
        <f t="shared" si="308"/>
        <v>0.17696656092274482</v>
      </c>
      <c r="P2364" s="34">
        <f t="shared" si="309"/>
        <v>0.78320192542520672</v>
      </c>
      <c r="Q2364" s="34">
        <f t="shared" si="310"/>
        <v>0.82303343907725512</v>
      </c>
      <c r="R2364" s="46">
        <f t="shared" si="311"/>
        <v>17.194516129032259</v>
      </c>
    </row>
    <row r="2365" spans="2:18" ht="12.75" customHeight="1" x14ac:dyDescent="0.25">
      <c r="B2365" s="17" t="s">
        <v>0</v>
      </c>
      <c r="C2365" s="44" t="s">
        <v>70</v>
      </c>
      <c r="D2365" s="22" t="s">
        <v>2</v>
      </c>
      <c r="E2365" s="20">
        <v>1</v>
      </c>
      <c r="F2365" s="17" t="s">
        <v>314</v>
      </c>
      <c r="G2365" s="17" t="s">
        <v>318</v>
      </c>
      <c r="H2365" s="17" t="s">
        <v>319</v>
      </c>
      <c r="I2365" s="17" t="s">
        <v>320</v>
      </c>
      <c r="J2365" s="27" t="s">
        <v>71</v>
      </c>
      <c r="K2365" s="29">
        <v>86</v>
      </c>
      <c r="L2365" s="31">
        <v>4472</v>
      </c>
      <c r="M2365" s="31">
        <v>2053.1299999860003</v>
      </c>
      <c r="N2365" s="31">
        <v>1597.4100000239998</v>
      </c>
      <c r="O2365" s="34">
        <f t="shared" si="308"/>
        <v>0.45910778175000005</v>
      </c>
      <c r="P2365" s="34">
        <f t="shared" si="309"/>
        <v>0.7780364614198283</v>
      </c>
      <c r="Q2365" s="34">
        <f t="shared" si="310"/>
        <v>0.54089221825</v>
      </c>
      <c r="R2365" s="46">
        <f t="shared" si="311"/>
        <v>18.574534883999998</v>
      </c>
    </row>
    <row r="2366" spans="2:18" ht="12.75" customHeight="1" x14ac:dyDescent="0.25">
      <c r="B2366" s="17" t="s">
        <v>0</v>
      </c>
      <c r="C2366" s="44" t="s">
        <v>50</v>
      </c>
      <c r="D2366" s="22" t="s">
        <v>2</v>
      </c>
      <c r="E2366" s="20">
        <v>1</v>
      </c>
      <c r="F2366" s="17" t="s">
        <v>314</v>
      </c>
      <c r="G2366" s="17" t="s">
        <v>318</v>
      </c>
      <c r="H2366" s="17" t="s">
        <v>319</v>
      </c>
      <c r="I2366" s="17" t="s">
        <v>320</v>
      </c>
      <c r="J2366" s="27" t="s">
        <v>51</v>
      </c>
      <c r="K2366" s="29">
        <v>32</v>
      </c>
      <c r="L2366" s="31">
        <v>6982.0000000500004</v>
      </c>
      <c r="M2366" s="31">
        <v>1922.09999999</v>
      </c>
      <c r="N2366" s="31">
        <v>1537.870000007</v>
      </c>
      <c r="O2366" s="34">
        <f t="shared" si="308"/>
        <v>0.27529361214211334</v>
      </c>
      <c r="P2366" s="34">
        <f t="shared" si="309"/>
        <v>0.80009885022371419</v>
      </c>
      <c r="Q2366" s="34">
        <f t="shared" si="310"/>
        <v>0.72470638785788666</v>
      </c>
      <c r="R2366" s="46">
        <f t="shared" si="311"/>
        <v>48.058437500218751</v>
      </c>
    </row>
    <row r="2367" spans="2:18" ht="12.75" customHeight="1" x14ac:dyDescent="0.25">
      <c r="B2367" s="17" t="s">
        <v>0</v>
      </c>
      <c r="C2367" s="44" t="s">
        <v>26</v>
      </c>
      <c r="D2367" s="22" t="s">
        <v>2</v>
      </c>
      <c r="E2367" s="20">
        <v>1</v>
      </c>
      <c r="F2367" s="17" t="s">
        <v>314</v>
      </c>
      <c r="G2367" s="17" t="s">
        <v>318</v>
      </c>
      <c r="H2367" s="17" t="s">
        <v>319</v>
      </c>
      <c r="I2367" s="17" t="s">
        <v>320</v>
      </c>
      <c r="J2367" s="27" t="s">
        <v>27</v>
      </c>
      <c r="K2367" s="29">
        <v>53</v>
      </c>
      <c r="L2367" s="31">
        <v>4965.999999996</v>
      </c>
      <c r="M2367" s="31">
        <v>1138.5900000010001</v>
      </c>
      <c r="N2367" s="31">
        <v>851.56000000899996</v>
      </c>
      <c r="O2367" s="34">
        <f t="shared" si="308"/>
        <v>0.22927708417275819</v>
      </c>
      <c r="P2367" s="34">
        <f t="shared" si="309"/>
        <v>0.74790749963397885</v>
      </c>
      <c r="Q2367" s="34">
        <f t="shared" si="310"/>
        <v>0.77072291582724184</v>
      </c>
      <c r="R2367" s="46">
        <f t="shared" si="311"/>
        <v>16.067169811490565</v>
      </c>
    </row>
    <row r="2368" spans="2:18" ht="12.75" customHeight="1" thickBot="1" x14ac:dyDescent="0.3">
      <c r="B2368" s="15" t="s">
        <v>0</v>
      </c>
      <c r="C2368" s="50" t="s">
        <v>14</v>
      </c>
      <c r="D2368" s="19" t="s">
        <v>2</v>
      </c>
      <c r="E2368" s="16">
        <v>1</v>
      </c>
      <c r="F2368" s="15" t="s">
        <v>314</v>
      </c>
      <c r="G2368" s="15" t="s">
        <v>318</v>
      </c>
      <c r="H2368" s="15" t="s">
        <v>319</v>
      </c>
      <c r="I2368" s="15" t="s">
        <v>320</v>
      </c>
      <c r="J2368" s="24" t="s">
        <v>15</v>
      </c>
      <c r="K2368" s="26">
        <v>31</v>
      </c>
      <c r="L2368" s="28">
        <v>14787</v>
      </c>
      <c r="M2368" s="28">
        <v>695.80000000500002</v>
      </c>
      <c r="N2368" s="28">
        <v>554.33999999699995</v>
      </c>
      <c r="O2368" s="32">
        <f t="shared" si="308"/>
        <v>4.705484547271252E-2</v>
      </c>
      <c r="P2368" s="32">
        <f t="shared" si="309"/>
        <v>0.7966944524188222</v>
      </c>
      <c r="Q2368" s="32">
        <f t="shared" si="310"/>
        <v>0.95294515452728745</v>
      </c>
      <c r="R2368" s="49">
        <f t="shared" si="311"/>
        <v>17.881935483774193</v>
      </c>
    </row>
    <row r="2369" spans="2:18" ht="17.25" customHeight="1" x14ac:dyDescent="0.25">
      <c r="B2369" s="48"/>
      <c r="C2369" s="58"/>
      <c r="D2369" s="51" t="s">
        <v>366</v>
      </c>
      <c r="E2369" s="52"/>
      <c r="F2369" s="52"/>
      <c r="G2369" s="53"/>
      <c r="H2369" s="53"/>
      <c r="I2369" s="53"/>
      <c r="J2369" s="54"/>
      <c r="K2369" s="55">
        <f>SUM(K2345:K2368)</f>
        <v>214257</v>
      </c>
      <c r="L2369" s="56">
        <f>SUM(L2345:L2368)</f>
        <v>124058011.98994668</v>
      </c>
      <c r="M2369" s="56">
        <f>SUM(M2345:M2368)</f>
        <v>52044439.560010701</v>
      </c>
      <c r="N2369" s="56">
        <f>SUM(N2345:N2368)</f>
        <v>40890885.789997295</v>
      </c>
      <c r="O2369" s="57">
        <f>IFERROR(M2369/L2369,0)</f>
        <v>0.41951695602077066</v>
      </c>
      <c r="P2369" s="57">
        <f>IFERROR(N2369/M2369,0)</f>
        <v>0.78569173067657661</v>
      </c>
      <c r="Q2369" s="57">
        <f>IFERROR(1-(M2369/L2369),0)</f>
        <v>0.58048304397922934</v>
      </c>
      <c r="R2369" s="59">
        <f>IFERROR(N2369/K2369,0)</f>
        <v>190.84970754746541</v>
      </c>
    </row>
    <row r="2370" spans="2:18" ht="15.75" thickBot="1" x14ac:dyDescent="0.3">
      <c r="B2370" s="60"/>
      <c r="C2370" s="64"/>
      <c r="D2370" s="62" t="s">
        <v>320</v>
      </c>
      <c r="E2370" s="61"/>
      <c r="F2370" s="61"/>
      <c r="G2370" s="61"/>
      <c r="H2370" s="61"/>
      <c r="I2370" s="61"/>
      <c r="J2370" s="61"/>
      <c r="K2370" s="63"/>
      <c r="L2370" s="63"/>
      <c r="M2370" s="63"/>
      <c r="N2370" s="63"/>
      <c r="O2370" s="63"/>
      <c r="P2370" s="63"/>
      <c r="Q2370" s="63"/>
      <c r="R2370" s="65"/>
    </row>
    <row r="2371" spans="2:18" ht="15.75" thickBot="1" x14ac:dyDescent="0.3"/>
    <row r="2372" spans="2:18" ht="15.75" x14ac:dyDescent="0.25">
      <c r="B2372" s="1"/>
      <c r="C2372" s="7" t="s">
        <v>348</v>
      </c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9"/>
    </row>
    <row r="2373" spans="2:18" ht="18" x14ac:dyDescent="0.25">
      <c r="B2373" s="2"/>
      <c r="C2373" s="8" t="s">
        <v>323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10"/>
    </row>
    <row r="2374" spans="2:18" ht="15.75" thickBot="1" x14ac:dyDescent="0.3">
      <c r="B2374" s="3"/>
      <c r="C2374" s="11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12"/>
    </row>
    <row r="2375" spans="2:18" ht="17.25" customHeight="1" thickBot="1" x14ac:dyDescent="0.3">
      <c r="B2375" s="14" t="s">
        <v>349</v>
      </c>
      <c r="C2375" s="18" t="s">
        <v>350</v>
      </c>
      <c r="D2375" s="21" t="s">
        <v>351</v>
      </c>
      <c r="E2375" s="23" t="s">
        <v>352</v>
      </c>
      <c r="F2375" s="21" t="s">
        <v>353</v>
      </c>
      <c r="G2375" s="23" t="s">
        <v>354</v>
      </c>
      <c r="H2375" s="23" t="s">
        <v>355</v>
      </c>
      <c r="I2375" s="23" t="s">
        <v>356</v>
      </c>
      <c r="J2375" s="25" t="s">
        <v>357</v>
      </c>
      <c r="K2375" s="25" t="s">
        <v>358</v>
      </c>
      <c r="L2375" s="30" t="s">
        <v>359</v>
      </c>
      <c r="M2375" s="30" t="s">
        <v>360</v>
      </c>
      <c r="N2375" s="30" t="s">
        <v>361</v>
      </c>
      <c r="O2375" s="33" t="s">
        <v>362</v>
      </c>
      <c r="P2375" s="33" t="s">
        <v>363</v>
      </c>
      <c r="Q2375" s="33" t="s">
        <v>364</v>
      </c>
      <c r="R2375" s="35" t="s">
        <v>365</v>
      </c>
    </row>
    <row r="2376" spans="2:18" ht="12.75" customHeight="1" x14ac:dyDescent="0.25">
      <c r="B2376" s="17" t="s">
        <v>0</v>
      </c>
      <c r="C2376" s="43" t="s">
        <v>34</v>
      </c>
      <c r="D2376" s="37" t="s">
        <v>9</v>
      </c>
      <c r="E2376" s="36">
        <v>2</v>
      </c>
      <c r="F2376" s="38" t="s">
        <v>314</v>
      </c>
      <c r="G2376" s="38" t="s">
        <v>321</v>
      </c>
      <c r="H2376" s="38" t="s">
        <v>322</v>
      </c>
      <c r="I2376" s="38" t="s">
        <v>323</v>
      </c>
      <c r="J2376" s="39" t="s">
        <v>35</v>
      </c>
      <c r="K2376" s="40">
        <v>6672856</v>
      </c>
      <c r="L2376" s="41">
        <v>1062878057.5285046</v>
      </c>
      <c r="M2376" s="41">
        <v>415034456.81152385</v>
      </c>
      <c r="N2376" s="41">
        <v>329962666.19796336</v>
      </c>
      <c r="O2376" s="42">
        <f t="shared" ref="O2376:O2407" si="312">IFERROR(M2376/L2376,0)</f>
        <v>0.39048172447608676</v>
      </c>
      <c r="P2376" s="42">
        <f t="shared" ref="P2376:P2407" si="313">IFERROR(N2376/M2376,0)</f>
        <v>0.79502475224076774</v>
      </c>
      <c r="Q2376" s="42">
        <f t="shared" ref="Q2376:Q2407" si="314">IFERROR(1-(M2376/L2376),0)</f>
        <v>0.60951827552391324</v>
      </c>
      <c r="R2376" s="45">
        <f t="shared" ref="R2376:R2407" si="315">IFERROR(N2376/K2376,0)</f>
        <v>49.448491949768339</v>
      </c>
    </row>
    <row r="2377" spans="2:18" ht="12.75" customHeight="1" x14ac:dyDescent="0.25">
      <c r="B2377" s="17" t="s">
        <v>0</v>
      </c>
      <c r="C2377" s="44" t="s">
        <v>94</v>
      </c>
      <c r="D2377" s="22" t="s">
        <v>9</v>
      </c>
      <c r="E2377" s="20">
        <v>2</v>
      </c>
      <c r="F2377" s="17" t="s">
        <v>314</v>
      </c>
      <c r="G2377" s="17" t="s">
        <v>321</v>
      </c>
      <c r="H2377" s="17" t="s">
        <v>322</v>
      </c>
      <c r="I2377" s="17" t="s">
        <v>323</v>
      </c>
      <c r="J2377" s="27" t="s">
        <v>95</v>
      </c>
      <c r="K2377" s="29">
        <v>12704442</v>
      </c>
      <c r="L2377" s="31">
        <v>400819764.49731666</v>
      </c>
      <c r="M2377" s="31">
        <v>138639200.26416385</v>
      </c>
      <c r="N2377" s="31">
        <v>110151261.52897952</v>
      </c>
      <c r="O2377" s="34">
        <f t="shared" si="312"/>
        <v>0.34588913158520651</v>
      </c>
      <c r="P2377" s="34">
        <f t="shared" si="313"/>
        <v>0.79451743315813084</v>
      </c>
      <c r="Q2377" s="34">
        <f t="shared" si="314"/>
        <v>0.65411086841479349</v>
      </c>
      <c r="R2377" s="46">
        <f t="shared" si="315"/>
        <v>8.6702951242549275</v>
      </c>
    </row>
    <row r="2378" spans="2:18" ht="12.75" customHeight="1" x14ac:dyDescent="0.25">
      <c r="B2378" s="17" t="s">
        <v>0</v>
      </c>
      <c r="C2378" s="44" t="s">
        <v>46</v>
      </c>
      <c r="D2378" s="22" t="s">
        <v>9</v>
      </c>
      <c r="E2378" s="20">
        <v>2</v>
      </c>
      <c r="F2378" s="17" t="s">
        <v>314</v>
      </c>
      <c r="G2378" s="17" t="s">
        <v>321</v>
      </c>
      <c r="H2378" s="17" t="s">
        <v>322</v>
      </c>
      <c r="I2378" s="17" t="s">
        <v>323</v>
      </c>
      <c r="J2378" s="27" t="s">
        <v>47</v>
      </c>
      <c r="K2378" s="29">
        <v>9869588</v>
      </c>
      <c r="L2378" s="31">
        <v>399417743.46006942</v>
      </c>
      <c r="M2378" s="31">
        <v>108075741.59908278</v>
      </c>
      <c r="N2378" s="31">
        <v>86235793.486444727</v>
      </c>
      <c r="O2378" s="34">
        <f t="shared" si="312"/>
        <v>0.27058322613023156</v>
      </c>
      <c r="P2378" s="34">
        <f t="shared" si="313"/>
        <v>0.79791997917853374</v>
      </c>
      <c r="Q2378" s="34">
        <f t="shared" si="314"/>
        <v>0.72941677386976844</v>
      </c>
      <c r="R2378" s="46">
        <f t="shared" si="315"/>
        <v>8.7375271882113754</v>
      </c>
    </row>
    <row r="2379" spans="2:18" ht="12.75" customHeight="1" x14ac:dyDescent="0.25">
      <c r="B2379" s="17" t="s">
        <v>0</v>
      </c>
      <c r="C2379" s="44" t="s">
        <v>324</v>
      </c>
      <c r="D2379" s="22" t="s">
        <v>9</v>
      </c>
      <c r="E2379" s="20">
        <v>2</v>
      </c>
      <c r="F2379" s="17" t="s">
        <v>314</v>
      </c>
      <c r="G2379" s="17" t="s">
        <v>321</v>
      </c>
      <c r="H2379" s="17" t="s">
        <v>322</v>
      </c>
      <c r="I2379" s="17" t="s">
        <v>323</v>
      </c>
      <c r="J2379" s="27" t="s">
        <v>325</v>
      </c>
      <c r="K2379" s="29">
        <v>1116736</v>
      </c>
      <c r="L2379" s="31">
        <v>87628506.250013277</v>
      </c>
      <c r="M2379" s="31">
        <v>83595245.670032382</v>
      </c>
      <c r="N2379" s="31">
        <v>83593085.260032341</v>
      </c>
      <c r="O2379" s="34">
        <f t="shared" si="312"/>
        <v>0.95397319031693206</v>
      </c>
      <c r="P2379" s="34">
        <f t="shared" si="313"/>
        <v>0.99997415630538888</v>
      </c>
      <c r="Q2379" s="34">
        <f t="shared" si="314"/>
        <v>4.6026809683067937E-2</v>
      </c>
      <c r="R2379" s="46">
        <f t="shared" si="315"/>
        <v>74.854831634363308</v>
      </c>
    </row>
    <row r="2380" spans="2:18" ht="12.75" customHeight="1" x14ac:dyDescent="0.25">
      <c r="B2380" s="17" t="s">
        <v>0</v>
      </c>
      <c r="C2380" s="44" t="s">
        <v>66</v>
      </c>
      <c r="D2380" s="22" t="s">
        <v>9</v>
      </c>
      <c r="E2380" s="20">
        <v>2</v>
      </c>
      <c r="F2380" s="17" t="s">
        <v>314</v>
      </c>
      <c r="G2380" s="17" t="s">
        <v>321</v>
      </c>
      <c r="H2380" s="17" t="s">
        <v>322</v>
      </c>
      <c r="I2380" s="17" t="s">
        <v>323</v>
      </c>
      <c r="J2380" s="27" t="s">
        <v>67</v>
      </c>
      <c r="K2380" s="29">
        <v>3677376</v>
      </c>
      <c r="L2380" s="31">
        <v>148134343.18970788</v>
      </c>
      <c r="M2380" s="31">
        <v>60767033.969952792</v>
      </c>
      <c r="N2380" s="31">
        <v>48336585.399866618</v>
      </c>
      <c r="O2380" s="34">
        <f t="shared" si="312"/>
        <v>0.41021570461976964</v>
      </c>
      <c r="P2380" s="34">
        <f t="shared" si="313"/>
        <v>0.79544091988704591</v>
      </c>
      <c r="Q2380" s="34">
        <f t="shared" si="314"/>
        <v>0.58978429538023036</v>
      </c>
      <c r="R2380" s="46">
        <f t="shared" si="315"/>
        <v>13.144314152228823</v>
      </c>
    </row>
    <row r="2381" spans="2:18" ht="12.75" customHeight="1" x14ac:dyDescent="0.25">
      <c r="B2381" s="17" t="s">
        <v>0</v>
      </c>
      <c r="C2381" s="44" t="s">
        <v>326</v>
      </c>
      <c r="D2381" s="22" t="s">
        <v>9</v>
      </c>
      <c r="E2381" s="20">
        <v>2</v>
      </c>
      <c r="F2381" s="17" t="s">
        <v>314</v>
      </c>
      <c r="G2381" s="17" t="s">
        <v>321</v>
      </c>
      <c r="H2381" s="17" t="s">
        <v>322</v>
      </c>
      <c r="I2381" s="17" t="s">
        <v>323</v>
      </c>
      <c r="J2381" s="27" t="s">
        <v>327</v>
      </c>
      <c r="K2381" s="29">
        <v>403976</v>
      </c>
      <c r="L2381" s="31">
        <v>34035198.699974135</v>
      </c>
      <c r="M2381" s="31">
        <v>31567443.299996257</v>
      </c>
      <c r="N2381" s="31">
        <v>31567443.299996257</v>
      </c>
      <c r="O2381" s="34">
        <f t="shared" si="312"/>
        <v>0.92749402106532275</v>
      </c>
      <c r="P2381" s="34">
        <f t="shared" si="313"/>
        <v>1</v>
      </c>
      <c r="Q2381" s="34">
        <f t="shared" si="314"/>
        <v>7.2505978934677251E-2</v>
      </c>
      <c r="R2381" s="46">
        <f t="shared" si="315"/>
        <v>78.141877982841194</v>
      </c>
    </row>
    <row r="2382" spans="2:18" ht="12.75" customHeight="1" x14ac:dyDescent="0.25">
      <c r="B2382" s="17" t="s">
        <v>0</v>
      </c>
      <c r="C2382" s="44" t="s">
        <v>145</v>
      </c>
      <c r="D2382" s="22" t="s">
        <v>9</v>
      </c>
      <c r="E2382" s="20">
        <v>2</v>
      </c>
      <c r="F2382" s="17" t="s">
        <v>314</v>
      </c>
      <c r="G2382" s="17" t="s">
        <v>321</v>
      </c>
      <c r="H2382" s="17" t="s">
        <v>322</v>
      </c>
      <c r="I2382" s="17" t="s">
        <v>323</v>
      </c>
      <c r="J2382" s="27" t="s">
        <v>146</v>
      </c>
      <c r="K2382" s="29">
        <v>9686413</v>
      </c>
      <c r="L2382" s="31">
        <v>190102475.82998854</v>
      </c>
      <c r="M2382" s="31">
        <v>33716897.839992769</v>
      </c>
      <c r="N2382" s="31">
        <v>26729806.430007022</v>
      </c>
      <c r="O2382" s="34">
        <f t="shared" si="312"/>
        <v>0.17736169764641199</v>
      </c>
      <c r="P2382" s="34">
        <f t="shared" si="313"/>
        <v>0.79277181895132365</v>
      </c>
      <c r="Q2382" s="34">
        <f t="shared" si="314"/>
        <v>0.82263830235358804</v>
      </c>
      <c r="R2382" s="46">
        <f t="shared" si="315"/>
        <v>2.7595154604709733</v>
      </c>
    </row>
    <row r="2383" spans="2:18" ht="12.75" customHeight="1" x14ac:dyDescent="0.25">
      <c r="B2383" s="17" t="s">
        <v>0</v>
      </c>
      <c r="C2383" s="44" t="s">
        <v>30</v>
      </c>
      <c r="D2383" s="22" t="s">
        <v>9</v>
      </c>
      <c r="E2383" s="20">
        <v>2</v>
      </c>
      <c r="F2383" s="17" t="s">
        <v>314</v>
      </c>
      <c r="G2383" s="17" t="s">
        <v>321</v>
      </c>
      <c r="H2383" s="17" t="s">
        <v>322</v>
      </c>
      <c r="I2383" s="17" t="s">
        <v>323</v>
      </c>
      <c r="J2383" s="27" t="s">
        <v>31</v>
      </c>
      <c r="K2383" s="29">
        <v>2787533</v>
      </c>
      <c r="L2383" s="31">
        <v>76918940.97005108</v>
      </c>
      <c r="M2383" s="31">
        <v>30311764.388026517</v>
      </c>
      <c r="N2383" s="31">
        <v>26408169.471436936</v>
      </c>
      <c r="O2383" s="34">
        <f t="shared" si="312"/>
        <v>0.39407412538127135</v>
      </c>
      <c r="P2383" s="34">
        <f t="shared" si="313"/>
        <v>0.87121848577935157</v>
      </c>
      <c r="Q2383" s="34">
        <f t="shared" si="314"/>
        <v>0.6059258746187286</v>
      </c>
      <c r="R2383" s="46">
        <f t="shared" si="315"/>
        <v>9.4736706153566388</v>
      </c>
    </row>
    <row r="2384" spans="2:18" ht="12.75" customHeight="1" x14ac:dyDescent="0.25">
      <c r="B2384" s="17" t="s">
        <v>0</v>
      </c>
      <c r="C2384" s="44" t="s">
        <v>157</v>
      </c>
      <c r="D2384" s="22" t="s">
        <v>9</v>
      </c>
      <c r="E2384" s="20">
        <v>2</v>
      </c>
      <c r="F2384" s="17" t="s">
        <v>314</v>
      </c>
      <c r="G2384" s="17" t="s">
        <v>321</v>
      </c>
      <c r="H2384" s="17" t="s">
        <v>322</v>
      </c>
      <c r="I2384" s="17" t="s">
        <v>323</v>
      </c>
      <c r="J2384" s="27" t="s">
        <v>158</v>
      </c>
      <c r="K2384" s="29">
        <v>6266775</v>
      </c>
      <c r="L2384" s="31">
        <v>162415980.54002953</v>
      </c>
      <c r="M2384" s="31">
        <v>30206924.000040926</v>
      </c>
      <c r="N2384" s="31">
        <v>24002229.399987329</v>
      </c>
      <c r="O2384" s="34">
        <f t="shared" si="312"/>
        <v>0.18598492524937246</v>
      </c>
      <c r="P2384" s="34">
        <f t="shared" si="313"/>
        <v>0.79459363025360707</v>
      </c>
      <c r="Q2384" s="34">
        <f t="shared" si="314"/>
        <v>0.81401507475062751</v>
      </c>
      <c r="R2384" s="46">
        <f t="shared" si="315"/>
        <v>3.8300767779260192</v>
      </c>
    </row>
    <row r="2385" spans="2:18" ht="12.75" customHeight="1" x14ac:dyDescent="0.25">
      <c r="B2385" s="17" t="s">
        <v>0</v>
      </c>
      <c r="C2385" s="44" t="s">
        <v>54</v>
      </c>
      <c r="D2385" s="22" t="s">
        <v>9</v>
      </c>
      <c r="E2385" s="20">
        <v>2</v>
      </c>
      <c r="F2385" s="17" t="s">
        <v>314</v>
      </c>
      <c r="G2385" s="17" t="s">
        <v>321</v>
      </c>
      <c r="H2385" s="17" t="s">
        <v>322</v>
      </c>
      <c r="I2385" s="17" t="s">
        <v>323</v>
      </c>
      <c r="J2385" s="27" t="s">
        <v>55</v>
      </c>
      <c r="K2385" s="29">
        <v>2172584</v>
      </c>
      <c r="L2385" s="31">
        <v>48579253.208654381</v>
      </c>
      <c r="M2385" s="31">
        <v>20765567.990890667</v>
      </c>
      <c r="N2385" s="31">
        <v>19045979.266707052</v>
      </c>
      <c r="O2385" s="34">
        <f t="shared" si="312"/>
        <v>0.42745753833842975</v>
      </c>
      <c r="P2385" s="34">
        <f t="shared" si="313"/>
        <v>0.9171903833818581</v>
      </c>
      <c r="Q2385" s="34">
        <f t="shared" si="314"/>
        <v>0.57254246166157019</v>
      </c>
      <c r="R2385" s="46">
        <f t="shared" si="315"/>
        <v>8.7665099562120741</v>
      </c>
    </row>
    <row r="2386" spans="2:18" ht="12.75" customHeight="1" x14ac:dyDescent="0.25">
      <c r="B2386" s="17" t="s">
        <v>0</v>
      </c>
      <c r="C2386" s="44" t="s">
        <v>50</v>
      </c>
      <c r="D2386" s="22" t="s">
        <v>9</v>
      </c>
      <c r="E2386" s="20">
        <v>2</v>
      </c>
      <c r="F2386" s="17" t="s">
        <v>314</v>
      </c>
      <c r="G2386" s="17" t="s">
        <v>321</v>
      </c>
      <c r="H2386" s="17" t="s">
        <v>322</v>
      </c>
      <c r="I2386" s="17" t="s">
        <v>323</v>
      </c>
      <c r="J2386" s="27" t="s">
        <v>51</v>
      </c>
      <c r="K2386" s="29">
        <v>2167850</v>
      </c>
      <c r="L2386" s="31">
        <v>51586067.359918162</v>
      </c>
      <c r="M2386" s="31">
        <v>15249025.912687035</v>
      </c>
      <c r="N2386" s="31">
        <v>12206301.297586886</v>
      </c>
      <c r="O2386" s="34">
        <f t="shared" si="312"/>
        <v>0.29560357462983056</v>
      </c>
      <c r="P2386" s="34">
        <f t="shared" si="313"/>
        <v>0.80046432916291177</v>
      </c>
      <c r="Q2386" s="34">
        <f t="shared" si="314"/>
        <v>0.70439642537016944</v>
      </c>
      <c r="R2386" s="46">
        <f t="shared" si="315"/>
        <v>5.6306023468352917</v>
      </c>
    </row>
    <row r="2387" spans="2:18" ht="12.75" customHeight="1" x14ac:dyDescent="0.25">
      <c r="B2387" s="17" t="s">
        <v>0</v>
      </c>
      <c r="C2387" s="44" t="s">
        <v>92</v>
      </c>
      <c r="D2387" s="22" t="s">
        <v>9</v>
      </c>
      <c r="E2387" s="20">
        <v>2</v>
      </c>
      <c r="F2387" s="17" t="s">
        <v>314</v>
      </c>
      <c r="G2387" s="17" t="s">
        <v>321</v>
      </c>
      <c r="H2387" s="17" t="s">
        <v>322</v>
      </c>
      <c r="I2387" s="17" t="s">
        <v>323</v>
      </c>
      <c r="J2387" s="27" t="s">
        <v>93</v>
      </c>
      <c r="K2387" s="29">
        <v>417549</v>
      </c>
      <c r="L2387" s="31">
        <v>30833233.60016204</v>
      </c>
      <c r="M2387" s="31">
        <v>12391998.38002588</v>
      </c>
      <c r="N2387" s="31">
        <v>9848960.1099992562</v>
      </c>
      <c r="O2387" s="34">
        <f t="shared" si="312"/>
        <v>0.40190395015723412</v>
      </c>
      <c r="P2387" s="34">
        <f t="shared" si="313"/>
        <v>0.7947838442163101</v>
      </c>
      <c r="Q2387" s="34">
        <f t="shared" si="314"/>
        <v>0.59809604984276588</v>
      </c>
      <c r="R2387" s="46">
        <f t="shared" si="315"/>
        <v>23.587555256986022</v>
      </c>
    </row>
    <row r="2388" spans="2:18" ht="12.75" customHeight="1" x14ac:dyDescent="0.25">
      <c r="B2388" s="17" t="s">
        <v>0</v>
      </c>
      <c r="C2388" s="44" t="s">
        <v>90</v>
      </c>
      <c r="D2388" s="22" t="s">
        <v>9</v>
      </c>
      <c r="E2388" s="20">
        <v>2</v>
      </c>
      <c r="F2388" s="17" t="s">
        <v>314</v>
      </c>
      <c r="G2388" s="17" t="s">
        <v>321</v>
      </c>
      <c r="H2388" s="17" t="s">
        <v>322</v>
      </c>
      <c r="I2388" s="17" t="s">
        <v>323</v>
      </c>
      <c r="J2388" s="27" t="s">
        <v>91</v>
      </c>
      <c r="K2388" s="29">
        <v>3246935</v>
      </c>
      <c r="L2388" s="31">
        <v>46869174.336856186</v>
      </c>
      <c r="M2388" s="31">
        <v>12130559.963155031</v>
      </c>
      <c r="N2388" s="31">
        <v>9518903.3168343753</v>
      </c>
      <c r="O2388" s="34">
        <f t="shared" si="312"/>
        <v>0.25881744525667921</v>
      </c>
      <c r="P2388" s="34">
        <f t="shared" si="313"/>
        <v>0.78470436202011973</v>
      </c>
      <c r="Q2388" s="34">
        <f t="shared" si="314"/>
        <v>0.74118255474332084</v>
      </c>
      <c r="R2388" s="46">
        <f t="shared" si="315"/>
        <v>2.9316581073641372</v>
      </c>
    </row>
    <row r="2389" spans="2:18" ht="12.75" customHeight="1" x14ac:dyDescent="0.25">
      <c r="B2389" s="17" t="s">
        <v>0</v>
      </c>
      <c r="C2389" s="44" t="s">
        <v>56</v>
      </c>
      <c r="D2389" s="22" t="s">
        <v>9</v>
      </c>
      <c r="E2389" s="20">
        <v>2</v>
      </c>
      <c r="F2389" s="17" t="s">
        <v>314</v>
      </c>
      <c r="G2389" s="17" t="s">
        <v>321</v>
      </c>
      <c r="H2389" s="17" t="s">
        <v>322</v>
      </c>
      <c r="I2389" s="17" t="s">
        <v>323</v>
      </c>
      <c r="J2389" s="27" t="s">
        <v>57</v>
      </c>
      <c r="K2389" s="29">
        <v>1629480</v>
      </c>
      <c r="L2389" s="31">
        <v>33487692.18999023</v>
      </c>
      <c r="M2389" s="31">
        <v>9219584.540008001</v>
      </c>
      <c r="N2389" s="31">
        <v>7294873.3399963994</v>
      </c>
      <c r="O2389" s="34">
        <f t="shared" si="312"/>
        <v>0.27531262792614347</v>
      </c>
      <c r="P2389" s="34">
        <f t="shared" si="313"/>
        <v>0.79123666672186821</v>
      </c>
      <c r="Q2389" s="34">
        <f t="shared" si="314"/>
        <v>0.72468737207385647</v>
      </c>
      <c r="R2389" s="46">
        <f t="shared" si="315"/>
        <v>4.4768106021530789</v>
      </c>
    </row>
    <row r="2390" spans="2:18" ht="12.75" customHeight="1" x14ac:dyDescent="0.25">
      <c r="B2390" s="17" t="s">
        <v>0</v>
      </c>
      <c r="C2390" s="44" t="s">
        <v>151</v>
      </c>
      <c r="D2390" s="22" t="s">
        <v>9</v>
      </c>
      <c r="E2390" s="20">
        <v>2</v>
      </c>
      <c r="F2390" s="17" t="s">
        <v>314</v>
      </c>
      <c r="G2390" s="17" t="s">
        <v>321</v>
      </c>
      <c r="H2390" s="17" t="s">
        <v>322</v>
      </c>
      <c r="I2390" s="17" t="s">
        <v>323</v>
      </c>
      <c r="J2390" s="27" t="s">
        <v>152</v>
      </c>
      <c r="K2390" s="29">
        <v>2571428</v>
      </c>
      <c r="L2390" s="31">
        <v>37501615.089966819</v>
      </c>
      <c r="M2390" s="31">
        <v>8833074.590034347</v>
      </c>
      <c r="N2390" s="31">
        <v>7008420.3100336483</v>
      </c>
      <c r="O2390" s="34">
        <f t="shared" si="312"/>
        <v>0.23553851131061146</v>
      </c>
      <c r="P2390" s="34">
        <f t="shared" si="313"/>
        <v>0.79342931372284453</v>
      </c>
      <c r="Q2390" s="34">
        <f t="shared" si="314"/>
        <v>0.76446148868938857</v>
      </c>
      <c r="R2390" s="46">
        <f t="shared" si="315"/>
        <v>2.7254973929013948</v>
      </c>
    </row>
    <row r="2391" spans="2:18" ht="12.75" customHeight="1" x14ac:dyDescent="0.25">
      <c r="B2391" s="17" t="s">
        <v>0</v>
      </c>
      <c r="C2391" s="44" t="s">
        <v>98</v>
      </c>
      <c r="D2391" s="22" t="s">
        <v>2</v>
      </c>
      <c r="E2391" s="20">
        <v>1</v>
      </c>
      <c r="F2391" s="17" t="s">
        <v>314</v>
      </c>
      <c r="G2391" s="17" t="s">
        <v>321</v>
      </c>
      <c r="H2391" s="17" t="s">
        <v>322</v>
      </c>
      <c r="I2391" s="17" t="s">
        <v>323</v>
      </c>
      <c r="J2391" s="27" t="s">
        <v>102</v>
      </c>
      <c r="K2391" s="29">
        <v>1141824</v>
      </c>
      <c r="L2391" s="31">
        <v>27194837.709896218</v>
      </c>
      <c r="M2391" s="31">
        <v>7657015.3499841839</v>
      </c>
      <c r="N2391" s="31">
        <v>6099870.4400170166</v>
      </c>
      <c r="O2391" s="34">
        <f t="shared" si="312"/>
        <v>0.28156135483014083</v>
      </c>
      <c r="P2391" s="34">
        <f t="shared" si="313"/>
        <v>0.79663813655925564</v>
      </c>
      <c r="Q2391" s="34">
        <f t="shared" si="314"/>
        <v>0.71843864516985922</v>
      </c>
      <c r="R2391" s="46">
        <f t="shared" si="315"/>
        <v>5.3422159982773323</v>
      </c>
    </row>
    <row r="2392" spans="2:18" ht="12.75" customHeight="1" x14ac:dyDescent="0.25">
      <c r="B2392" s="17" t="s">
        <v>0</v>
      </c>
      <c r="C2392" s="44" t="s">
        <v>114</v>
      </c>
      <c r="D2392" s="22" t="s">
        <v>9</v>
      </c>
      <c r="E2392" s="20">
        <v>2</v>
      </c>
      <c r="F2392" s="17" t="s">
        <v>314</v>
      </c>
      <c r="G2392" s="17" t="s">
        <v>321</v>
      </c>
      <c r="H2392" s="17" t="s">
        <v>322</v>
      </c>
      <c r="I2392" s="17" t="s">
        <v>323</v>
      </c>
      <c r="J2392" s="27" t="s">
        <v>118</v>
      </c>
      <c r="K2392" s="29">
        <v>425460</v>
      </c>
      <c r="L2392" s="31">
        <v>13721252.63999388</v>
      </c>
      <c r="M2392" s="31">
        <v>6984791.36998183</v>
      </c>
      <c r="N2392" s="31">
        <v>5594041.0000168057</v>
      </c>
      <c r="O2392" s="34">
        <f t="shared" si="312"/>
        <v>0.50904910457103469</v>
      </c>
      <c r="P2392" s="34">
        <f t="shared" si="313"/>
        <v>0.80088877443899342</v>
      </c>
      <c r="Q2392" s="34">
        <f t="shared" si="314"/>
        <v>0.49095089542896531</v>
      </c>
      <c r="R2392" s="46">
        <f t="shared" si="315"/>
        <v>13.148218398948917</v>
      </c>
    </row>
    <row r="2393" spans="2:18" ht="12.75" customHeight="1" x14ac:dyDescent="0.25">
      <c r="B2393" s="17" t="s">
        <v>0</v>
      </c>
      <c r="C2393" s="44" t="s">
        <v>88</v>
      </c>
      <c r="D2393" s="22" t="s">
        <v>9</v>
      </c>
      <c r="E2393" s="20">
        <v>2</v>
      </c>
      <c r="F2393" s="17" t="s">
        <v>314</v>
      </c>
      <c r="G2393" s="17" t="s">
        <v>321</v>
      </c>
      <c r="H2393" s="17" t="s">
        <v>322</v>
      </c>
      <c r="I2393" s="17" t="s">
        <v>323</v>
      </c>
      <c r="J2393" s="27" t="s">
        <v>89</v>
      </c>
      <c r="K2393" s="29">
        <v>131256</v>
      </c>
      <c r="L2393" s="31">
        <v>6799256.970013788</v>
      </c>
      <c r="M2393" s="31">
        <v>4889740.6399971433</v>
      </c>
      <c r="N2393" s="31">
        <v>4884976.1799974144</v>
      </c>
      <c r="O2393" s="34">
        <f t="shared" si="312"/>
        <v>0.71915808765016087</v>
      </c>
      <c r="P2393" s="34">
        <f t="shared" si="313"/>
        <v>0.99902562112175097</v>
      </c>
      <c r="Q2393" s="34">
        <f t="shared" si="314"/>
        <v>0.28084191234983913</v>
      </c>
      <c r="R2393" s="46">
        <f t="shared" si="315"/>
        <v>37.217164777209533</v>
      </c>
    </row>
    <row r="2394" spans="2:18" ht="12.75" customHeight="1" x14ac:dyDescent="0.25">
      <c r="B2394" s="17" t="s">
        <v>0</v>
      </c>
      <c r="C2394" s="44" t="s">
        <v>48</v>
      </c>
      <c r="D2394" s="22" t="s">
        <v>9</v>
      </c>
      <c r="E2394" s="20">
        <v>2</v>
      </c>
      <c r="F2394" s="17" t="s">
        <v>314</v>
      </c>
      <c r="G2394" s="17" t="s">
        <v>321</v>
      </c>
      <c r="H2394" s="17" t="s">
        <v>322</v>
      </c>
      <c r="I2394" s="17" t="s">
        <v>323</v>
      </c>
      <c r="J2394" s="27" t="s">
        <v>49</v>
      </c>
      <c r="K2394" s="29">
        <v>430776</v>
      </c>
      <c r="L2394" s="31">
        <v>17479359.029995546</v>
      </c>
      <c r="M2394" s="31">
        <v>5188922.8299950389</v>
      </c>
      <c r="N2394" s="31">
        <v>4127693.2199992673</v>
      </c>
      <c r="O2394" s="34">
        <f t="shared" si="312"/>
        <v>0.29686001764083914</v>
      </c>
      <c r="P2394" s="34">
        <f t="shared" si="313"/>
        <v>0.79548171272441404</v>
      </c>
      <c r="Q2394" s="34">
        <f t="shared" si="314"/>
        <v>0.70313998235916086</v>
      </c>
      <c r="R2394" s="46">
        <f t="shared" si="315"/>
        <v>9.5819944008005713</v>
      </c>
    </row>
    <row r="2395" spans="2:18" ht="12.75" customHeight="1" x14ac:dyDescent="0.25">
      <c r="B2395" s="17" t="s">
        <v>0</v>
      </c>
      <c r="C2395" s="44" t="s">
        <v>58</v>
      </c>
      <c r="D2395" s="22" t="s">
        <v>9</v>
      </c>
      <c r="E2395" s="20">
        <v>2</v>
      </c>
      <c r="F2395" s="17" t="s">
        <v>314</v>
      </c>
      <c r="G2395" s="17" t="s">
        <v>321</v>
      </c>
      <c r="H2395" s="17" t="s">
        <v>322</v>
      </c>
      <c r="I2395" s="17" t="s">
        <v>323</v>
      </c>
      <c r="J2395" s="27" t="s">
        <v>59</v>
      </c>
      <c r="K2395" s="29">
        <v>630525</v>
      </c>
      <c r="L2395" s="31">
        <v>9549682.2750069406</v>
      </c>
      <c r="M2395" s="31">
        <v>3296726.5333746327</v>
      </c>
      <c r="N2395" s="31">
        <v>2618279.1746972804</v>
      </c>
      <c r="O2395" s="34">
        <f t="shared" si="312"/>
        <v>0.34521845213664309</v>
      </c>
      <c r="P2395" s="34">
        <f t="shared" si="313"/>
        <v>0.79420575173310715</v>
      </c>
      <c r="Q2395" s="34">
        <f t="shared" si="314"/>
        <v>0.65478154786335696</v>
      </c>
      <c r="R2395" s="46">
        <f t="shared" si="315"/>
        <v>4.1525382414611318</v>
      </c>
    </row>
    <row r="2396" spans="2:18" ht="12.75" customHeight="1" x14ac:dyDescent="0.25">
      <c r="B2396" s="17" t="s">
        <v>0</v>
      </c>
      <c r="C2396" s="44" t="s">
        <v>44</v>
      </c>
      <c r="D2396" s="22" t="s">
        <v>9</v>
      </c>
      <c r="E2396" s="20">
        <v>2</v>
      </c>
      <c r="F2396" s="17" t="s">
        <v>314</v>
      </c>
      <c r="G2396" s="17" t="s">
        <v>321</v>
      </c>
      <c r="H2396" s="17" t="s">
        <v>322</v>
      </c>
      <c r="I2396" s="17" t="s">
        <v>323</v>
      </c>
      <c r="J2396" s="27" t="s">
        <v>45</v>
      </c>
      <c r="K2396" s="29">
        <v>139136</v>
      </c>
      <c r="L2396" s="31">
        <v>5365935.9999927972</v>
      </c>
      <c r="M2396" s="31">
        <v>3196166.2600126676</v>
      </c>
      <c r="N2396" s="31">
        <v>2575798.2800028692</v>
      </c>
      <c r="O2396" s="34">
        <f t="shared" si="312"/>
        <v>0.5956400262725754</v>
      </c>
      <c r="P2396" s="34">
        <f t="shared" si="313"/>
        <v>0.80590246891369799</v>
      </c>
      <c r="Q2396" s="34">
        <f t="shared" si="314"/>
        <v>0.4043599737274246</v>
      </c>
      <c r="R2396" s="46">
        <f t="shared" si="315"/>
        <v>18.512809625135617</v>
      </c>
    </row>
    <row r="2397" spans="2:18" ht="12.75" customHeight="1" x14ac:dyDescent="0.25">
      <c r="B2397" s="17" t="s">
        <v>0</v>
      </c>
      <c r="C2397" s="44" t="s">
        <v>24</v>
      </c>
      <c r="D2397" s="22" t="s">
        <v>9</v>
      </c>
      <c r="E2397" s="20">
        <v>2</v>
      </c>
      <c r="F2397" s="17" t="s">
        <v>314</v>
      </c>
      <c r="G2397" s="17" t="s">
        <v>321</v>
      </c>
      <c r="H2397" s="17" t="s">
        <v>322</v>
      </c>
      <c r="I2397" s="17" t="s">
        <v>323</v>
      </c>
      <c r="J2397" s="27" t="s">
        <v>25</v>
      </c>
      <c r="K2397" s="29">
        <v>227432</v>
      </c>
      <c r="L2397" s="31">
        <v>8995832.8899962399</v>
      </c>
      <c r="M2397" s="31">
        <v>2987693.7200177377</v>
      </c>
      <c r="N2397" s="31">
        <v>2376858.3100074981</v>
      </c>
      <c r="O2397" s="34">
        <f t="shared" si="312"/>
        <v>0.33211974439189329</v>
      </c>
      <c r="P2397" s="34">
        <f t="shared" si="313"/>
        <v>0.79554952172051518</v>
      </c>
      <c r="Q2397" s="34">
        <f t="shared" si="314"/>
        <v>0.66788025560810671</v>
      </c>
      <c r="R2397" s="46">
        <f t="shared" si="315"/>
        <v>10.450852606526338</v>
      </c>
    </row>
    <row r="2398" spans="2:18" ht="12.75" customHeight="1" x14ac:dyDescent="0.25">
      <c r="B2398" s="17" t="s">
        <v>0</v>
      </c>
      <c r="C2398" s="44" t="s">
        <v>82</v>
      </c>
      <c r="D2398" s="22" t="s">
        <v>9</v>
      </c>
      <c r="E2398" s="20">
        <v>2</v>
      </c>
      <c r="F2398" s="17" t="s">
        <v>314</v>
      </c>
      <c r="G2398" s="17" t="s">
        <v>321</v>
      </c>
      <c r="H2398" s="17" t="s">
        <v>322</v>
      </c>
      <c r="I2398" s="17" t="s">
        <v>323</v>
      </c>
      <c r="J2398" s="27" t="s">
        <v>83</v>
      </c>
      <c r="K2398" s="29">
        <v>50844</v>
      </c>
      <c r="L2398" s="31">
        <v>4563861.9599334979</v>
      </c>
      <c r="M2398" s="31">
        <v>2897745.9600289171</v>
      </c>
      <c r="N2398" s="31">
        <v>2302257.7199706617</v>
      </c>
      <c r="O2398" s="34">
        <f t="shared" si="312"/>
        <v>0.63493286726646336</v>
      </c>
      <c r="P2398" s="34">
        <f t="shared" si="313"/>
        <v>0.79449950124257518</v>
      </c>
      <c r="Q2398" s="34">
        <f t="shared" si="314"/>
        <v>0.36506713273353664</v>
      </c>
      <c r="R2398" s="46">
        <f t="shared" si="315"/>
        <v>45.28081425479234</v>
      </c>
    </row>
    <row r="2399" spans="2:18" ht="12.75" customHeight="1" x14ac:dyDescent="0.25">
      <c r="B2399" s="17" t="s">
        <v>0</v>
      </c>
      <c r="C2399" s="44" t="s">
        <v>14</v>
      </c>
      <c r="D2399" s="22" t="s">
        <v>9</v>
      </c>
      <c r="E2399" s="20">
        <v>2</v>
      </c>
      <c r="F2399" s="17" t="s">
        <v>314</v>
      </c>
      <c r="G2399" s="17" t="s">
        <v>321</v>
      </c>
      <c r="H2399" s="17" t="s">
        <v>322</v>
      </c>
      <c r="I2399" s="17" t="s">
        <v>323</v>
      </c>
      <c r="J2399" s="27" t="s">
        <v>15</v>
      </c>
      <c r="K2399" s="29">
        <v>346351</v>
      </c>
      <c r="L2399" s="31">
        <v>35144258.960105315</v>
      </c>
      <c r="M2399" s="31">
        <v>2779151.7596386401</v>
      </c>
      <c r="N2399" s="31">
        <v>2206988.0098666893</v>
      </c>
      <c r="O2399" s="34">
        <f t="shared" si="312"/>
        <v>7.907839976917562E-2</v>
      </c>
      <c r="P2399" s="34">
        <f t="shared" si="313"/>
        <v>0.79412288379446161</v>
      </c>
      <c r="Q2399" s="34">
        <f t="shared" si="314"/>
        <v>0.92092160023082437</v>
      </c>
      <c r="R2399" s="46">
        <f t="shared" si="315"/>
        <v>6.3721138667614339</v>
      </c>
    </row>
    <row r="2400" spans="2:18" ht="12.75" customHeight="1" x14ac:dyDescent="0.25">
      <c r="B2400" s="17" t="s">
        <v>0</v>
      </c>
      <c r="C2400" s="44" t="s">
        <v>72</v>
      </c>
      <c r="D2400" s="22" t="s">
        <v>9</v>
      </c>
      <c r="E2400" s="20">
        <v>2</v>
      </c>
      <c r="F2400" s="17" t="s">
        <v>314</v>
      </c>
      <c r="G2400" s="17" t="s">
        <v>321</v>
      </c>
      <c r="H2400" s="17" t="s">
        <v>322</v>
      </c>
      <c r="I2400" s="17" t="s">
        <v>323</v>
      </c>
      <c r="J2400" s="27" t="s">
        <v>73</v>
      </c>
      <c r="K2400" s="29">
        <v>270037</v>
      </c>
      <c r="L2400" s="31">
        <v>6109081.1300012534</v>
      </c>
      <c r="M2400" s="31">
        <v>1530744.8899982648</v>
      </c>
      <c r="N2400" s="31">
        <v>1200983.0700007225</v>
      </c>
      <c r="O2400" s="34">
        <f t="shared" si="312"/>
        <v>0.25056876106635545</v>
      </c>
      <c r="P2400" s="34">
        <f t="shared" si="313"/>
        <v>0.78457428004354401</v>
      </c>
      <c r="Q2400" s="34">
        <f t="shared" si="314"/>
        <v>0.74943123893364461</v>
      </c>
      <c r="R2400" s="46">
        <f t="shared" si="315"/>
        <v>4.4474759755171425</v>
      </c>
    </row>
    <row r="2401" spans="2:18" ht="12.75" customHeight="1" x14ac:dyDescent="0.25">
      <c r="B2401" s="17" t="s">
        <v>0</v>
      </c>
      <c r="C2401" s="44" t="s">
        <v>16</v>
      </c>
      <c r="D2401" s="22" t="s">
        <v>9</v>
      </c>
      <c r="E2401" s="20">
        <v>2</v>
      </c>
      <c r="F2401" s="17" t="s">
        <v>314</v>
      </c>
      <c r="G2401" s="17" t="s">
        <v>321</v>
      </c>
      <c r="H2401" s="17" t="s">
        <v>322</v>
      </c>
      <c r="I2401" s="17" t="s">
        <v>323</v>
      </c>
      <c r="J2401" s="27" t="s">
        <v>17</v>
      </c>
      <c r="K2401" s="29">
        <v>665835</v>
      </c>
      <c r="L2401" s="31">
        <v>5630930.338205657</v>
      </c>
      <c r="M2401" s="31">
        <v>1079041.8961148183</v>
      </c>
      <c r="N2401" s="31">
        <v>844571.81771580479</v>
      </c>
      <c r="O2401" s="34">
        <f t="shared" si="312"/>
        <v>0.1916276407814102</v>
      </c>
      <c r="P2401" s="34">
        <f t="shared" si="313"/>
        <v>0.78270530621355583</v>
      </c>
      <c r="Q2401" s="34">
        <f t="shared" si="314"/>
        <v>0.80837235921858985</v>
      </c>
      <c r="R2401" s="46">
        <f t="shared" si="315"/>
        <v>1.26844010560545</v>
      </c>
    </row>
    <row r="2402" spans="2:18" ht="12.75" customHeight="1" x14ac:dyDescent="0.25">
      <c r="B2402" s="17" t="s">
        <v>0</v>
      </c>
      <c r="C2402" s="44" t="s">
        <v>96</v>
      </c>
      <c r="D2402" s="22" t="s">
        <v>9</v>
      </c>
      <c r="E2402" s="20">
        <v>2</v>
      </c>
      <c r="F2402" s="17" t="s">
        <v>314</v>
      </c>
      <c r="G2402" s="17" t="s">
        <v>321</v>
      </c>
      <c r="H2402" s="17" t="s">
        <v>322</v>
      </c>
      <c r="I2402" s="17" t="s">
        <v>323</v>
      </c>
      <c r="J2402" s="27" t="s">
        <v>97</v>
      </c>
      <c r="K2402" s="29">
        <v>49104</v>
      </c>
      <c r="L2402" s="31">
        <v>1197970.239997128</v>
      </c>
      <c r="M2402" s="31">
        <v>869160.32000208413</v>
      </c>
      <c r="N2402" s="31">
        <v>784385.99000135856</v>
      </c>
      <c r="O2402" s="34">
        <f t="shared" si="312"/>
        <v>0.7255274722051257</v>
      </c>
      <c r="P2402" s="34">
        <f t="shared" si="313"/>
        <v>0.90246410466538296</v>
      </c>
      <c r="Q2402" s="34">
        <f t="shared" si="314"/>
        <v>0.2744725277948743</v>
      </c>
      <c r="R2402" s="46">
        <f t="shared" si="315"/>
        <v>15.973973403416393</v>
      </c>
    </row>
    <row r="2403" spans="2:18" ht="12.75" customHeight="1" x14ac:dyDescent="0.25">
      <c r="B2403" s="17" t="s">
        <v>0</v>
      </c>
      <c r="C2403" s="44" t="s">
        <v>28</v>
      </c>
      <c r="D2403" s="22" t="s">
        <v>9</v>
      </c>
      <c r="E2403" s="20">
        <v>2</v>
      </c>
      <c r="F2403" s="17" t="s">
        <v>314</v>
      </c>
      <c r="G2403" s="17" t="s">
        <v>321</v>
      </c>
      <c r="H2403" s="17" t="s">
        <v>322</v>
      </c>
      <c r="I2403" s="17" t="s">
        <v>323</v>
      </c>
      <c r="J2403" s="27" t="s">
        <v>29</v>
      </c>
      <c r="K2403" s="29">
        <v>289698</v>
      </c>
      <c r="L2403" s="31">
        <v>2475393.2399991388</v>
      </c>
      <c r="M2403" s="31">
        <v>976303.13999765716</v>
      </c>
      <c r="N2403" s="31">
        <v>778551.350007731</v>
      </c>
      <c r="O2403" s="34">
        <f t="shared" si="312"/>
        <v>0.39440325045001612</v>
      </c>
      <c r="P2403" s="34">
        <f t="shared" si="313"/>
        <v>0.79744837244874511</v>
      </c>
      <c r="Q2403" s="34">
        <f t="shared" si="314"/>
        <v>0.60559674954998388</v>
      </c>
      <c r="R2403" s="46">
        <f t="shared" si="315"/>
        <v>2.6874584912830981</v>
      </c>
    </row>
    <row r="2404" spans="2:18" ht="12.75" customHeight="1" x14ac:dyDescent="0.25">
      <c r="B2404" s="17" t="s">
        <v>0</v>
      </c>
      <c r="C2404" s="44" t="s">
        <v>159</v>
      </c>
      <c r="D2404" s="22" t="s">
        <v>9</v>
      </c>
      <c r="E2404" s="20">
        <v>2</v>
      </c>
      <c r="F2404" s="17" t="s">
        <v>314</v>
      </c>
      <c r="G2404" s="17" t="s">
        <v>321</v>
      </c>
      <c r="H2404" s="17" t="s">
        <v>322</v>
      </c>
      <c r="I2404" s="17" t="s">
        <v>323</v>
      </c>
      <c r="J2404" s="27" t="s">
        <v>160</v>
      </c>
      <c r="K2404" s="29">
        <v>162957</v>
      </c>
      <c r="L2404" s="31">
        <v>5489995.4199988479</v>
      </c>
      <c r="M2404" s="31">
        <v>881843.95000201603</v>
      </c>
      <c r="N2404" s="31">
        <v>700506.35000200954</v>
      </c>
      <c r="O2404" s="34">
        <f t="shared" si="312"/>
        <v>0.16062744729980141</v>
      </c>
      <c r="P2404" s="34">
        <f t="shared" si="313"/>
        <v>0.79436543166215301</v>
      </c>
      <c r="Q2404" s="34">
        <f t="shared" si="314"/>
        <v>0.83937255270019862</v>
      </c>
      <c r="R2404" s="46">
        <f t="shared" si="315"/>
        <v>4.2987189872298188</v>
      </c>
    </row>
    <row r="2405" spans="2:18" ht="12.75" customHeight="1" x14ac:dyDescent="0.25">
      <c r="B2405" s="17" t="s">
        <v>0</v>
      </c>
      <c r="C2405" s="44" t="s">
        <v>110</v>
      </c>
      <c r="D2405" s="22" t="s">
        <v>9</v>
      </c>
      <c r="E2405" s="20">
        <v>2</v>
      </c>
      <c r="F2405" s="17" t="s">
        <v>314</v>
      </c>
      <c r="G2405" s="17" t="s">
        <v>321</v>
      </c>
      <c r="H2405" s="17" t="s">
        <v>322</v>
      </c>
      <c r="I2405" s="17" t="s">
        <v>323</v>
      </c>
      <c r="J2405" s="27" t="s">
        <v>111</v>
      </c>
      <c r="K2405" s="29">
        <v>112114</v>
      </c>
      <c r="L2405" s="31">
        <v>2149456.5900089396</v>
      </c>
      <c r="M2405" s="31">
        <v>879567.23999660974</v>
      </c>
      <c r="N2405" s="31">
        <v>698053.75000440481</v>
      </c>
      <c r="O2405" s="34">
        <f t="shared" si="312"/>
        <v>0.40920446781060676</v>
      </c>
      <c r="P2405" s="34">
        <f t="shared" si="313"/>
        <v>0.79363318489112378</v>
      </c>
      <c r="Q2405" s="34">
        <f t="shared" si="314"/>
        <v>0.59079553218939318</v>
      </c>
      <c r="R2405" s="46">
        <f t="shared" si="315"/>
        <v>6.2262852989314874</v>
      </c>
    </row>
    <row r="2406" spans="2:18" ht="12.75" customHeight="1" x14ac:dyDescent="0.25">
      <c r="B2406" s="17" t="s">
        <v>0</v>
      </c>
      <c r="C2406" s="44" t="s">
        <v>161</v>
      </c>
      <c r="D2406" s="22" t="s">
        <v>9</v>
      </c>
      <c r="E2406" s="20">
        <v>2</v>
      </c>
      <c r="F2406" s="17" t="s">
        <v>314</v>
      </c>
      <c r="G2406" s="17" t="s">
        <v>321</v>
      </c>
      <c r="H2406" s="17" t="s">
        <v>322</v>
      </c>
      <c r="I2406" s="17" t="s">
        <v>323</v>
      </c>
      <c r="J2406" s="27" t="s">
        <v>162</v>
      </c>
      <c r="K2406" s="29">
        <v>120421</v>
      </c>
      <c r="L2406" s="31">
        <v>6201846.8099981733</v>
      </c>
      <c r="M2406" s="31">
        <v>859587.47999597259</v>
      </c>
      <c r="N2406" s="31">
        <v>679015.81999993825</v>
      </c>
      <c r="O2406" s="34">
        <f t="shared" si="312"/>
        <v>0.13860185624227403</v>
      </c>
      <c r="P2406" s="34">
        <f t="shared" si="313"/>
        <v>0.78993218933705223</v>
      </c>
      <c r="Q2406" s="34">
        <f t="shared" si="314"/>
        <v>0.86139814375772594</v>
      </c>
      <c r="R2406" s="46">
        <f t="shared" si="315"/>
        <v>5.6386827878853207</v>
      </c>
    </row>
    <row r="2407" spans="2:18" ht="12.75" customHeight="1" x14ac:dyDescent="0.25">
      <c r="B2407" s="17" t="s">
        <v>0</v>
      </c>
      <c r="C2407" s="44" t="s">
        <v>20</v>
      </c>
      <c r="D2407" s="22" t="s">
        <v>9</v>
      </c>
      <c r="E2407" s="20">
        <v>2</v>
      </c>
      <c r="F2407" s="17" t="s">
        <v>314</v>
      </c>
      <c r="G2407" s="17" t="s">
        <v>321</v>
      </c>
      <c r="H2407" s="17" t="s">
        <v>322</v>
      </c>
      <c r="I2407" s="17" t="s">
        <v>323</v>
      </c>
      <c r="J2407" s="27" t="s">
        <v>21</v>
      </c>
      <c r="K2407" s="29">
        <v>558116</v>
      </c>
      <c r="L2407" s="31">
        <v>4544392.1294417158</v>
      </c>
      <c r="M2407" s="31">
        <v>809640.85761797254</v>
      </c>
      <c r="N2407" s="31">
        <v>639208.06061111833</v>
      </c>
      <c r="O2407" s="34">
        <f t="shared" si="312"/>
        <v>0.17816263089898404</v>
      </c>
      <c r="P2407" s="34">
        <f t="shared" si="313"/>
        <v>0.7894958049569275</v>
      </c>
      <c r="Q2407" s="34">
        <f t="shared" si="314"/>
        <v>0.8218373691010159</v>
      </c>
      <c r="R2407" s="46">
        <f t="shared" si="315"/>
        <v>1.1452960685791453</v>
      </c>
    </row>
    <row r="2408" spans="2:18" ht="12.75" customHeight="1" x14ac:dyDescent="0.25">
      <c r="B2408" s="17" t="s">
        <v>0</v>
      </c>
      <c r="C2408" s="44" t="s">
        <v>12</v>
      </c>
      <c r="D2408" s="22" t="s">
        <v>9</v>
      </c>
      <c r="E2408" s="20">
        <v>2</v>
      </c>
      <c r="F2408" s="17" t="s">
        <v>314</v>
      </c>
      <c r="G2408" s="17" t="s">
        <v>321</v>
      </c>
      <c r="H2408" s="17" t="s">
        <v>322</v>
      </c>
      <c r="I2408" s="17" t="s">
        <v>323</v>
      </c>
      <c r="J2408" s="27" t="s">
        <v>13</v>
      </c>
      <c r="K2408" s="29">
        <v>90303</v>
      </c>
      <c r="L2408" s="31">
        <v>9984608.1699948944</v>
      </c>
      <c r="M2408" s="31">
        <v>728810.35000318172</v>
      </c>
      <c r="N2408" s="31">
        <v>576884.93000037433</v>
      </c>
      <c r="O2408" s="34">
        <f t="shared" ref="O2408:O2439" si="316">IFERROR(M2408/L2408,0)</f>
        <v>7.2993385177933773E-2</v>
      </c>
      <c r="P2408" s="34">
        <f t="shared" ref="P2408:P2439" si="317">IFERROR(N2408/M2408,0)</f>
        <v>0.79154327322307627</v>
      </c>
      <c r="Q2408" s="34">
        <f t="shared" ref="Q2408:Q2439" si="318">IFERROR(1-(M2408/L2408),0)</f>
        <v>0.92700661482206625</v>
      </c>
      <c r="R2408" s="46">
        <f t="shared" ref="R2408:R2439" si="319">IFERROR(N2408/K2408,0)</f>
        <v>6.3883251940730021</v>
      </c>
    </row>
    <row r="2409" spans="2:18" ht="12.75" customHeight="1" x14ac:dyDescent="0.25">
      <c r="B2409" s="17" t="s">
        <v>0</v>
      </c>
      <c r="C2409" s="44" t="s">
        <v>103</v>
      </c>
      <c r="D2409" s="22" t="s">
        <v>9</v>
      </c>
      <c r="E2409" s="20">
        <v>2</v>
      </c>
      <c r="F2409" s="17" t="s">
        <v>314</v>
      </c>
      <c r="G2409" s="17" t="s">
        <v>321</v>
      </c>
      <c r="H2409" s="17" t="s">
        <v>322</v>
      </c>
      <c r="I2409" s="17" t="s">
        <v>323</v>
      </c>
      <c r="J2409" s="27" t="s">
        <v>104</v>
      </c>
      <c r="K2409" s="29">
        <v>188132</v>
      </c>
      <c r="L2409" s="31">
        <v>2897436.8100005514</v>
      </c>
      <c r="M2409" s="31">
        <v>680554.94000231323</v>
      </c>
      <c r="N2409" s="31">
        <v>538360.68999925652</v>
      </c>
      <c r="O2409" s="34">
        <f t="shared" si="316"/>
        <v>0.23488171947473246</v>
      </c>
      <c r="P2409" s="34">
        <f t="shared" si="317"/>
        <v>0.79106132121739736</v>
      </c>
      <c r="Q2409" s="34">
        <f t="shared" si="318"/>
        <v>0.76511828052526754</v>
      </c>
      <c r="R2409" s="46">
        <f t="shared" si="319"/>
        <v>2.8616114749179116</v>
      </c>
    </row>
    <row r="2410" spans="2:18" ht="12.75" customHeight="1" x14ac:dyDescent="0.25">
      <c r="B2410" s="17" t="s">
        <v>0</v>
      </c>
      <c r="C2410" s="44" t="s">
        <v>7</v>
      </c>
      <c r="D2410" s="22" t="s">
        <v>9</v>
      </c>
      <c r="E2410" s="20">
        <v>2</v>
      </c>
      <c r="F2410" s="17" t="s">
        <v>314</v>
      </c>
      <c r="G2410" s="17" t="s">
        <v>321</v>
      </c>
      <c r="H2410" s="17" t="s">
        <v>322</v>
      </c>
      <c r="I2410" s="17" t="s">
        <v>323</v>
      </c>
      <c r="J2410" s="27" t="s">
        <v>8</v>
      </c>
      <c r="K2410" s="29">
        <v>435609</v>
      </c>
      <c r="L2410" s="31">
        <v>4158968.3430774086</v>
      </c>
      <c r="M2410" s="31">
        <v>665791.7723812199</v>
      </c>
      <c r="N2410" s="31">
        <v>530649.2750434936</v>
      </c>
      <c r="O2410" s="34">
        <f t="shared" si="316"/>
        <v>0.16008579952031338</v>
      </c>
      <c r="P2410" s="34">
        <f t="shared" si="317"/>
        <v>0.7970198747659708</v>
      </c>
      <c r="Q2410" s="34">
        <f t="shared" si="318"/>
        <v>0.83991420047968668</v>
      </c>
      <c r="R2410" s="46">
        <f t="shared" si="319"/>
        <v>1.2181779417860825</v>
      </c>
    </row>
    <row r="2411" spans="2:18" ht="12.75" customHeight="1" x14ac:dyDescent="0.25">
      <c r="B2411" s="17" t="s">
        <v>0</v>
      </c>
      <c r="C2411" s="44" t="s">
        <v>137</v>
      </c>
      <c r="D2411" s="22" t="s">
        <v>9</v>
      </c>
      <c r="E2411" s="20">
        <v>2</v>
      </c>
      <c r="F2411" s="17" t="s">
        <v>314</v>
      </c>
      <c r="G2411" s="17" t="s">
        <v>321</v>
      </c>
      <c r="H2411" s="17" t="s">
        <v>322</v>
      </c>
      <c r="I2411" s="17" t="s">
        <v>323</v>
      </c>
      <c r="J2411" s="27" t="s">
        <v>138</v>
      </c>
      <c r="K2411" s="29">
        <v>8930</v>
      </c>
      <c r="L2411" s="31">
        <v>784230.41000116768</v>
      </c>
      <c r="M2411" s="31">
        <v>428102.04999886703</v>
      </c>
      <c r="N2411" s="31">
        <v>422909.47999906359</v>
      </c>
      <c r="O2411" s="34">
        <f t="shared" si="316"/>
        <v>0.54588810193961956</v>
      </c>
      <c r="P2411" s="34">
        <f t="shared" si="317"/>
        <v>0.9878707191432109</v>
      </c>
      <c r="Q2411" s="34">
        <f t="shared" si="318"/>
        <v>0.45411189806038044</v>
      </c>
      <c r="R2411" s="46">
        <f t="shared" si="319"/>
        <v>47.358284434385624</v>
      </c>
    </row>
    <row r="2412" spans="2:18" ht="12.75" customHeight="1" x14ac:dyDescent="0.25">
      <c r="B2412" s="17" t="s">
        <v>0</v>
      </c>
      <c r="C2412" s="44" t="s">
        <v>172</v>
      </c>
      <c r="D2412" s="22" t="s">
        <v>9</v>
      </c>
      <c r="E2412" s="20">
        <v>2</v>
      </c>
      <c r="F2412" s="17" t="s">
        <v>314</v>
      </c>
      <c r="G2412" s="17" t="s">
        <v>321</v>
      </c>
      <c r="H2412" s="17" t="s">
        <v>322</v>
      </c>
      <c r="I2412" s="17" t="s">
        <v>323</v>
      </c>
      <c r="J2412" s="27" t="s">
        <v>173</v>
      </c>
      <c r="K2412" s="29">
        <v>177844</v>
      </c>
      <c r="L2412" s="31">
        <v>3712135.959999708</v>
      </c>
      <c r="M2412" s="31">
        <v>529192.19999811216</v>
      </c>
      <c r="N2412" s="31">
        <v>417843.93000414583</v>
      </c>
      <c r="O2412" s="34">
        <f t="shared" si="316"/>
        <v>0.14255733240927787</v>
      </c>
      <c r="P2412" s="34">
        <f t="shared" si="317"/>
        <v>0.78958822523392536</v>
      </c>
      <c r="Q2412" s="34">
        <f t="shared" si="318"/>
        <v>0.85744266759072207</v>
      </c>
      <c r="R2412" s="46">
        <f t="shared" si="319"/>
        <v>2.3494969186711154</v>
      </c>
    </row>
    <row r="2413" spans="2:18" ht="12.75" customHeight="1" x14ac:dyDescent="0.25">
      <c r="B2413" s="17" t="s">
        <v>0</v>
      </c>
      <c r="C2413" s="44" t="s">
        <v>184</v>
      </c>
      <c r="D2413" s="22" t="s">
        <v>9</v>
      </c>
      <c r="E2413" s="20">
        <v>2</v>
      </c>
      <c r="F2413" s="17" t="s">
        <v>314</v>
      </c>
      <c r="G2413" s="17" t="s">
        <v>321</v>
      </c>
      <c r="H2413" s="17" t="s">
        <v>322</v>
      </c>
      <c r="I2413" s="17" t="s">
        <v>323</v>
      </c>
      <c r="J2413" s="27" t="s">
        <v>185</v>
      </c>
      <c r="K2413" s="29">
        <v>17008</v>
      </c>
      <c r="L2413" s="31">
        <v>642490.839999396</v>
      </c>
      <c r="M2413" s="31">
        <v>473245.47000143287</v>
      </c>
      <c r="N2413" s="31">
        <v>377595.04000682384</v>
      </c>
      <c r="O2413" s="34">
        <f t="shared" si="316"/>
        <v>0.73657932617666233</v>
      </c>
      <c r="P2413" s="34">
        <f t="shared" si="317"/>
        <v>0.79788410865439574</v>
      </c>
      <c r="Q2413" s="34">
        <f t="shared" si="318"/>
        <v>0.26342067382333767</v>
      </c>
      <c r="R2413" s="46">
        <f t="shared" si="319"/>
        <v>22.201025400213066</v>
      </c>
    </row>
    <row r="2414" spans="2:18" ht="12.75" customHeight="1" x14ac:dyDescent="0.25">
      <c r="B2414" s="17" t="s">
        <v>0</v>
      </c>
      <c r="C2414" s="44" t="s">
        <v>70</v>
      </c>
      <c r="D2414" s="22" t="s">
        <v>9</v>
      </c>
      <c r="E2414" s="20">
        <v>2</v>
      </c>
      <c r="F2414" s="17" t="s">
        <v>314</v>
      </c>
      <c r="G2414" s="17" t="s">
        <v>321</v>
      </c>
      <c r="H2414" s="17" t="s">
        <v>322</v>
      </c>
      <c r="I2414" s="17" t="s">
        <v>323</v>
      </c>
      <c r="J2414" s="27" t="s">
        <v>71</v>
      </c>
      <c r="K2414" s="29">
        <v>73265</v>
      </c>
      <c r="L2414" s="31">
        <v>803814.029999319</v>
      </c>
      <c r="M2414" s="31">
        <v>406859.99000089656</v>
      </c>
      <c r="N2414" s="31">
        <v>359854.08999820153</v>
      </c>
      <c r="O2414" s="34">
        <f t="shared" si="316"/>
        <v>0.50616184193903813</v>
      </c>
      <c r="P2414" s="34">
        <f t="shared" si="317"/>
        <v>0.88446664415787979</v>
      </c>
      <c r="Q2414" s="34">
        <f t="shared" si="318"/>
        <v>0.49383815806096187</v>
      </c>
      <c r="R2414" s="46">
        <f t="shared" si="319"/>
        <v>4.9116780181287316</v>
      </c>
    </row>
    <row r="2415" spans="2:18" ht="12.75" customHeight="1" x14ac:dyDescent="0.25">
      <c r="B2415" s="17" t="s">
        <v>0</v>
      </c>
      <c r="C2415" s="44" t="s">
        <v>38</v>
      </c>
      <c r="D2415" s="22" t="s">
        <v>9</v>
      </c>
      <c r="E2415" s="20">
        <v>2</v>
      </c>
      <c r="F2415" s="17" t="s">
        <v>314</v>
      </c>
      <c r="G2415" s="17" t="s">
        <v>321</v>
      </c>
      <c r="H2415" s="17" t="s">
        <v>322</v>
      </c>
      <c r="I2415" s="17" t="s">
        <v>323</v>
      </c>
      <c r="J2415" s="27" t="s">
        <v>39</v>
      </c>
      <c r="K2415" s="29">
        <v>6496</v>
      </c>
      <c r="L2415" s="31">
        <v>444457.99999996834</v>
      </c>
      <c r="M2415" s="31">
        <v>357113.11000444315</v>
      </c>
      <c r="N2415" s="31">
        <v>286713.61000392045</v>
      </c>
      <c r="O2415" s="34">
        <f t="shared" si="316"/>
        <v>0.80347999137031756</v>
      </c>
      <c r="P2415" s="34">
        <f t="shared" si="317"/>
        <v>0.80286498023092234</v>
      </c>
      <c r="Q2415" s="34">
        <f t="shared" si="318"/>
        <v>0.19652000862968244</v>
      </c>
      <c r="R2415" s="46">
        <f t="shared" si="319"/>
        <v>44.136947352820265</v>
      </c>
    </row>
    <row r="2416" spans="2:18" ht="12.75" customHeight="1" x14ac:dyDescent="0.25">
      <c r="B2416" s="17" t="s">
        <v>0</v>
      </c>
      <c r="C2416" s="44" t="s">
        <v>74</v>
      </c>
      <c r="D2416" s="22" t="s">
        <v>9</v>
      </c>
      <c r="E2416" s="20">
        <v>2</v>
      </c>
      <c r="F2416" s="17" t="s">
        <v>314</v>
      </c>
      <c r="G2416" s="17" t="s">
        <v>321</v>
      </c>
      <c r="H2416" s="17" t="s">
        <v>322</v>
      </c>
      <c r="I2416" s="17" t="s">
        <v>323</v>
      </c>
      <c r="J2416" s="27" t="s">
        <v>75</v>
      </c>
      <c r="K2416" s="29">
        <v>64372</v>
      </c>
      <c r="L2416" s="31">
        <v>708439.8800110973</v>
      </c>
      <c r="M2416" s="31">
        <v>343804.83000098402</v>
      </c>
      <c r="N2416" s="31">
        <v>271326.3999976404</v>
      </c>
      <c r="O2416" s="34">
        <f t="shared" si="316"/>
        <v>0.4852985266662268</v>
      </c>
      <c r="P2416" s="34">
        <f t="shared" si="317"/>
        <v>0.78918728395079218</v>
      </c>
      <c r="Q2416" s="34">
        <f t="shared" si="318"/>
        <v>0.51470147333377314</v>
      </c>
      <c r="R2416" s="46">
        <f t="shared" si="319"/>
        <v>4.2149754551301868</v>
      </c>
    </row>
    <row r="2417" spans="2:18" ht="12.75" customHeight="1" x14ac:dyDescent="0.25">
      <c r="B2417" s="17" t="s">
        <v>0</v>
      </c>
      <c r="C2417" s="44" t="s">
        <v>36</v>
      </c>
      <c r="D2417" s="22" t="s">
        <v>9</v>
      </c>
      <c r="E2417" s="20">
        <v>2</v>
      </c>
      <c r="F2417" s="17" t="s">
        <v>314</v>
      </c>
      <c r="G2417" s="17" t="s">
        <v>321</v>
      </c>
      <c r="H2417" s="17" t="s">
        <v>322</v>
      </c>
      <c r="I2417" s="17" t="s">
        <v>323</v>
      </c>
      <c r="J2417" s="27" t="s">
        <v>37</v>
      </c>
      <c r="K2417" s="29">
        <v>21553</v>
      </c>
      <c r="L2417" s="31">
        <v>1419717.2199997469</v>
      </c>
      <c r="M2417" s="31">
        <v>298502.42999738734</v>
      </c>
      <c r="N2417" s="31">
        <v>237127.66000461683</v>
      </c>
      <c r="O2417" s="34">
        <f t="shared" si="316"/>
        <v>0.21025484919978682</v>
      </c>
      <c r="P2417" s="34">
        <f t="shared" si="317"/>
        <v>0.79439105405839516</v>
      </c>
      <c r="Q2417" s="34">
        <f t="shared" si="318"/>
        <v>0.78974515080021312</v>
      </c>
      <c r="R2417" s="46">
        <f t="shared" si="319"/>
        <v>11.00207210154581</v>
      </c>
    </row>
    <row r="2418" spans="2:18" ht="12.75" customHeight="1" x14ac:dyDescent="0.25">
      <c r="B2418" s="17" t="s">
        <v>0</v>
      </c>
      <c r="C2418" s="44" t="s">
        <v>135</v>
      </c>
      <c r="D2418" s="22" t="s">
        <v>9</v>
      </c>
      <c r="E2418" s="20">
        <v>2</v>
      </c>
      <c r="F2418" s="17" t="s">
        <v>314</v>
      </c>
      <c r="G2418" s="17" t="s">
        <v>321</v>
      </c>
      <c r="H2418" s="17" t="s">
        <v>322</v>
      </c>
      <c r="I2418" s="17" t="s">
        <v>323</v>
      </c>
      <c r="J2418" s="27" t="s">
        <v>136</v>
      </c>
      <c r="K2418" s="29">
        <v>25128</v>
      </c>
      <c r="L2418" s="31">
        <v>646622.41000003298</v>
      </c>
      <c r="M2418" s="31">
        <v>292644.29000634182</v>
      </c>
      <c r="N2418" s="31">
        <v>235461.7999999593</v>
      </c>
      <c r="O2418" s="34">
        <f t="shared" si="316"/>
        <v>0.45257368980813223</v>
      </c>
      <c r="P2418" s="34">
        <f t="shared" si="317"/>
        <v>0.8046006979834005</v>
      </c>
      <c r="Q2418" s="34">
        <f t="shared" si="318"/>
        <v>0.54742631019186772</v>
      </c>
      <c r="R2418" s="46">
        <f t="shared" si="319"/>
        <v>9.3704950652642189</v>
      </c>
    </row>
    <row r="2419" spans="2:18" ht="12.75" customHeight="1" x14ac:dyDescent="0.25">
      <c r="B2419" s="17" t="s">
        <v>0</v>
      </c>
      <c r="C2419" s="44" t="s">
        <v>105</v>
      </c>
      <c r="D2419" s="22" t="s">
        <v>9</v>
      </c>
      <c r="E2419" s="20">
        <v>2</v>
      </c>
      <c r="F2419" s="17" t="s">
        <v>314</v>
      </c>
      <c r="G2419" s="17" t="s">
        <v>321</v>
      </c>
      <c r="H2419" s="17" t="s">
        <v>322</v>
      </c>
      <c r="I2419" s="17" t="s">
        <v>323</v>
      </c>
      <c r="J2419" s="27" t="s">
        <v>106</v>
      </c>
      <c r="K2419" s="29">
        <v>105576</v>
      </c>
      <c r="L2419" s="31">
        <v>537585.20999996597</v>
      </c>
      <c r="M2419" s="31">
        <v>168707.41999912722</v>
      </c>
      <c r="N2419" s="31">
        <v>131626.72000113074</v>
      </c>
      <c r="O2419" s="34">
        <f t="shared" si="316"/>
        <v>0.31382451909184389</v>
      </c>
      <c r="P2419" s="34">
        <f t="shared" si="317"/>
        <v>0.78020705907192278</v>
      </c>
      <c r="Q2419" s="34">
        <f t="shared" si="318"/>
        <v>0.68617548090815617</v>
      </c>
      <c r="R2419" s="46">
        <f t="shared" si="319"/>
        <v>1.2467485034584636</v>
      </c>
    </row>
    <row r="2420" spans="2:18" ht="12.75" customHeight="1" x14ac:dyDescent="0.25">
      <c r="B2420" s="17" t="s">
        <v>0</v>
      </c>
      <c r="C2420" s="44" t="s">
        <v>86</v>
      </c>
      <c r="D2420" s="22" t="s">
        <v>9</v>
      </c>
      <c r="E2420" s="20">
        <v>2</v>
      </c>
      <c r="F2420" s="17" t="s">
        <v>314</v>
      </c>
      <c r="G2420" s="17" t="s">
        <v>321</v>
      </c>
      <c r="H2420" s="17" t="s">
        <v>322</v>
      </c>
      <c r="I2420" s="17" t="s">
        <v>323</v>
      </c>
      <c r="J2420" s="27" t="s">
        <v>87</v>
      </c>
      <c r="K2420" s="29">
        <v>10789</v>
      </c>
      <c r="L2420" s="31">
        <v>422239.82000109134</v>
      </c>
      <c r="M2420" s="31">
        <v>162689.52999880962</v>
      </c>
      <c r="N2420" s="31">
        <v>128378.81000114389</v>
      </c>
      <c r="O2420" s="34">
        <f t="shared" si="316"/>
        <v>0.38530124894044604</v>
      </c>
      <c r="P2420" s="34">
        <f t="shared" si="317"/>
        <v>0.78910308488864178</v>
      </c>
      <c r="Q2420" s="34">
        <f t="shared" si="318"/>
        <v>0.61469875105955396</v>
      </c>
      <c r="R2420" s="46">
        <f t="shared" si="319"/>
        <v>11.899046250917035</v>
      </c>
    </row>
    <row r="2421" spans="2:18" ht="12.75" customHeight="1" x14ac:dyDescent="0.25">
      <c r="B2421" s="17" t="s">
        <v>0</v>
      </c>
      <c r="C2421" s="44" t="s">
        <v>62</v>
      </c>
      <c r="D2421" s="22" t="s">
        <v>9</v>
      </c>
      <c r="E2421" s="20">
        <v>2</v>
      </c>
      <c r="F2421" s="17" t="s">
        <v>314</v>
      </c>
      <c r="G2421" s="17" t="s">
        <v>321</v>
      </c>
      <c r="H2421" s="17" t="s">
        <v>322</v>
      </c>
      <c r="I2421" s="17" t="s">
        <v>323</v>
      </c>
      <c r="J2421" s="27" t="s">
        <v>63</v>
      </c>
      <c r="K2421" s="29">
        <v>10427</v>
      </c>
      <c r="L2421" s="31">
        <v>280630.59999994951</v>
      </c>
      <c r="M2421" s="31">
        <v>146649.60000008435</v>
      </c>
      <c r="N2421" s="31">
        <v>121666.85999961129</v>
      </c>
      <c r="O2421" s="34">
        <f t="shared" si="316"/>
        <v>0.52257166538542388</v>
      </c>
      <c r="P2421" s="34">
        <f t="shared" si="317"/>
        <v>0.82964331303693506</v>
      </c>
      <c r="Q2421" s="34">
        <f t="shared" si="318"/>
        <v>0.47742833461457612</v>
      </c>
      <c r="R2421" s="46">
        <f t="shared" si="319"/>
        <v>11.66844346404635</v>
      </c>
    </row>
    <row r="2422" spans="2:18" ht="12.75" customHeight="1" x14ac:dyDescent="0.25">
      <c r="B2422" s="17" t="s">
        <v>0</v>
      </c>
      <c r="C2422" s="44" t="s">
        <v>127</v>
      </c>
      <c r="D2422" s="22" t="s">
        <v>9</v>
      </c>
      <c r="E2422" s="20">
        <v>2</v>
      </c>
      <c r="F2422" s="17" t="s">
        <v>314</v>
      </c>
      <c r="G2422" s="17" t="s">
        <v>321</v>
      </c>
      <c r="H2422" s="17" t="s">
        <v>322</v>
      </c>
      <c r="I2422" s="17" t="s">
        <v>323</v>
      </c>
      <c r="J2422" s="27" t="s">
        <v>128</v>
      </c>
      <c r="K2422" s="29">
        <v>4031</v>
      </c>
      <c r="L2422" s="31">
        <v>367905.90999978798</v>
      </c>
      <c r="M2422" s="31">
        <v>129185.64000012279</v>
      </c>
      <c r="N2422" s="31">
        <v>115602.93000002798</v>
      </c>
      <c r="O2422" s="34">
        <f t="shared" si="316"/>
        <v>0.35113771344471534</v>
      </c>
      <c r="P2422" s="34">
        <f t="shared" si="317"/>
        <v>0.89485897968162786</v>
      </c>
      <c r="Q2422" s="34">
        <f t="shared" si="318"/>
        <v>0.64886228655528466</v>
      </c>
      <c r="R2422" s="46">
        <f t="shared" si="319"/>
        <v>28.678474323996024</v>
      </c>
    </row>
    <row r="2423" spans="2:18" ht="12.75" customHeight="1" x14ac:dyDescent="0.25">
      <c r="B2423" s="17" t="s">
        <v>0</v>
      </c>
      <c r="C2423" s="44" t="s">
        <v>288</v>
      </c>
      <c r="D2423" s="22" t="s">
        <v>9</v>
      </c>
      <c r="E2423" s="20">
        <v>2</v>
      </c>
      <c r="F2423" s="17" t="s">
        <v>314</v>
      </c>
      <c r="G2423" s="17" t="s">
        <v>321</v>
      </c>
      <c r="H2423" s="17" t="s">
        <v>322</v>
      </c>
      <c r="I2423" s="17" t="s">
        <v>323</v>
      </c>
      <c r="J2423" s="27" t="s">
        <v>293</v>
      </c>
      <c r="K2423" s="29">
        <v>1426</v>
      </c>
      <c r="L2423" s="31">
        <v>126595.4600000308</v>
      </c>
      <c r="M2423" s="31">
        <v>106526.6299998516</v>
      </c>
      <c r="N2423" s="31">
        <v>106526.6299998516</v>
      </c>
      <c r="O2423" s="34">
        <f t="shared" si="316"/>
        <v>0.84147275107516251</v>
      </c>
      <c r="P2423" s="34">
        <f t="shared" si="317"/>
        <v>1</v>
      </c>
      <c r="Q2423" s="34">
        <f t="shared" si="318"/>
        <v>0.15852724892483749</v>
      </c>
      <c r="R2423" s="46">
        <f t="shared" si="319"/>
        <v>74.703106591761298</v>
      </c>
    </row>
    <row r="2424" spans="2:18" ht="12.75" customHeight="1" x14ac:dyDescent="0.25">
      <c r="B2424" s="17" t="s">
        <v>0</v>
      </c>
      <c r="C2424" s="44" t="s">
        <v>166</v>
      </c>
      <c r="D2424" s="22" t="s">
        <v>9</v>
      </c>
      <c r="E2424" s="20">
        <v>2</v>
      </c>
      <c r="F2424" s="17" t="s">
        <v>314</v>
      </c>
      <c r="G2424" s="17" t="s">
        <v>321</v>
      </c>
      <c r="H2424" s="17" t="s">
        <v>322</v>
      </c>
      <c r="I2424" s="17" t="s">
        <v>323</v>
      </c>
      <c r="J2424" s="27" t="s">
        <v>167</v>
      </c>
      <c r="K2424" s="29">
        <v>840</v>
      </c>
      <c r="L2424" s="31">
        <v>1008000</v>
      </c>
      <c r="M2424" s="31">
        <v>118390.01999999999</v>
      </c>
      <c r="N2424" s="31">
        <v>94454.85</v>
      </c>
      <c r="O2424" s="34">
        <f t="shared" si="316"/>
        <v>0.11745041666666665</v>
      </c>
      <c r="P2424" s="34">
        <f t="shared" si="317"/>
        <v>0.79782780676952347</v>
      </c>
      <c r="Q2424" s="34">
        <f t="shared" si="318"/>
        <v>0.88254958333333333</v>
      </c>
      <c r="R2424" s="46">
        <f t="shared" si="319"/>
        <v>112.44625000000001</v>
      </c>
    </row>
    <row r="2425" spans="2:18" ht="12.75" customHeight="1" x14ac:dyDescent="0.25">
      <c r="B2425" s="17" t="s">
        <v>0</v>
      </c>
      <c r="C2425" s="44" t="s">
        <v>236</v>
      </c>
      <c r="D2425" s="22" t="s">
        <v>9</v>
      </c>
      <c r="E2425" s="20">
        <v>2</v>
      </c>
      <c r="F2425" s="17" t="s">
        <v>314</v>
      </c>
      <c r="G2425" s="17" t="s">
        <v>321</v>
      </c>
      <c r="H2425" s="17" t="s">
        <v>322</v>
      </c>
      <c r="I2425" s="17" t="s">
        <v>323</v>
      </c>
      <c r="J2425" s="27" t="s">
        <v>237</v>
      </c>
      <c r="K2425" s="29">
        <v>5587</v>
      </c>
      <c r="L2425" s="31">
        <v>418654.48999950918</v>
      </c>
      <c r="M2425" s="31">
        <v>94168.590000480195</v>
      </c>
      <c r="N2425" s="31">
        <v>74285.72999977968</v>
      </c>
      <c r="O2425" s="34">
        <f t="shared" si="316"/>
        <v>0.22493151811315959</v>
      </c>
      <c r="P2425" s="34">
        <f t="shared" si="317"/>
        <v>0.78885889657475894</v>
      </c>
      <c r="Q2425" s="34">
        <f t="shared" si="318"/>
        <v>0.77506848188684041</v>
      </c>
      <c r="R2425" s="46">
        <f t="shared" si="319"/>
        <v>13.296175049181972</v>
      </c>
    </row>
    <row r="2426" spans="2:18" ht="12.75" customHeight="1" x14ac:dyDescent="0.25">
      <c r="B2426" s="17" t="s">
        <v>0</v>
      </c>
      <c r="C2426" s="44" t="s">
        <v>170</v>
      </c>
      <c r="D2426" s="22" t="s">
        <v>9</v>
      </c>
      <c r="E2426" s="20">
        <v>2</v>
      </c>
      <c r="F2426" s="17" t="s">
        <v>314</v>
      </c>
      <c r="G2426" s="17" t="s">
        <v>321</v>
      </c>
      <c r="H2426" s="17" t="s">
        <v>322</v>
      </c>
      <c r="I2426" s="17" t="s">
        <v>323</v>
      </c>
      <c r="J2426" s="27" t="s">
        <v>171</v>
      </c>
      <c r="K2426" s="29">
        <v>50832</v>
      </c>
      <c r="L2426" s="31">
        <v>473886.56000094069</v>
      </c>
      <c r="M2426" s="31">
        <v>90746.38397596679</v>
      </c>
      <c r="N2426" s="31">
        <v>70414.765181009047</v>
      </c>
      <c r="O2426" s="34">
        <f t="shared" si="316"/>
        <v>0.19149389671609732</v>
      </c>
      <c r="P2426" s="34">
        <f t="shared" si="317"/>
        <v>0.77595119602404927</v>
      </c>
      <c r="Q2426" s="34">
        <f t="shared" si="318"/>
        <v>0.80850610328390271</v>
      </c>
      <c r="R2426" s="46">
        <f t="shared" si="319"/>
        <v>1.3852448296547264</v>
      </c>
    </row>
    <row r="2427" spans="2:18" ht="12.75" customHeight="1" x14ac:dyDescent="0.25">
      <c r="B2427" s="17" t="s">
        <v>0</v>
      </c>
      <c r="C2427" s="44" t="s">
        <v>22</v>
      </c>
      <c r="D2427" s="22" t="s">
        <v>9</v>
      </c>
      <c r="E2427" s="20">
        <v>2</v>
      </c>
      <c r="F2427" s="17" t="s">
        <v>314</v>
      </c>
      <c r="G2427" s="17" t="s">
        <v>321</v>
      </c>
      <c r="H2427" s="17" t="s">
        <v>322</v>
      </c>
      <c r="I2427" s="17" t="s">
        <v>323</v>
      </c>
      <c r="J2427" s="27" t="s">
        <v>23</v>
      </c>
      <c r="K2427" s="29">
        <v>5231</v>
      </c>
      <c r="L2427" s="31">
        <v>111208.53958290278</v>
      </c>
      <c r="M2427" s="31">
        <v>68886.599071481207</v>
      </c>
      <c r="N2427" s="31">
        <v>68267.517584707603</v>
      </c>
      <c r="O2427" s="34">
        <f t="shared" si="316"/>
        <v>0.61943623511149715</v>
      </c>
      <c r="P2427" s="34">
        <f t="shared" si="317"/>
        <v>0.99101303453620626</v>
      </c>
      <c r="Q2427" s="34">
        <f t="shared" si="318"/>
        <v>0.38056376488850285</v>
      </c>
      <c r="R2427" s="46">
        <f t="shared" si="319"/>
        <v>13.050567307342305</v>
      </c>
    </row>
    <row r="2428" spans="2:18" ht="12.75" customHeight="1" x14ac:dyDescent="0.25">
      <c r="B2428" s="17" t="s">
        <v>0</v>
      </c>
      <c r="C2428" s="44" t="s">
        <v>18</v>
      </c>
      <c r="D2428" s="22" t="s">
        <v>9</v>
      </c>
      <c r="E2428" s="20">
        <v>2</v>
      </c>
      <c r="F2428" s="17" t="s">
        <v>314</v>
      </c>
      <c r="G2428" s="17" t="s">
        <v>321</v>
      </c>
      <c r="H2428" s="17" t="s">
        <v>322</v>
      </c>
      <c r="I2428" s="17" t="s">
        <v>323</v>
      </c>
      <c r="J2428" s="27" t="s">
        <v>19</v>
      </c>
      <c r="K2428" s="29">
        <v>34227</v>
      </c>
      <c r="L2428" s="31">
        <v>672696.54000037361</v>
      </c>
      <c r="M2428" s="31">
        <v>59209.31999957659</v>
      </c>
      <c r="N2428" s="31">
        <v>46607.89000012121</v>
      </c>
      <c r="O2428" s="34">
        <f t="shared" si="316"/>
        <v>8.8017875042948349E-2</v>
      </c>
      <c r="P2428" s="34">
        <f t="shared" si="317"/>
        <v>0.78717151287085385</v>
      </c>
      <c r="Q2428" s="34">
        <f t="shared" si="318"/>
        <v>0.91198212495705167</v>
      </c>
      <c r="R2428" s="46">
        <f t="shared" si="319"/>
        <v>1.361728752158273</v>
      </c>
    </row>
    <row r="2429" spans="2:18" ht="12.75" customHeight="1" x14ac:dyDescent="0.25">
      <c r="B2429" s="17" t="s">
        <v>0</v>
      </c>
      <c r="C2429" s="44" t="s">
        <v>32</v>
      </c>
      <c r="D2429" s="22" t="s">
        <v>9</v>
      </c>
      <c r="E2429" s="20">
        <v>2</v>
      </c>
      <c r="F2429" s="17" t="s">
        <v>314</v>
      </c>
      <c r="G2429" s="17" t="s">
        <v>321</v>
      </c>
      <c r="H2429" s="17" t="s">
        <v>322</v>
      </c>
      <c r="I2429" s="17" t="s">
        <v>323</v>
      </c>
      <c r="J2429" s="27" t="s">
        <v>33</v>
      </c>
      <c r="K2429" s="29">
        <v>3931</v>
      </c>
      <c r="L2429" s="31">
        <v>646865.23000134202</v>
      </c>
      <c r="M2429" s="31">
        <v>24293.369999957398</v>
      </c>
      <c r="N2429" s="31">
        <v>18941.400000027901</v>
      </c>
      <c r="O2429" s="34">
        <f t="shared" si="316"/>
        <v>3.755553533138116E-2</v>
      </c>
      <c r="P2429" s="34">
        <f t="shared" si="317"/>
        <v>0.77969421286800134</v>
      </c>
      <c r="Q2429" s="34">
        <f t="shared" si="318"/>
        <v>0.96244446466861888</v>
      </c>
      <c r="R2429" s="46">
        <f t="shared" si="319"/>
        <v>4.8184685830648437</v>
      </c>
    </row>
    <row r="2430" spans="2:18" ht="12.75" customHeight="1" x14ac:dyDescent="0.25">
      <c r="B2430" s="17" t="s">
        <v>0</v>
      </c>
      <c r="C2430" s="44" t="s">
        <v>68</v>
      </c>
      <c r="D2430" s="22" t="s">
        <v>9</v>
      </c>
      <c r="E2430" s="20">
        <v>2</v>
      </c>
      <c r="F2430" s="17" t="s">
        <v>314</v>
      </c>
      <c r="G2430" s="17" t="s">
        <v>321</v>
      </c>
      <c r="H2430" s="17" t="s">
        <v>322</v>
      </c>
      <c r="I2430" s="17" t="s">
        <v>323</v>
      </c>
      <c r="J2430" s="27" t="s">
        <v>69</v>
      </c>
      <c r="K2430" s="29">
        <v>37761</v>
      </c>
      <c r="L2430" s="31">
        <v>56726.710000059305</v>
      </c>
      <c r="M2430" s="31">
        <v>12166.6199998307</v>
      </c>
      <c r="N2430" s="31">
        <v>9298.6599990426002</v>
      </c>
      <c r="O2430" s="34">
        <f t="shared" si="316"/>
        <v>0.21447780066599986</v>
      </c>
      <c r="P2430" s="34">
        <f t="shared" si="317"/>
        <v>0.76427635606043354</v>
      </c>
      <c r="Q2430" s="34">
        <f t="shared" si="318"/>
        <v>0.78552219933400014</v>
      </c>
      <c r="R2430" s="46">
        <f t="shared" si="319"/>
        <v>0.24625036410695161</v>
      </c>
    </row>
    <row r="2431" spans="2:18" ht="12.75" customHeight="1" x14ac:dyDescent="0.25">
      <c r="B2431" s="17" t="s">
        <v>0</v>
      </c>
      <c r="C2431" s="44" t="s">
        <v>328</v>
      </c>
      <c r="D2431" s="22" t="s">
        <v>9</v>
      </c>
      <c r="E2431" s="20">
        <v>2</v>
      </c>
      <c r="F2431" s="17" t="s">
        <v>314</v>
      </c>
      <c r="G2431" s="17" t="s">
        <v>321</v>
      </c>
      <c r="H2431" s="17" t="s">
        <v>322</v>
      </c>
      <c r="I2431" s="17" t="s">
        <v>323</v>
      </c>
      <c r="J2431" s="27" t="s">
        <v>329</v>
      </c>
      <c r="K2431" s="29">
        <v>142</v>
      </c>
      <c r="L2431" s="31">
        <v>7694.5200000280001</v>
      </c>
      <c r="M2431" s="31">
        <v>7540.8000000080001</v>
      </c>
      <c r="N2431" s="31">
        <v>7540.8000000080001</v>
      </c>
      <c r="O2431" s="34">
        <f t="shared" si="316"/>
        <v>0.98002214562838996</v>
      </c>
      <c r="P2431" s="34">
        <f t="shared" si="317"/>
        <v>1</v>
      </c>
      <c r="Q2431" s="34">
        <f t="shared" si="318"/>
        <v>1.9977854371610038E-2</v>
      </c>
      <c r="R2431" s="46">
        <f t="shared" si="319"/>
        <v>53.104225352169017</v>
      </c>
    </row>
    <row r="2432" spans="2:18" ht="12.75" customHeight="1" x14ac:dyDescent="0.25">
      <c r="B2432" s="17" t="s">
        <v>0</v>
      </c>
      <c r="C2432" s="44" t="s">
        <v>46</v>
      </c>
      <c r="D2432" s="22" t="s">
        <v>2</v>
      </c>
      <c r="E2432" s="20">
        <v>1</v>
      </c>
      <c r="F2432" s="17" t="s">
        <v>314</v>
      </c>
      <c r="G2432" s="17" t="s">
        <v>321</v>
      </c>
      <c r="H2432" s="17" t="s">
        <v>322</v>
      </c>
      <c r="I2432" s="17" t="s">
        <v>323</v>
      </c>
      <c r="J2432" s="27" t="s">
        <v>47</v>
      </c>
      <c r="K2432" s="29">
        <v>72</v>
      </c>
      <c r="L2432" s="31">
        <v>93960</v>
      </c>
      <c r="M2432" s="31">
        <v>9297.4099996800014</v>
      </c>
      <c r="N2432" s="31">
        <v>6133.4400000240003</v>
      </c>
      <c r="O2432" s="34">
        <f t="shared" si="316"/>
        <v>9.8950723708812277E-2</v>
      </c>
      <c r="P2432" s="34">
        <f t="shared" si="317"/>
        <v>0.65969339850938069</v>
      </c>
      <c r="Q2432" s="34">
        <f t="shared" si="318"/>
        <v>0.9010492762911877</v>
      </c>
      <c r="R2432" s="46">
        <f t="shared" si="319"/>
        <v>85.186666666999997</v>
      </c>
    </row>
    <row r="2433" spans="2:18" ht="12.75" customHeight="1" x14ac:dyDescent="0.25">
      <c r="B2433" s="17" t="s">
        <v>0</v>
      </c>
      <c r="C2433" s="44" t="s">
        <v>52</v>
      </c>
      <c r="D2433" s="22" t="s">
        <v>9</v>
      </c>
      <c r="E2433" s="20">
        <v>2</v>
      </c>
      <c r="F2433" s="17" t="s">
        <v>314</v>
      </c>
      <c r="G2433" s="17" t="s">
        <v>321</v>
      </c>
      <c r="H2433" s="17" t="s">
        <v>322</v>
      </c>
      <c r="I2433" s="17" t="s">
        <v>323</v>
      </c>
      <c r="J2433" s="27" t="s">
        <v>53</v>
      </c>
      <c r="K2433" s="29">
        <v>847</v>
      </c>
      <c r="L2433" s="31">
        <v>96578.14</v>
      </c>
      <c r="M2433" s="31">
        <v>6535.2800000288007</v>
      </c>
      <c r="N2433" s="31">
        <v>5057.6400000419999</v>
      </c>
      <c r="O2433" s="34">
        <f t="shared" si="316"/>
        <v>6.7668315004086849E-2</v>
      </c>
      <c r="P2433" s="34">
        <f t="shared" si="317"/>
        <v>0.77389798142079769</v>
      </c>
      <c r="Q2433" s="34">
        <f t="shared" si="318"/>
        <v>0.93233168499591312</v>
      </c>
      <c r="R2433" s="46">
        <f t="shared" si="319"/>
        <v>5.9712396694710739</v>
      </c>
    </row>
    <row r="2434" spans="2:18" ht="12.75" customHeight="1" x14ac:dyDescent="0.25">
      <c r="B2434" s="17" t="s">
        <v>0</v>
      </c>
      <c r="C2434" s="44" t="s">
        <v>64</v>
      </c>
      <c r="D2434" s="22" t="s">
        <v>9</v>
      </c>
      <c r="E2434" s="20">
        <v>2</v>
      </c>
      <c r="F2434" s="17" t="s">
        <v>314</v>
      </c>
      <c r="G2434" s="17" t="s">
        <v>321</v>
      </c>
      <c r="H2434" s="17" t="s">
        <v>322</v>
      </c>
      <c r="I2434" s="17" t="s">
        <v>323</v>
      </c>
      <c r="J2434" s="27" t="s">
        <v>65</v>
      </c>
      <c r="K2434" s="29">
        <v>342</v>
      </c>
      <c r="L2434" s="31">
        <v>66180</v>
      </c>
      <c r="M2434" s="31">
        <v>5045.6100000126007</v>
      </c>
      <c r="N2434" s="31">
        <v>3913.4899999919999</v>
      </c>
      <c r="O2434" s="34">
        <f t="shared" si="316"/>
        <v>7.624070716247508E-2</v>
      </c>
      <c r="P2434" s="34">
        <f t="shared" si="317"/>
        <v>0.77562276909674477</v>
      </c>
      <c r="Q2434" s="34">
        <f t="shared" si="318"/>
        <v>0.92375929283752489</v>
      </c>
      <c r="R2434" s="46">
        <f t="shared" si="319"/>
        <v>11.442953216350876</v>
      </c>
    </row>
    <row r="2435" spans="2:18" ht="12.75" customHeight="1" x14ac:dyDescent="0.25">
      <c r="B2435" s="17" t="s">
        <v>0</v>
      </c>
      <c r="C2435" s="44" t="s">
        <v>88</v>
      </c>
      <c r="D2435" s="22" t="s">
        <v>2</v>
      </c>
      <c r="E2435" s="20">
        <v>1</v>
      </c>
      <c r="F2435" s="17" t="s">
        <v>314</v>
      </c>
      <c r="G2435" s="17" t="s">
        <v>321</v>
      </c>
      <c r="H2435" s="17" t="s">
        <v>322</v>
      </c>
      <c r="I2435" s="17" t="s">
        <v>323</v>
      </c>
      <c r="J2435" s="27" t="s">
        <v>89</v>
      </c>
      <c r="K2435" s="29">
        <v>28</v>
      </c>
      <c r="L2435" s="31">
        <v>4162.2399999600002</v>
      </c>
      <c r="M2435" s="31">
        <v>2797.0599999999995</v>
      </c>
      <c r="N2435" s="31">
        <v>2797.0599999999995</v>
      </c>
      <c r="O2435" s="34">
        <f t="shared" si="316"/>
        <v>0.67200834166863987</v>
      </c>
      <c r="P2435" s="34">
        <f t="shared" si="317"/>
        <v>1</v>
      </c>
      <c r="Q2435" s="34">
        <f t="shared" si="318"/>
        <v>0.32799165833136013</v>
      </c>
      <c r="R2435" s="46">
        <f t="shared" si="319"/>
        <v>99.894999999999982</v>
      </c>
    </row>
    <row r="2436" spans="2:18" ht="12.75" customHeight="1" x14ac:dyDescent="0.25">
      <c r="B2436" s="17" t="s">
        <v>0</v>
      </c>
      <c r="C2436" s="44" t="s">
        <v>26</v>
      </c>
      <c r="D2436" s="22" t="s">
        <v>9</v>
      </c>
      <c r="E2436" s="20">
        <v>2</v>
      </c>
      <c r="F2436" s="17" t="s">
        <v>314</v>
      </c>
      <c r="G2436" s="17" t="s">
        <v>321</v>
      </c>
      <c r="H2436" s="17" t="s">
        <v>322</v>
      </c>
      <c r="I2436" s="17" t="s">
        <v>323</v>
      </c>
      <c r="J2436" s="27" t="s">
        <v>27</v>
      </c>
      <c r="K2436" s="29">
        <v>1921</v>
      </c>
      <c r="L2436" s="31">
        <v>11824.28</v>
      </c>
      <c r="M2436" s="31">
        <v>3458.8099999965998</v>
      </c>
      <c r="N2436" s="31">
        <v>2746.8800000806</v>
      </c>
      <c r="O2436" s="34">
        <f t="shared" si="316"/>
        <v>0.29251759937997068</v>
      </c>
      <c r="P2436" s="34">
        <f t="shared" si="317"/>
        <v>0.79416909286237181</v>
      </c>
      <c r="Q2436" s="34">
        <f t="shared" si="318"/>
        <v>0.70748240062002932</v>
      </c>
      <c r="R2436" s="46">
        <f t="shared" si="319"/>
        <v>1.4299219157108798</v>
      </c>
    </row>
    <row r="2437" spans="2:18" ht="12.75" customHeight="1" x14ac:dyDescent="0.25">
      <c r="B2437" s="17" t="s">
        <v>0</v>
      </c>
      <c r="C2437" s="44" t="s">
        <v>155</v>
      </c>
      <c r="D2437" s="22" t="s">
        <v>9</v>
      </c>
      <c r="E2437" s="20">
        <v>2</v>
      </c>
      <c r="F2437" s="17" t="s">
        <v>314</v>
      </c>
      <c r="G2437" s="17" t="s">
        <v>321</v>
      </c>
      <c r="H2437" s="17" t="s">
        <v>322</v>
      </c>
      <c r="I2437" s="17" t="s">
        <v>323</v>
      </c>
      <c r="J2437" s="27" t="s">
        <v>156</v>
      </c>
      <c r="K2437" s="29">
        <v>843</v>
      </c>
      <c r="L2437" s="31">
        <v>16165.999999968</v>
      </c>
      <c r="M2437" s="31">
        <v>2383.7700000745995</v>
      </c>
      <c r="N2437" s="31">
        <v>1757.4899999801</v>
      </c>
      <c r="O2437" s="34">
        <f t="shared" si="316"/>
        <v>0.14745577137692181</v>
      </c>
      <c r="P2437" s="34">
        <f t="shared" si="317"/>
        <v>0.73727331073262092</v>
      </c>
      <c r="Q2437" s="34">
        <f t="shared" si="318"/>
        <v>0.85254422862307822</v>
      </c>
      <c r="R2437" s="46">
        <f t="shared" si="319"/>
        <v>2.0848042704390273</v>
      </c>
    </row>
    <row r="2438" spans="2:18" ht="12.75" customHeight="1" x14ac:dyDescent="0.25">
      <c r="B2438" s="17" t="s">
        <v>0</v>
      </c>
      <c r="C2438" s="44" t="s">
        <v>54</v>
      </c>
      <c r="D2438" s="22" t="s">
        <v>2</v>
      </c>
      <c r="E2438" s="20">
        <v>1</v>
      </c>
      <c r="F2438" s="17" t="s">
        <v>314</v>
      </c>
      <c r="G2438" s="17" t="s">
        <v>321</v>
      </c>
      <c r="H2438" s="17" t="s">
        <v>322</v>
      </c>
      <c r="I2438" s="17" t="s">
        <v>323</v>
      </c>
      <c r="J2438" s="27" t="s">
        <v>55</v>
      </c>
      <c r="K2438" s="29">
        <v>36</v>
      </c>
      <c r="L2438" s="31">
        <v>1662.9999999989998</v>
      </c>
      <c r="M2438" s="31">
        <v>1629.769999994</v>
      </c>
      <c r="N2438" s="31">
        <v>1629.769999994</v>
      </c>
      <c r="O2438" s="34">
        <f t="shared" si="316"/>
        <v>0.98001803968429357</v>
      </c>
      <c r="P2438" s="34">
        <f t="shared" si="317"/>
        <v>1</v>
      </c>
      <c r="Q2438" s="34">
        <f t="shared" si="318"/>
        <v>1.9981960315706426E-2</v>
      </c>
      <c r="R2438" s="46">
        <f t="shared" si="319"/>
        <v>45.271388888722221</v>
      </c>
    </row>
    <row r="2439" spans="2:18" ht="12.75" customHeight="1" x14ac:dyDescent="0.25">
      <c r="B2439" s="17" t="s">
        <v>0</v>
      </c>
      <c r="C2439" s="44" t="s">
        <v>1</v>
      </c>
      <c r="D2439" s="22" t="s">
        <v>9</v>
      </c>
      <c r="E2439" s="20">
        <v>2</v>
      </c>
      <c r="F2439" s="17" t="s">
        <v>314</v>
      </c>
      <c r="G2439" s="17" t="s">
        <v>321</v>
      </c>
      <c r="H2439" s="17" t="s">
        <v>322</v>
      </c>
      <c r="I2439" s="17" t="s">
        <v>323</v>
      </c>
      <c r="J2439" s="27" t="s">
        <v>6</v>
      </c>
      <c r="K2439" s="29">
        <v>14944</v>
      </c>
      <c r="L2439" s="31">
        <v>172934.30000084321</v>
      </c>
      <c r="M2439" s="31">
        <v>1839.1000003694999</v>
      </c>
      <c r="N2439" s="31">
        <v>1438.5399997632001</v>
      </c>
      <c r="O2439" s="34">
        <f t="shared" si="316"/>
        <v>1.063467455768192E-2</v>
      </c>
      <c r="P2439" s="34">
        <f t="shared" si="317"/>
        <v>0.78219781386231202</v>
      </c>
      <c r="Q2439" s="34">
        <f t="shared" si="318"/>
        <v>0.98936532544231803</v>
      </c>
      <c r="R2439" s="46">
        <f t="shared" si="319"/>
        <v>9.6262044952034262E-2</v>
      </c>
    </row>
    <row r="2440" spans="2:18" ht="12.75" customHeight="1" x14ac:dyDescent="0.25">
      <c r="B2440" s="17" t="s">
        <v>0</v>
      </c>
      <c r="C2440" s="44" t="s">
        <v>153</v>
      </c>
      <c r="D2440" s="22" t="s">
        <v>9</v>
      </c>
      <c r="E2440" s="20">
        <v>2</v>
      </c>
      <c r="F2440" s="17" t="s">
        <v>314</v>
      </c>
      <c r="G2440" s="17" t="s">
        <v>321</v>
      </c>
      <c r="H2440" s="17" t="s">
        <v>322</v>
      </c>
      <c r="I2440" s="17" t="s">
        <v>323</v>
      </c>
      <c r="J2440" s="27" t="s">
        <v>154</v>
      </c>
      <c r="K2440" s="29">
        <v>62</v>
      </c>
      <c r="L2440" s="31">
        <v>3261.0400000049999</v>
      </c>
      <c r="M2440" s="31">
        <v>844.98999999299997</v>
      </c>
      <c r="N2440" s="31">
        <v>662.24999998800001</v>
      </c>
      <c r="O2440" s="34">
        <f t="shared" ref="O2440:O2451" si="320">IFERROR(M2440/L2440,0)</f>
        <v>0.25911672349670795</v>
      </c>
      <c r="P2440" s="34">
        <f t="shared" ref="P2440:P2451" si="321">IFERROR(N2440/M2440,0)</f>
        <v>0.78373708563827527</v>
      </c>
      <c r="Q2440" s="34">
        <f t="shared" ref="Q2440:Q2451" si="322">IFERROR(1-(M2440/L2440),0)</f>
        <v>0.740883276503292</v>
      </c>
      <c r="R2440" s="46">
        <f t="shared" ref="R2440:R2451" si="323">IFERROR(N2440/K2440,0)</f>
        <v>10.681451612709678</v>
      </c>
    </row>
    <row r="2441" spans="2:18" ht="12.75" customHeight="1" x14ac:dyDescent="0.25">
      <c r="B2441" s="17" t="s">
        <v>0</v>
      </c>
      <c r="C2441" s="44" t="s">
        <v>16</v>
      </c>
      <c r="D2441" s="22" t="s">
        <v>2</v>
      </c>
      <c r="E2441" s="20">
        <v>1</v>
      </c>
      <c r="F2441" s="17" t="s">
        <v>314</v>
      </c>
      <c r="G2441" s="17" t="s">
        <v>321</v>
      </c>
      <c r="H2441" s="17" t="s">
        <v>322</v>
      </c>
      <c r="I2441" s="17" t="s">
        <v>323</v>
      </c>
      <c r="J2441" s="27" t="s">
        <v>17</v>
      </c>
      <c r="K2441" s="29">
        <v>1606</v>
      </c>
      <c r="L2441" s="31">
        <v>5091.1600000449998</v>
      </c>
      <c r="M2441" s="31">
        <v>646.68000002050007</v>
      </c>
      <c r="N2441" s="31">
        <v>506.32000003489998</v>
      </c>
      <c r="O2441" s="34">
        <f t="shared" si="320"/>
        <v>0.12702016829460952</v>
      </c>
      <c r="P2441" s="34">
        <f t="shared" si="321"/>
        <v>0.78295292883473955</v>
      </c>
      <c r="Q2441" s="34">
        <f t="shared" si="322"/>
        <v>0.87297983170539051</v>
      </c>
      <c r="R2441" s="46">
        <f t="shared" si="323"/>
        <v>0.31526774597440843</v>
      </c>
    </row>
    <row r="2442" spans="2:18" ht="12.75" customHeight="1" x14ac:dyDescent="0.25">
      <c r="B2442" s="17" t="s">
        <v>0</v>
      </c>
      <c r="C2442" s="44" t="s">
        <v>40</v>
      </c>
      <c r="D2442" s="22" t="s">
        <v>9</v>
      </c>
      <c r="E2442" s="20">
        <v>2</v>
      </c>
      <c r="F2442" s="17" t="s">
        <v>314</v>
      </c>
      <c r="G2442" s="17" t="s">
        <v>321</v>
      </c>
      <c r="H2442" s="17" t="s">
        <v>322</v>
      </c>
      <c r="I2442" s="17" t="s">
        <v>323</v>
      </c>
      <c r="J2442" s="27" t="s">
        <v>41</v>
      </c>
      <c r="K2442" s="29">
        <v>262</v>
      </c>
      <c r="L2442" s="31">
        <v>2071.7800000140001</v>
      </c>
      <c r="M2442" s="31">
        <v>455.52000000430002</v>
      </c>
      <c r="N2442" s="31">
        <v>339.88999998679998</v>
      </c>
      <c r="O2442" s="34">
        <f t="shared" si="320"/>
        <v>0.21986890500015535</v>
      </c>
      <c r="P2442" s="34">
        <f t="shared" si="321"/>
        <v>0.74615823670440706</v>
      </c>
      <c r="Q2442" s="34">
        <f t="shared" si="322"/>
        <v>0.78013109499984468</v>
      </c>
      <c r="R2442" s="46">
        <f t="shared" si="323"/>
        <v>1.2972900762854962</v>
      </c>
    </row>
    <row r="2443" spans="2:18" ht="12.75" customHeight="1" x14ac:dyDescent="0.25">
      <c r="B2443" s="17" t="s">
        <v>0</v>
      </c>
      <c r="C2443" s="44" t="s">
        <v>174</v>
      </c>
      <c r="D2443" s="22" t="s">
        <v>9</v>
      </c>
      <c r="E2443" s="20">
        <v>2</v>
      </c>
      <c r="F2443" s="17" t="s">
        <v>314</v>
      </c>
      <c r="G2443" s="17" t="s">
        <v>321</v>
      </c>
      <c r="H2443" s="17" t="s">
        <v>322</v>
      </c>
      <c r="I2443" s="17" t="s">
        <v>323</v>
      </c>
      <c r="J2443" s="27" t="s">
        <v>175</v>
      </c>
      <c r="K2443" s="29">
        <v>120</v>
      </c>
      <c r="L2443" s="31">
        <v>1033.1900000011999</v>
      </c>
      <c r="M2443" s="31">
        <v>391.86999999190004</v>
      </c>
      <c r="N2443" s="31">
        <v>285.41000000060001</v>
      </c>
      <c r="O2443" s="34">
        <f t="shared" si="320"/>
        <v>0.37928164228403771</v>
      </c>
      <c r="P2443" s="34">
        <f t="shared" si="321"/>
        <v>0.72832827214764961</v>
      </c>
      <c r="Q2443" s="34">
        <f t="shared" si="322"/>
        <v>0.62071835771596229</v>
      </c>
      <c r="R2443" s="46">
        <f t="shared" si="323"/>
        <v>2.3784166666716668</v>
      </c>
    </row>
    <row r="2444" spans="2:18" ht="12.75" customHeight="1" x14ac:dyDescent="0.25">
      <c r="B2444" s="17" t="s">
        <v>0</v>
      </c>
      <c r="C2444" s="44" t="s">
        <v>30</v>
      </c>
      <c r="D2444" s="22" t="s">
        <v>2</v>
      </c>
      <c r="E2444" s="20">
        <v>1</v>
      </c>
      <c r="F2444" s="17" t="s">
        <v>314</v>
      </c>
      <c r="G2444" s="17" t="s">
        <v>321</v>
      </c>
      <c r="H2444" s="17" t="s">
        <v>322</v>
      </c>
      <c r="I2444" s="17" t="s">
        <v>323</v>
      </c>
      <c r="J2444" s="27" t="s">
        <v>31</v>
      </c>
      <c r="K2444" s="29">
        <v>12</v>
      </c>
      <c r="L2444" s="31">
        <v>1200</v>
      </c>
      <c r="M2444" s="31">
        <v>257.04000000000002</v>
      </c>
      <c r="N2444" s="31">
        <v>257.04000000000002</v>
      </c>
      <c r="O2444" s="34">
        <f t="shared" si="320"/>
        <v>0.21420000000000003</v>
      </c>
      <c r="P2444" s="34">
        <f t="shared" si="321"/>
        <v>1</v>
      </c>
      <c r="Q2444" s="34">
        <f t="shared" si="322"/>
        <v>0.78579999999999994</v>
      </c>
      <c r="R2444" s="46">
        <f t="shared" si="323"/>
        <v>21.42</v>
      </c>
    </row>
    <row r="2445" spans="2:18" ht="12.75" customHeight="1" x14ac:dyDescent="0.25">
      <c r="B2445" s="17" t="s">
        <v>0</v>
      </c>
      <c r="C2445" s="44" t="s">
        <v>84</v>
      </c>
      <c r="D2445" s="22" t="s">
        <v>9</v>
      </c>
      <c r="E2445" s="20">
        <v>2</v>
      </c>
      <c r="F2445" s="17" t="s">
        <v>314</v>
      </c>
      <c r="G2445" s="17" t="s">
        <v>321</v>
      </c>
      <c r="H2445" s="17" t="s">
        <v>322</v>
      </c>
      <c r="I2445" s="17" t="s">
        <v>323</v>
      </c>
      <c r="J2445" s="27" t="s">
        <v>85</v>
      </c>
      <c r="K2445" s="29">
        <v>59</v>
      </c>
      <c r="L2445" s="31">
        <v>2420.6300000209999</v>
      </c>
      <c r="M2445" s="31">
        <v>803.33999997699993</v>
      </c>
      <c r="N2445" s="31">
        <v>197.97999999769999</v>
      </c>
      <c r="O2445" s="34">
        <f t="shared" si="320"/>
        <v>0.33187228117061701</v>
      </c>
      <c r="P2445" s="34">
        <f t="shared" si="321"/>
        <v>0.24644608758852823</v>
      </c>
      <c r="Q2445" s="34">
        <f t="shared" si="322"/>
        <v>0.66812771882938304</v>
      </c>
      <c r="R2445" s="46">
        <f t="shared" si="323"/>
        <v>3.3555932202999998</v>
      </c>
    </row>
    <row r="2446" spans="2:18" ht="12.75" customHeight="1" x14ac:dyDescent="0.25">
      <c r="B2446" s="17" t="s">
        <v>0</v>
      </c>
      <c r="C2446" s="44" t="s">
        <v>223</v>
      </c>
      <c r="D2446" s="22" t="s">
        <v>9</v>
      </c>
      <c r="E2446" s="20">
        <v>2</v>
      </c>
      <c r="F2446" s="17" t="s">
        <v>314</v>
      </c>
      <c r="G2446" s="17" t="s">
        <v>321</v>
      </c>
      <c r="H2446" s="17" t="s">
        <v>322</v>
      </c>
      <c r="I2446" s="17" t="s">
        <v>323</v>
      </c>
      <c r="J2446" s="27" t="s">
        <v>224</v>
      </c>
      <c r="K2446" s="29">
        <v>11</v>
      </c>
      <c r="L2446" s="31">
        <v>187</v>
      </c>
      <c r="M2446" s="31">
        <v>183.26</v>
      </c>
      <c r="N2446" s="31">
        <v>183.26</v>
      </c>
      <c r="O2446" s="34">
        <f t="shared" si="320"/>
        <v>0.98</v>
      </c>
      <c r="P2446" s="34">
        <f t="shared" si="321"/>
        <v>1</v>
      </c>
      <c r="Q2446" s="34">
        <f t="shared" si="322"/>
        <v>2.0000000000000018E-2</v>
      </c>
      <c r="R2446" s="46">
        <f t="shared" si="323"/>
        <v>16.66</v>
      </c>
    </row>
    <row r="2447" spans="2:18" ht="12.75" customHeight="1" x14ac:dyDescent="0.25">
      <c r="B2447" s="17" t="s">
        <v>0</v>
      </c>
      <c r="C2447" s="44" t="s">
        <v>42</v>
      </c>
      <c r="D2447" s="22" t="s">
        <v>9</v>
      </c>
      <c r="E2447" s="20">
        <v>2</v>
      </c>
      <c r="F2447" s="17" t="s">
        <v>314</v>
      </c>
      <c r="G2447" s="17" t="s">
        <v>321</v>
      </c>
      <c r="H2447" s="17" t="s">
        <v>322</v>
      </c>
      <c r="I2447" s="17" t="s">
        <v>323</v>
      </c>
      <c r="J2447" s="27" t="s">
        <v>43</v>
      </c>
      <c r="K2447" s="29">
        <v>414</v>
      </c>
      <c r="L2447" s="31">
        <v>2771.3600000022002</v>
      </c>
      <c r="M2447" s="31">
        <v>204.79999999419999</v>
      </c>
      <c r="N2447" s="31">
        <v>159.929999993</v>
      </c>
      <c r="O2447" s="34">
        <f t="shared" si="320"/>
        <v>7.3898735636668419E-2</v>
      </c>
      <c r="P2447" s="34">
        <f t="shared" si="321"/>
        <v>0.78090820311293585</v>
      </c>
      <c r="Q2447" s="34">
        <f t="shared" si="322"/>
        <v>0.92610126436333162</v>
      </c>
      <c r="R2447" s="46">
        <f t="shared" si="323"/>
        <v>0.38630434780917872</v>
      </c>
    </row>
    <row r="2448" spans="2:18" ht="12.75" customHeight="1" x14ac:dyDescent="0.25">
      <c r="B2448" s="17" t="s">
        <v>0</v>
      </c>
      <c r="C2448" s="44" t="s">
        <v>34</v>
      </c>
      <c r="D2448" s="22" t="s">
        <v>2</v>
      </c>
      <c r="E2448" s="20">
        <v>1</v>
      </c>
      <c r="F2448" s="17" t="s">
        <v>314</v>
      </c>
      <c r="G2448" s="17" t="s">
        <v>321</v>
      </c>
      <c r="H2448" s="17" t="s">
        <v>322</v>
      </c>
      <c r="I2448" s="17" t="s">
        <v>323</v>
      </c>
      <c r="J2448" s="27" t="s">
        <v>35</v>
      </c>
      <c r="K2448" s="29">
        <v>85</v>
      </c>
      <c r="L2448" s="31">
        <v>2475</v>
      </c>
      <c r="M2448" s="31">
        <v>188.50000000019998</v>
      </c>
      <c r="N2448" s="31">
        <v>150.27000000019999</v>
      </c>
      <c r="O2448" s="34">
        <f t="shared" si="320"/>
        <v>7.6161616161696963E-2</v>
      </c>
      <c r="P2448" s="34">
        <f t="shared" si="321"/>
        <v>0.7971883289126821</v>
      </c>
      <c r="Q2448" s="34">
        <f t="shared" si="322"/>
        <v>0.92383838383830308</v>
      </c>
      <c r="R2448" s="46">
        <f t="shared" si="323"/>
        <v>1.7678823529435292</v>
      </c>
    </row>
    <row r="2449" spans="2:18" ht="12.75" customHeight="1" x14ac:dyDescent="0.25">
      <c r="B2449" s="17" t="s">
        <v>0</v>
      </c>
      <c r="C2449" s="44" t="s">
        <v>58</v>
      </c>
      <c r="D2449" s="22" t="s">
        <v>2</v>
      </c>
      <c r="E2449" s="20">
        <v>1</v>
      </c>
      <c r="F2449" s="17" t="s">
        <v>314</v>
      </c>
      <c r="G2449" s="17" t="s">
        <v>321</v>
      </c>
      <c r="H2449" s="17" t="s">
        <v>322</v>
      </c>
      <c r="I2449" s="17" t="s">
        <v>323</v>
      </c>
      <c r="J2449" s="27" t="s">
        <v>59</v>
      </c>
      <c r="K2449" s="29">
        <v>91</v>
      </c>
      <c r="L2449" s="31">
        <v>2275</v>
      </c>
      <c r="M2449" s="31">
        <v>89.299999998299995</v>
      </c>
      <c r="N2449" s="31">
        <v>70.8999999981</v>
      </c>
      <c r="O2449" s="34">
        <f t="shared" si="320"/>
        <v>3.9252747251999995E-2</v>
      </c>
      <c r="P2449" s="34">
        <f t="shared" si="321"/>
        <v>0.79395296751903388</v>
      </c>
      <c r="Q2449" s="34">
        <f t="shared" si="322"/>
        <v>0.96074725274799999</v>
      </c>
      <c r="R2449" s="46">
        <f t="shared" si="323"/>
        <v>0.77912087910000005</v>
      </c>
    </row>
    <row r="2450" spans="2:18" ht="12.75" customHeight="1" x14ac:dyDescent="0.25">
      <c r="B2450" s="17" t="s">
        <v>0</v>
      </c>
      <c r="C2450" s="44" t="s">
        <v>18</v>
      </c>
      <c r="D2450" s="22" t="s">
        <v>2</v>
      </c>
      <c r="E2450" s="20">
        <v>1</v>
      </c>
      <c r="F2450" s="17" t="s">
        <v>314</v>
      </c>
      <c r="G2450" s="17" t="s">
        <v>321</v>
      </c>
      <c r="H2450" s="17" t="s">
        <v>322</v>
      </c>
      <c r="I2450" s="17" t="s">
        <v>323</v>
      </c>
      <c r="J2450" s="27" t="s">
        <v>19</v>
      </c>
      <c r="K2450" s="29">
        <v>48</v>
      </c>
      <c r="L2450" s="31">
        <v>144</v>
      </c>
      <c r="M2450" s="31">
        <v>37.89</v>
      </c>
      <c r="N2450" s="31">
        <v>30.219999998400002</v>
      </c>
      <c r="O2450" s="34">
        <f t="shared" si="320"/>
        <v>0.263125</v>
      </c>
      <c r="P2450" s="34">
        <f t="shared" si="321"/>
        <v>0.79757191866983379</v>
      </c>
      <c r="Q2450" s="34">
        <f t="shared" si="322"/>
        <v>0.73687499999999995</v>
      </c>
      <c r="R2450" s="46">
        <f t="shared" si="323"/>
        <v>0.62958333330000005</v>
      </c>
    </row>
    <row r="2451" spans="2:18" ht="12.75" customHeight="1" thickBot="1" x14ac:dyDescent="0.3">
      <c r="B2451" s="15" t="s">
        <v>0</v>
      </c>
      <c r="C2451" s="50" t="s">
        <v>219</v>
      </c>
      <c r="D2451" s="19" t="s">
        <v>9</v>
      </c>
      <c r="E2451" s="16">
        <v>2</v>
      </c>
      <c r="F2451" s="15" t="s">
        <v>314</v>
      </c>
      <c r="G2451" s="15" t="s">
        <v>321</v>
      </c>
      <c r="H2451" s="15" t="s">
        <v>322</v>
      </c>
      <c r="I2451" s="15" t="s">
        <v>323</v>
      </c>
      <c r="J2451" s="24" t="s">
        <v>220</v>
      </c>
      <c r="K2451" s="26">
        <v>89</v>
      </c>
      <c r="L2451" s="28">
        <v>89</v>
      </c>
      <c r="M2451" s="28">
        <v>2.67</v>
      </c>
      <c r="N2451" s="28">
        <v>1.7400000002</v>
      </c>
      <c r="O2451" s="32">
        <f t="shared" si="320"/>
        <v>0.03</v>
      </c>
      <c r="P2451" s="32">
        <f t="shared" si="321"/>
        <v>0.65168539333333331</v>
      </c>
      <c r="Q2451" s="32">
        <f t="shared" si="322"/>
        <v>0.97</v>
      </c>
      <c r="R2451" s="49">
        <f t="shared" si="323"/>
        <v>1.9550561800000001E-2</v>
      </c>
    </row>
    <row r="2452" spans="2:18" ht="17.25" customHeight="1" x14ac:dyDescent="0.25">
      <c r="B2452" s="48"/>
      <c r="C2452" s="58"/>
      <c r="D2452" s="51" t="s">
        <v>366</v>
      </c>
      <c r="E2452" s="52"/>
      <c r="F2452" s="52"/>
      <c r="G2452" s="53"/>
      <c r="H2452" s="53"/>
      <c r="I2452" s="53"/>
      <c r="J2452" s="54"/>
      <c r="K2452" s="55">
        <f>SUM(K2376:K2451)</f>
        <v>72544739</v>
      </c>
      <c r="L2452" s="56">
        <f>SUM(L2376:L2451)</f>
        <v>3005641489.8664556</v>
      </c>
      <c r="M2452" s="56">
        <f>SUM(M2376:M2451)</f>
        <v>1064699238.0418098</v>
      </c>
      <c r="N2452" s="56">
        <f>SUM(N2376:N2451)</f>
        <v>876299176.64661419</v>
      </c>
      <c r="O2452" s="57">
        <f>IFERROR(M2452/L2452,0)</f>
        <v>0.35423361090517674</v>
      </c>
      <c r="P2452" s="57">
        <f>IFERROR(N2452/M2452,0)</f>
        <v>0.82304856182512143</v>
      </c>
      <c r="Q2452" s="57">
        <f>IFERROR(1-(M2452/L2452),0)</f>
        <v>0.64576638909482331</v>
      </c>
      <c r="R2452" s="59">
        <f>IFERROR(N2452/K2452,0)</f>
        <v>12.07943110315159</v>
      </c>
    </row>
    <row r="2453" spans="2:18" ht="15.75" thickBot="1" x14ac:dyDescent="0.3">
      <c r="B2453" s="60"/>
      <c r="C2453" s="64"/>
      <c r="D2453" s="62" t="s">
        <v>323</v>
      </c>
      <c r="E2453" s="61"/>
      <c r="F2453" s="61"/>
      <c r="G2453" s="61"/>
      <c r="H2453" s="61"/>
      <c r="I2453" s="61"/>
      <c r="J2453" s="61"/>
      <c r="K2453" s="63"/>
      <c r="L2453" s="63"/>
      <c r="M2453" s="63"/>
      <c r="N2453" s="63"/>
      <c r="O2453" s="63"/>
      <c r="P2453" s="63"/>
      <c r="Q2453" s="63"/>
      <c r="R2453" s="65"/>
    </row>
    <row r="2454" spans="2:18" ht="15.75" thickBot="1" x14ac:dyDescent="0.3"/>
    <row r="2455" spans="2:18" ht="15.75" x14ac:dyDescent="0.25">
      <c r="B2455" s="1"/>
      <c r="C2455" s="7" t="s">
        <v>348</v>
      </c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9"/>
    </row>
    <row r="2456" spans="2:18" ht="18" x14ac:dyDescent="0.25">
      <c r="B2456" s="2"/>
      <c r="C2456" s="8" t="s">
        <v>331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10"/>
    </row>
    <row r="2457" spans="2:18" ht="15.75" thickBot="1" x14ac:dyDescent="0.3">
      <c r="B2457" s="3"/>
      <c r="C2457" s="11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12"/>
    </row>
    <row r="2458" spans="2:18" ht="17.25" customHeight="1" thickBot="1" x14ac:dyDescent="0.3">
      <c r="B2458" s="14" t="s">
        <v>349</v>
      </c>
      <c r="C2458" s="18" t="s">
        <v>350</v>
      </c>
      <c r="D2458" s="21" t="s">
        <v>351</v>
      </c>
      <c r="E2458" s="23" t="s">
        <v>352</v>
      </c>
      <c r="F2458" s="21" t="s">
        <v>353</v>
      </c>
      <c r="G2458" s="23" t="s">
        <v>354</v>
      </c>
      <c r="H2458" s="23" t="s">
        <v>355</v>
      </c>
      <c r="I2458" s="23" t="s">
        <v>356</v>
      </c>
      <c r="J2458" s="25" t="s">
        <v>357</v>
      </c>
      <c r="K2458" s="25" t="s">
        <v>358</v>
      </c>
      <c r="L2458" s="30" t="s">
        <v>359</v>
      </c>
      <c r="M2458" s="30" t="s">
        <v>360</v>
      </c>
      <c r="N2458" s="30" t="s">
        <v>361</v>
      </c>
      <c r="O2458" s="33" t="s">
        <v>362</v>
      </c>
      <c r="P2458" s="33" t="s">
        <v>363</v>
      </c>
      <c r="Q2458" s="33" t="s">
        <v>364</v>
      </c>
      <c r="R2458" s="35" t="s">
        <v>365</v>
      </c>
    </row>
    <row r="2459" spans="2:18" ht="12.75" customHeight="1" x14ac:dyDescent="0.25">
      <c r="B2459" s="17" t="s">
        <v>0</v>
      </c>
      <c r="C2459" s="43" t="s">
        <v>161</v>
      </c>
      <c r="D2459" s="37" t="s">
        <v>9</v>
      </c>
      <c r="E2459" s="36">
        <v>2</v>
      </c>
      <c r="F2459" s="38" t="s">
        <v>314</v>
      </c>
      <c r="G2459" s="38" t="s">
        <v>161</v>
      </c>
      <c r="H2459" s="38" t="s">
        <v>330</v>
      </c>
      <c r="I2459" s="38" t="s">
        <v>331</v>
      </c>
      <c r="J2459" s="39" t="s">
        <v>162</v>
      </c>
      <c r="K2459" s="40">
        <v>577051</v>
      </c>
      <c r="L2459" s="41">
        <v>606715008.02010167</v>
      </c>
      <c r="M2459" s="41">
        <v>128033931.71996114</v>
      </c>
      <c r="N2459" s="41">
        <v>101863533.14002974</v>
      </c>
      <c r="O2459" s="42">
        <f t="shared" ref="O2459:O2492" si="324">IFERROR(M2459/L2459,0)</f>
        <v>0.21102812692531767</v>
      </c>
      <c r="P2459" s="42">
        <f t="shared" ref="P2459:P2492" si="325">IFERROR(N2459/M2459,0)</f>
        <v>0.79559794635400316</v>
      </c>
      <c r="Q2459" s="42">
        <f t="shared" ref="Q2459:Q2492" si="326">IFERROR(1-(M2459/L2459),0)</f>
        <v>0.78897187307468231</v>
      </c>
      <c r="R2459" s="45">
        <f t="shared" ref="R2459:R2492" si="327">IFERROR(N2459/K2459,0)</f>
        <v>176.52431611769106</v>
      </c>
    </row>
    <row r="2460" spans="2:18" ht="12.75" customHeight="1" x14ac:dyDescent="0.25">
      <c r="B2460" s="17" t="s">
        <v>0</v>
      </c>
      <c r="C2460" s="44" t="s">
        <v>82</v>
      </c>
      <c r="D2460" s="22" t="s">
        <v>9</v>
      </c>
      <c r="E2460" s="20">
        <v>2</v>
      </c>
      <c r="F2460" s="17" t="s">
        <v>314</v>
      </c>
      <c r="G2460" s="17" t="s">
        <v>161</v>
      </c>
      <c r="H2460" s="17" t="s">
        <v>330</v>
      </c>
      <c r="I2460" s="17" t="s">
        <v>331</v>
      </c>
      <c r="J2460" s="27" t="s">
        <v>83</v>
      </c>
      <c r="K2460" s="29">
        <v>111552</v>
      </c>
      <c r="L2460" s="31">
        <v>39878760.820015877</v>
      </c>
      <c r="M2460" s="31">
        <v>17774716.209950432</v>
      </c>
      <c r="N2460" s="31">
        <v>14156945.799934028</v>
      </c>
      <c r="O2460" s="34">
        <f t="shared" si="324"/>
        <v>0.44571887000633625</v>
      </c>
      <c r="P2460" s="34">
        <f t="shared" si="325"/>
        <v>0.79646536308742033</v>
      </c>
      <c r="Q2460" s="34">
        <f t="shared" si="326"/>
        <v>0.55428112999366375</v>
      </c>
      <c r="R2460" s="46">
        <f t="shared" si="327"/>
        <v>126.90893753526632</v>
      </c>
    </row>
    <row r="2461" spans="2:18" ht="12.75" customHeight="1" x14ac:dyDescent="0.25">
      <c r="B2461" s="17" t="s">
        <v>0</v>
      </c>
      <c r="C2461" s="44" t="s">
        <v>161</v>
      </c>
      <c r="D2461" s="22" t="s">
        <v>2</v>
      </c>
      <c r="E2461" s="20">
        <v>1</v>
      </c>
      <c r="F2461" s="17" t="s">
        <v>314</v>
      </c>
      <c r="G2461" s="17" t="s">
        <v>161</v>
      </c>
      <c r="H2461" s="17" t="s">
        <v>330</v>
      </c>
      <c r="I2461" s="17" t="s">
        <v>331</v>
      </c>
      <c r="J2461" s="27" t="s">
        <v>162</v>
      </c>
      <c r="K2461" s="29">
        <v>172918</v>
      </c>
      <c r="L2461" s="31">
        <v>92782624.759957403</v>
      </c>
      <c r="M2461" s="31">
        <v>14864846.679999886</v>
      </c>
      <c r="N2461" s="31">
        <v>11767237.390000634</v>
      </c>
      <c r="O2461" s="34">
        <f t="shared" si="324"/>
        <v>0.16021153441668071</v>
      </c>
      <c r="P2461" s="34">
        <f t="shared" si="325"/>
        <v>0.79161512010971669</v>
      </c>
      <c r="Q2461" s="34">
        <f t="shared" si="326"/>
        <v>0.83978846558331932</v>
      </c>
      <c r="R2461" s="46">
        <f t="shared" si="327"/>
        <v>68.050968609402346</v>
      </c>
    </row>
    <row r="2462" spans="2:18" ht="12.75" customHeight="1" x14ac:dyDescent="0.25">
      <c r="B2462" s="17" t="s">
        <v>0</v>
      </c>
      <c r="C2462" s="44" t="s">
        <v>18</v>
      </c>
      <c r="D2462" s="22" t="s">
        <v>9</v>
      </c>
      <c r="E2462" s="20">
        <v>2</v>
      </c>
      <c r="F2462" s="17" t="s">
        <v>314</v>
      </c>
      <c r="G2462" s="17" t="s">
        <v>161</v>
      </c>
      <c r="H2462" s="17" t="s">
        <v>330</v>
      </c>
      <c r="I2462" s="17" t="s">
        <v>331</v>
      </c>
      <c r="J2462" s="27" t="s">
        <v>19</v>
      </c>
      <c r="K2462" s="29">
        <v>20025</v>
      </c>
      <c r="L2462" s="31">
        <v>12940803.600020209</v>
      </c>
      <c r="M2462" s="31">
        <v>5376997.6700346144</v>
      </c>
      <c r="N2462" s="31">
        <v>4282332.1399665941</v>
      </c>
      <c r="O2462" s="34">
        <f t="shared" si="324"/>
        <v>0.41550724639899622</v>
      </c>
      <c r="P2462" s="34">
        <f t="shared" si="325"/>
        <v>0.79641696031068332</v>
      </c>
      <c r="Q2462" s="34">
        <f t="shared" si="326"/>
        <v>0.58449275360100383</v>
      </c>
      <c r="R2462" s="46">
        <f t="shared" si="327"/>
        <v>213.84929537910583</v>
      </c>
    </row>
    <row r="2463" spans="2:18" ht="12.75" customHeight="1" x14ac:dyDescent="0.25">
      <c r="B2463" s="17" t="s">
        <v>0</v>
      </c>
      <c r="C2463" s="44" t="s">
        <v>145</v>
      </c>
      <c r="D2463" s="22" t="s">
        <v>9</v>
      </c>
      <c r="E2463" s="20">
        <v>2</v>
      </c>
      <c r="F2463" s="17" t="s">
        <v>314</v>
      </c>
      <c r="G2463" s="17" t="s">
        <v>161</v>
      </c>
      <c r="H2463" s="17" t="s">
        <v>330</v>
      </c>
      <c r="I2463" s="17" t="s">
        <v>331</v>
      </c>
      <c r="J2463" s="27" t="s">
        <v>146</v>
      </c>
      <c r="K2463" s="29">
        <v>7347</v>
      </c>
      <c r="L2463" s="31">
        <v>15652054</v>
      </c>
      <c r="M2463" s="31">
        <v>2201021.0699965893</v>
      </c>
      <c r="N2463" s="31">
        <v>1747779.4199979599</v>
      </c>
      <c r="O2463" s="34">
        <f t="shared" si="324"/>
        <v>0.1406218679028701</v>
      </c>
      <c r="P2463" s="34">
        <f t="shared" si="325"/>
        <v>0.79407664189269578</v>
      </c>
      <c r="Q2463" s="34">
        <f t="shared" si="326"/>
        <v>0.85937813209712988</v>
      </c>
      <c r="R2463" s="46">
        <f t="shared" si="327"/>
        <v>237.89021641458552</v>
      </c>
    </row>
    <row r="2464" spans="2:18" ht="12.75" customHeight="1" x14ac:dyDescent="0.25">
      <c r="B2464" s="17" t="s">
        <v>0</v>
      </c>
      <c r="C2464" s="44" t="s">
        <v>157</v>
      </c>
      <c r="D2464" s="22" t="s">
        <v>9</v>
      </c>
      <c r="E2464" s="20">
        <v>2</v>
      </c>
      <c r="F2464" s="17" t="s">
        <v>314</v>
      </c>
      <c r="G2464" s="17" t="s">
        <v>161</v>
      </c>
      <c r="H2464" s="17" t="s">
        <v>330</v>
      </c>
      <c r="I2464" s="17" t="s">
        <v>331</v>
      </c>
      <c r="J2464" s="27" t="s">
        <v>158</v>
      </c>
      <c r="K2464" s="29">
        <v>6180</v>
      </c>
      <c r="L2464" s="31">
        <v>12373123</v>
      </c>
      <c r="M2464" s="31">
        <v>1791190.4100000993</v>
      </c>
      <c r="N2464" s="31">
        <v>1424889.2799979902</v>
      </c>
      <c r="O2464" s="34">
        <f t="shared" si="324"/>
        <v>0.14476461682310113</v>
      </c>
      <c r="P2464" s="34">
        <f t="shared" si="325"/>
        <v>0.79549849755945889</v>
      </c>
      <c r="Q2464" s="34">
        <f t="shared" si="326"/>
        <v>0.85523538317689884</v>
      </c>
      <c r="R2464" s="46">
        <f t="shared" si="327"/>
        <v>230.56460841391427</v>
      </c>
    </row>
    <row r="2465" spans="2:18" ht="12.75" customHeight="1" x14ac:dyDescent="0.25">
      <c r="B2465" s="17" t="s">
        <v>0</v>
      </c>
      <c r="C2465" s="44" t="s">
        <v>98</v>
      </c>
      <c r="D2465" s="22" t="s">
        <v>2</v>
      </c>
      <c r="E2465" s="20">
        <v>1</v>
      </c>
      <c r="F2465" s="17" t="s">
        <v>314</v>
      </c>
      <c r="G2465" s="17" t="s">
        <v>161</v>
      </c>
      <c r="H2465" s="17" t="s">
        <v>330</v>
      </c>
      <c r="I2465" s="17" t="s">
        <v>331</v>
      </c>
      <c r="J2465" s="27" t="s">
        <v>102</v>
      </c>
      <c r="K2465" s="29">
        <v>2009</v>
      </c>
      <c r="L2465" s="31">
        <v>2550760.1799961198</v>
      </c>
      <c r="M2465" s="31">
        <v>530637.979999364</v>
      </c>
      <c r="N2465" s="31">
        <v>422137.12000006193</v>
      </c>
      <c r="O2465" s="34">
        <f t="shared" si="324"/>
        <v>0.20803130931743305</v>
      </c>
      <c r="P2465" s="34">
        <f t="shared" si="325"/>
        <v>0.79552752707329366</v>
      </c>
      <c r="Q2465" s="34">
        <f t="shared" si="326"/>
        <v>0.79196869068256692</v>
      </c>
      <c r="R2465" s="46">
        <f t="shared" si="327"/>
        <v>210.12300647091186</v>
      </c>
    </row>
    <row r="2466" spans="2:18" ht="12.75" customHeight="1" x14ac:dyDescent="0.25">
      <c r="B2466" s="17" t="s">
        <v>0</v>
      </c>
      <c r="C2466" s="44" t="s">
        <v>174</v>
      </c>
      <c r="D2466" s="22" t="s">
        <v>9</v>
      </c>
      <c r="E2466" s="20">
        <v>2</v>
      </c>
      <c r="F2466" s="17" t="s">
        <v>314</v>
      </c>
      <c r="G2466" s="17" t="s">
        <v>161</v>
      </c>
      <c r="H2466" s="17" t="s">
        <v>330</v>
      </c>
      <c r="I2466" s="17" t="s">
        <v>331</v>
      </c>
      <c r="J2466" s="27" t="s">
        <v>175</v>
      </c>
      <c r="K2466" s="29">
        <v>2184</v>
      </c>
      <c r="L2466" s="31">
        <v>1209620.3</v>
      </c>
      <c r="M2466" s="31">
        <v>507158.46999929997</v>
      </c>
      <c r="N2466" s="31">
        <v>398013.70000123</v>
      </c>
      <c r="O2466" s="34">
        <f t="shared" si="324"/>
        <v>0.41927079927420197</v>
      </c>
      <c r="P2466" s="34">
        <f t="shared" si="325"/>
        <v>0.78479158595493703</v>
      </c>
      <c r="Q2466" s="34">
        <f t="shared" si="326"/>
        <v>0.58072920072579803</v>
      </c>
      <c r="R2466" s="46">
        <f t="shared" si="327"/>
        <v>182.24070512876833</v>
      </c>
    </row>
    <row r="2467" spans="2:18" ht="12.75" customHeight="1" x14ac:dyDescent="0.25">
      <c r="B2467" s="17" t="s">
        <v>0</v>
      </c>
      <c r="C2467" s="44" t="s">
        <v>332</v>
      </c>
      <c r="D2467" s="22" t="s">
        <v>9</v>
      </c>
      <c r="E2467" s="20">
        <v>2</v>
      </c>
      <c r="F2467" s="17" t="s">
        <v>314</v>
      </c>
      <c r="G2467" s="17" t="s">
        <v>161</v>
      </c>
      <c r="H2467" s="17" t="s">
        <v>330</v>
      </c>
      <c r="I2467" s="17" t="s">
        <v>331</v>
      </c>
      <c r="J2467" s="27" t="s">
        <v>333</v>
      </c>
      <c r="K2467" s="29">
        <v>2150</v>
      </c>
      <c r="L2467" s="31">
        <v>1566705</v>
      </c>
      <c r="M2467" s="31">
        <v>431221.30000483</v>
      </c>
      <c r="N2467" s="31">
        <v>343630.04999820702</v>
      </c>
      <c r="O2467" s="34">
        <f t="shared" si="324"/>
        <v>0.27524090368309923</v>
      </c>
      <c r="P2467" s="34">
        <f t="shared" si="325"/>
        <v>0.79687633703241956</v>
      </c>
      <c r="Q2467" s="34">
        <f t="shared" si="326"/>
        <v>0.72475909631690083</v>
      </c>
      <c r="R2467" s="46">
        <f t="shared" si="327"/>
        <v>159.8279302317242</v>
      </c>
    </row>
    <row r="2468" spans="2:18" ht="12.75" customHeight="1" x14ac:dyDescent="0.25">
      <c r="B2468" s="17" t="s">
        <v>0</v>
      </c>
      <c r="C2468" s="44" t="s">
        <v>16</v>
      </c>
      <c r="D2468" s="22" t="s">
        <v>9</v>
      </c>
      <c r="E2468" s="20">
        <v>2</v>
      </c>
      <c r="F2468" s="17" t="s">
        <v>314</v>
      </c>
      <c r="G2468" s="17" t="s">
        <v>161</v>
      </c>
      <c r="H2468" s="17" t="s">
        <v>330</v>
      </c>
      <c r="I2468" s="17" t="s">
        <v>331</v>
      </c>
      <c r="J2468" s="27" t="s">
        <v>17</v>
      </c>
      <c r="K2468" s="29">
        <v>488</v>
      </c>
      <c r="L2468" s="31">
        <v>587477</v>
      </c>
      <c r="M2468" s="31">
        <v>219591.62999843003</v>
      </c>
      <c r="N2468" s="31">
        <v>169890.08999885002</v>
      </c>
      <c r="O2468" s="34">
        <f t="shared" si="324"/>
        <v>0.37378762061907111</v>
      </c>
      <c r="P2468" s="34">
        <f t="shared" si="325"/>
        <v>0.77366377762241967</v>
      </c>
      <c r="Q2468" s="34">
        <f t="shared" si="326"/>
        <v>0.62621237938092889</v>
      </c>
      <c r="R2468" s="46">
        <f t="shared" si="327"/>
        <v>348.13543032551235</v>
      </c>
    </row>
    <row r="2469" spans="2:18" ht="12.75" customHeight="1" x14ac:dyDescent="0.25">
      <c r="B2469" s="17" t="s">
        <v>0</v>
      </c>
      <c r="C2469" s="44" t="s">
        <v>170</v>
      </c>
      <c r="D2469" s="22" t="s">
        <v>9</v>
      </c>
      <c r="E2469" s="20">
        <v>2</v>
      </c>
      <c r="F2469" s="17" t="s">
        <v>314</v>
      </c>
      <c r="G2469" s="17" t="s">
        <v>161</v>
      </c>
      <c r="H2469" s="17" t="s">
        <v>330</v>
      </c>
      <c r="I2469" s="17" t="s">
        <v>331</v>
      </c>
      <c r="J2469" s="27" t="s">
        <v>171</v>
      </c>
      <c r="K2469" s="29">
        <v>763</v>
      </c>
      <c r="L2469" s="31">
        <v>515898.04000146</v>
      </c>
      <c r="M2469" s="31">
        <v>168888.12000006004</v>
      </c>
      <c r="N2469" s="31">
        <v>133957.319999292</v>
      </c>
      <c r="O2469" s="34">
        <f t="shared" si="324"/>
        <v>0.32736724489122321</v>
      </c>
      <c r="P2469" s="34">
        <f t="shared" si="325"/>
        <v>0.7931719531204704</v>
      </c>
      <c r="Q2469" s="34">
        <f t="shared" si="326"/>
        <v>0.67263275510877674</v>
      </c>
      <c r="R2469" s="46">
        <f t="shared" si="327"/>
        <v>175.56660550365925</v>
      </c>
    </row>
    <row r="2470" spans="2:18" ht="12.75" customHeight="1" x14ac:dyDescent="0.25">
      <c r="B2470" s="17" t="s">
        <v>0</v>
      </c>
      <c r="C2470" s="44" t="s">
        <v>30</v>
      </c>
      <c r="D2470" s="22" t="s">
        <v>9</v>
      </c>
      <c r="E2470" s="20">
        <v>2</v>
      </c>
      <c r="F2470" s="17" t="s">
        <v>314</v>
      </c>
      <c r="G2470" s="17" t="s">
        <v>161</v>
      </c>
      <c r="H2470" s="17" t="s">
        <v>330</v>
      </c>
      <c r="I2470" s="17" t="s">
        <v>331</v>
      </c>
      <c r="J2470" s="27" t="s">
        <v>31</v>
      </c>
      <c r="K2470" s="29">
        <v>428</v>
      </c>
      <c r="L2470" s="31">
        <v>951192</v>
      </c>
      <c r="M2470" s="31">
        <v>131432.54000079</v>
      </c>
      <c r="N2470" s="31">
        <v>104730.79999993001</v>
      </c>
      <c r="O2470" s="34">
        <f t="shared" si="324"/>
        <v>0.1381766667516022</v>
      </c>
      <c r="P2470" s="34">
        <f t="shared" si="325"/>
        <v>0.79684072147810958</v>
      </c>
      <c r="Q2470" s="34">
        <f t="shared" si="326"/>
        <v>0.86182333324839777</v>
      </c>
      <c r="R2470" s="46">
        <f t="shared" si="327"/>
        <v>244.69813084095796</v>
      </c>
    </row>
    <row r="2471" spans="2:18" ht="12.75" customHeight="1" x14ac:dyDescent="0.25">
      <c r="B2471" s="17" t="s">
        <v>0</v>
      </c>
      <c r="C2471" s="44" t="s">
        <v>159</v>
      </c>
      <c r="D2471" s="22" t="s">
        <v>9</v>
      </c>
      <c r="E2471" s="20">
        <v>2</v>
      </c>
      <c r="F2471" s="17" t="s">
        <v>314</v>
      </c>
      <c r="G2471" s="17" t="s">
        <v>161</v>
      </c>
      <c r="H2471" s="17" t="s">
        <v>330</v>
      </c>
      <c r="I2471" s="17" t="s">
        <v>331</v>
      </c>
      <c r="J2471" s="27" t="s">
        <v>160</v>
      </c>
      <c r="K2471" s="29">
        <v>463</v>
      </c>
      <c r="L2471" s="31">
        <v>938576</v>
      </c>
      <c r="M2471" s="31">
        <v>133286.40999870002</v>
      </c>
      <c r="N2471" s="31">
        <v>104515.40000071999</v>
      </c>
      <c r="O2471" s="34">
        <f t="shared" si="324"/>
        <v>0.14200918199346671</v>
      </c>
      <c r="P2471" s="34">
        <f t="shared" si="325"/>
        <v>0.78414145899600241</v>
      </c>
      <c r="Q2471" s="34">
        <f t="shared" si="326"/>
        <v>0.85799081800653332</v>
      </c>
      <c r="R2471" s="46">
        <f t="shared" si="327"/>
        <v>225.73520518514039</v>
      </c>
    </row>
    <row r="2472" spans="2:18" ht="12.75" customHeight="1" x14ac:dyDescent="0.25">
      <c r="B2472" s="17" t="s">
        <v>0</v>
      </c>
      <c r="C2472" s="44" t="s">
        <v>66</v>
      </c>
      <c r="D2472" s="22" t="s">
        <v>9</v>
      </c>
      <c r="E2472" s="20">
        <v>2</v>
      </c>
      <c r="F2472" s="17" t="s">
        <v>314</v>
      </c>
      <c r="G2472" s="17" t="s">
        <v>161</v>
      </c>
      <c r="H2472" s="17" t="s">
        <v>330</v>
      </c>
      <c r="I2472" s="17" t="s">
        <v>331</v>
      </c>
      <c r="J2472" s="27" t="s">
        <v>67</v>
      </c>
      <c r="K2472" s="29">
        <v>282</v>
      </c>
      <c r="L2472" s="31">
        <v>778884</v>
      </c>
      <c r="M2472" s="31">
        <v>102862.98000126</v>
      </c>
      <c r="N2472" s="31">
        <v>81955.55999958</v>
      </c>
      <c r="O2472" s="34">
        <f t="shared" si="324"/>
        <v>0.13206456930847213</v>
      </c>
      <c r="P2472" s="34">
        <f t="shared" si="325"/>
        <v>0.79674495137683254</v>
      </c>
      <c r="Q2472" s="34">
        <f t="shared" si="326"/>
        <v>0.8679354306915279</v>
      </c>
      <c r="R2472" s="46">
        <f t="shared" si="327"/>
        <v>290.62255319000002</v>
      </c>
    </row>
    <row r="2473" spans="2:18" ht="12.75" customHeight="1" x14ac:dyDescent="0.25">
      <c r="B2473" s="17" t="s">
        <v>0</v>
      </c>
      <c r="C2473" s="44" t="s">
        <v>56</v>
      </c>
      <c r="D2473" s="22" t="s">
        <v>9</v>
      </c>
      <c r="E2473" s="20">
        <v>2</v>
      </c>
      <c r="F2473" s="17" t="s">
        <v>314</v>
      </c>
      <c r="G2473" s="17" t="s">
        <v>161</v>
      </c>
      <c r="H2473" s="17" t="s">
        <v>330</v>
      </c>
      <c r="I2473" s="17" t="s">
        <v>331</v>
      </c>
      <c r="J2473" s="27" t="s">
        <v>57</v>
      </c>
      <c r="K2473" s="29">
        <v>274</v>
      </c>
      <c r="L2473" s="31">
        <v>756788</v>
      </c>
      <c r="M2473" s="31">
        <v>96135.100000060003</v>
      </c>
      <c r="N2473" s="31">
        <v>76521.029999939987</v>
      </c>
      <c r="O2473" s="34">
        <f t="shared" si="324"/>
        <v>0.12703042331545955</v>
      </c>
      <c r="P2473" s="34">
        <f t="shared" si="325"/>
        <v>0.79597389506946192</v>
      </c>
      <c r="Q2473" s="34">
        <f t="shared" si="326"/>
        <v>0.87296957668454045</v>
      </c>
      <c r="R2473" s="46">
        <f t="shared" si="327"/>
        <v>279.27383211656928</v>
      </c>
    </row>
    <row r="2474" spans="2:18" ht="12.75" customHeight="1" x14ac:dyDescent="0.25">
      <c r="B2474" s="17" t="s">
        <v>0</v>
      </c>
      <c r="C2474" s="44" t="s">
        <v>20</v>
      </c>
      <c r="D2474" s="22" t="s">
        <v>9</v>
      </c>
      <c r="E2474" s="20">
        <v>2</v>
      </c>
      <c r="F2474" s="17" t="s">
        <v>314</v>
      </c>
      <c r="G2474" s="17" t="s">
        <v>161</v>
      </c>
      <c r="H2474" s="17" t="s">
        <v>330</v>
      </c>
      <c r="I2474" s="17" t="s">
        <v>331</v>
      </c>
      <c r="J2474" s="27" t="s">
        <v>21</v>
      </c>
      <c r="K2474" s="29">
        <v>167</v>
      </c>
      <c r="L2474" s="31">
        <v>384200.69000048004</v>
      </c>
      <c r="M2474" s="31">
        <v>80183.660000029995</v>
      </c>
      <c r="N2474" s="31">
        <v>62577.890000029998</v>
      </c>
      <c r="O2474" s="34">
        <f t="shared" si="324"/>
        <v>0.20870254033101765</v>
      </c>
      <c r="P2474" s="34">
        <f t="shared" si="325"/>
        <v>0.78043194835464713</v>
      </c>
      <c r="Q2474" s="34">
        <f t="shared" si="326"/>
        <v>0.79129745966898235</v>
      </c>
      <c r="R2474" s="46">
        <f t="shared" si="327"/>
        <v>374.71790419179638</v>
      </c>
    </row>
    <row r="2475" spans="2:18" ht="12.75" customHeight="1" x14ac:dyDescent="0.25">
      <c r="B2475" s="17" t="s">
        <v>0</v>
      </c>
      <c r="C2475" s="44" t="s">
        <v>58</v>
      </c>
      <c r="D2475" s="22" t="s">
        <v>9</v>
      </c>
      <c r="E2475" s="20">
        <v>2</v>
      </c>
      <c r="F2475" s="17" t="s">
        <v>314</v>
      </c>
      <c r="G2475" s="17" t="s">
        <v>161</v>
      </c>
      <c r="H2475" s="17" t="s">
        <v>330</v>
      </c>
      <c r="I2475" s="17" t="s">
        <v>331</v>
      </c>
      <c r="J2475" s="27" t="s">
        <v>59</v>
      </c>
      <c r="K2475" s="29">
        <v>185</v>
      </c>
      <c r="L2475" s="31">
        <v>366410.0000006</v>
      </c>
      <c r="M2475" s="31">
        <v>69293.480000290001</v>
      </c>
      <c r="N2475" s="31">
        <v>54152.719999499997</v>
      </c>
      <c r="O2475" s="34">
        <f t="shared" si="324"/>
        <v>0.18911459840118044</v>
      </c>
      <c r="P2475" s="34">
        <f t="shared" si="325"/>
        <v>0.78149805723818988</v>
      </c>
      <c r="Q2475" s="34">
        <f t="shared" si="326"/>
        <v>0.81088540159881961</v>
      </c>
      <c r="R2475" s="46">
        <f t="shared" si="327"/>
        <v>292.7174054027027</v>
      </c>
    </row>
    <row r="2476" spans="2:18" ht="12.75" customHeight="1" x14ac:dyDescent="0.25">
      <c r="B2476" s="17" t="s">
        <v>0</v>
      </c>
      <c r="C2476" s="44" t="s">
        <v>60</v>
      </c>
      <c r="D2476" s="22" t="s">
        <v>9</v>
      </c>
      <c r="E2476" s="20">
        <v>2</v>
      </c>
      <c r="F2476" s="17" t="s">
        <v>314</v>
      </c>
      <c r="G2476" s="17" t="s">
        <v>161</v>
      </c>
      <c r="H2476" s="17" t="s">
        <v>330</v>
      </c>
      <c r="I2476" s="17" t="s">
        <v>331</v>
      </c>
      <c r="J2476" s="27" t="s">
        <v>61</v>
      </c>
      <c r="K2476" s="29">
        <v>665</v>
      </c>
      <c r="L2476" s="31">
        <v>166414</v>
      </c>
      <c r="M2476" s="31">
        <v>66822.760000448994</v>
      </c>
      <c r="N2476" s="31">
        <v>52988.849999947</v>
      </c>
      <c r="O2476" s="34">
        <f t="shared" si="324"/>
        <v>0.40154530268155919</v>
      </c>
      <c r="P2476" s="34">
        <f t="shared" si="325"/>
        <v>0.79297607580996299</v>
      </c>
      <c r="Q2476" s="34">
        <f t="shared" si="326"/>
        <v>0.59845469731844081</v>
      </c>
      <c r="R2476" s="46">
        <f t="shared" si="327"/>
        <v>79.682481202927818</v>
      </c>
    </row>
    <row r="2477" spans="2:18" ht="12.75" customHeight="1" x14ac:dyDescent="0.25">
      <c r="B2477" s="17" t="s">
        <v>0</v>
      </c>
      <c r="C2477" s="44" t="s">
        <v>18</v>
      </c>
      <c r="D2477" s="22" t="s">
        <v>2</v>
      </c>
      <c r="E2477" s="20">
        <v>1</v>
      </c>
      <c r="F2477" s="17" t="s">
        <v>314</v>
      </c>
      <c r="G2477" s="17" t="s">
        <v>161</v>
      </c>
      <c r="H2477" s="17" t="s">
        <v>330</v>
      </c>
      <c r="I2477" s="17" t="s">
        <v>331</v>
      </c>
      <c r="J2477" s="27" t="s">
        <v>19</v>
      </c>
      <c r="K2477" s="29">
        <v>668</v>
      </c>
      <c r="L2477" s="31">
        <v>221457.34999988999</v>
      </c>
      <c r="M2477" s="31">
        <v>49416.759999968999</v>
      </c>
      <c r="N2477" s="31">
        <v>39034.900000128</v>
      </c>
      <c r="O2477" s="34">
        <f t="shared" si="324"/>
        <v>0.22314346306407778</v>
      </c>
      <c r="P2477" s="34">
        <f t="shared" si="325"/>
        <v>0.78991216745396675</v>
      </c>
      <c r="Q2477" s="34">
        <f t="shared" si="326"/>
        <v>0.77685653693592216</v>
      </c>
      <c r="R2477" s="46">
        <f t="shared" si="327"/>
        <v>58.435479042107787</v>
      </c>
    </row>
    <row r="2478" spans="2:18" ht="12.75" customHeight="1" x14ac:dyDescent="0.25">
      <c r="B2478" s="17" t="s">
        <v>0</v>
      </c>
      <c r="C2478" s="44" t="s">
        <v>16</v>
      </c>
      <c r="D2478" s="22" t="s">
        <v>2</v>
      </c>
      <c r="E2478" s="20">
        <v>1</v>
      </c>
      <c r="F2478" s="17" t="s">
        <v>314</v>
      </c>
      <c r="G2478" s="17" t="s">
        <v>161</v>
      </c>
      <c r="H2478" s="17" t="s">
        <v>330</v>
      </c>
      <c r="I2478" s="17" t="s">
        <v>331</v>
      </c>
      <c r="J2478" s="27" t="s">
        <v>17</v>
      </c>
      <c r="K2478" s="29">
        <v>195</v>
      </c>
      <c r="L2478" s="31">
        <v>170785.09999875</v>
      </c>
      <c r="M2478" s="31">
        <v>39568.950000439996</v>
      </c>
      <c r="N2478" s="31">
        <v>31102.149999830006</v>
      </c>
      <c r="O2478" s="34">
        <f t="shared" si="324"/>
        <v>0.23168853723615004</v>
      </c>
      <c r="P2478" s="34">
        <f t="shared" si="325"/>
        <v>0.78602414265438325</v>
      </c>
      <c r="Q2478" s="34">
        <f t="shared" si="326"/>
        <v>0.76831146276384998</v>
      </c>
      <c r="R2478" s="46">
        <f t="shared" si="327"/>
        <v>159.49820512733336</v>
      </c>
    </row>
    <row r="2479" spans="2:18" ht="12.75" customHeight="1" x14ac:dyDescent="0.25">
      <c r="B2479" s="17" t="s">
        <v>0</v>
      </c>
      <c r="C2479" s="44" t="s">
        <v>20</v>
      </c>
      <c r="D2479" s="22" t="s">
        <v>2</v>
      </c>
      <c r="E2479" s="20">
        <v>1</v>
      </c>
      <c r="F2479" s="17" t="s">
        <v>314</v>
      </c>
      <c r="G2479" s="17" t="s">
        <v>161</v>
      </c>
      <c r="H2479" s="17" t="s">
        <v>330</v>
      </c>
      <c r="I2479" s="17" t="s">
        <v>331</v>
      </c>
      <c r="J2479" s="27" t="s">
        <v>21</v>
      </c>
      <c r="K2479" s="29">
        <v>150</v>
      </c>
      <c r="L2479" s="31">
        <v>224637.69999780002</v>
      </c>
      <c r="M2479" s="31">
        <v>33914.2700004</v>
      </c>
      <c r="N2479" s="31">
        <v>26120.969999699999</v>
      </c>
      <c r="O2479" s="34">
        <f t="shared" si="324"/>
        <v>0.15097318927647557</v>
      </c>
      <c r="P2479" s="34">
        <f t="shared" si="325"/>
        <v>0.77020587497215531</v>
      </c>
      <c r="Q2479" s="34">
        <f t="shared" si="326"/>
        <v>0.84902681072352437</v>
      </c>
      <c r="R2479" s="46">
        <f t="shared" si="327"/>
        <v>174.139799998</v>
      </c>
    </row>
    <row r="2480" spans="2:18" ht="12.75" customHeight="1" x14ac:dyDescent="0.25">
      <c r="B2480" s="17" t="s">
        <v>0</v>
      </c>
      <c r="C2480" s="44" t="s">
        <v>225</v>
      </c>
      <c r="D2480" s="22" t="s">
        <v>2</v>
      </c>
      <c r="E2480" s="20">
        <v>1</v>
      </c>
      <c r="F2480" s="17" t="s">
        <v>314</v>
      </c>
      <c r="G2480" s="17" t="s">
        <v>161</v>
      </c>
      <c r="H2480" s="17" t="s">
        <v>330</v>
      </c>
      <c r="I2480" s="17" t="s">
        <v>331</v>
      </c>
      <c r="J2480" s="27" t="s">
        <v>226</v>
      </c>
      <c r="K2480" s="29">
        <v>389</v>
      </c>
      <c r="L2480" s="31">
        <v>335043.00000011997</v>
      </c>
      <c r="M2480" s="31">
        <v>34389.980000135001</v>
      </c>
      <c r="N2480" s="31">
        <v>25884.669999953003</v>
      </c>
      <c r="O2480" s="34">
        <f t="shared" si="324"/>
        <v>0.10264348158332717</v>
      </c>
      <c r="P2480" s="34">
        <f t="shared" si="325"/>
        <v>0.75268057730337123</v>
      </c>
      <c r="Q2480" s="34">
        <f t="shared" si="326"/>
        <v>0.89735651841667285</v>
      </c>
      <c r="R2480" s="46">
        <f t="shared" si="327"/>
        <v>66.541568123272498</v>
      </c>
    </row>
    <row r="2481" spans="2:18" ht="12.75" customHeight="1" x14ac:dyDescent="0.25">
      <c r="B2481" s="17" t="s">
        <v>0</v>
      </c>
      <c r="C2481" s="44" t="s">
        <v>7</v>
      </c>
      <c r="D2481" s="22" t="s">
        <v>9</v>
      </c>
      <c r="E2481" s="20">
        <v>2</v>
      </c>
      <c r="F2481" s="17" t="s">
        <v>314</v>
      </c>
      <c r="G2481" s="17" t="s">
        <v>161</v>
      </c>
      <c r="H2481" s="17" t="s">
        <v>330</v>
      </c>
      <c r="I2481" s="17" t="s">
        <v>331</v>
      </c>
      <c r="J2481" s="27" t="s">
        <v>8</v>
      </c>
      <c r="K2481" s="29">
        <v>38</v>
      </c>
      <c r="L2481" s="31">
        <v>59060.000001</v>
      </c>
      <c r="M2481" s="31">
        <v>23246.589999960001</v>
      </c>
      <c r="N2481" s="31">
        <v>18241.0199999</v>
      </c>
      <c r="O2481" s="34">
        <f t="shared" si="324"/>
        <v>0.39360971892255997</v>
      </c>
      <c r="P2481" s="34">
        <f t="shared" si="325"/>
        <v>0.78467508567628141</v>
      </c>
      <c r="Q2481" s="34">
        <f t="shared" si="326"/>
        <v>0.60639028107743997</v>
      </c>
      <c r="R2481" s="46">
        <f t="shared" si="327"/>
        <v>480.02684210263158</v>
      </c>
    </row>
    <row r="2482" spans="2:18" ht="12.75" customHeight="1" x14ac:dyDescent="0.25">
      <c r="B2482" s="17" t="s">
        <v>0</v>
      </c>
      <c r="C2482" s="44" t="s">
        <v>176</v>
      </c>
      <c r="D2482" s="22" t="s">
        <v>9</v>
      </c>
      <c r="E2482" s="20">
        <v>2</v>
      </c>
      <c r="F2482" s="17" t="s">
        <v>314</v>
      </c>
      <c r="G2482" s="17" t="s">
        <v>161</v>
      </c>
      <c r="H2482" s="17" t="s">
        <v>330</v>
      </c>
      <c r="I2482" s="17" t="s">
        <v>331</v>
      </c>
      <c r="J2482" s="27" t="s">
        <v>177</v>
      </c>
      <c r="K2482" s="29">
        <v>56</v>
      </c>
      <c r="L2482" s="31">
        <v>154672</v>
      </c>
      <c r="M2482" s="31">
        <v>19475.310000040001</v>
      </c>
      <c r="N2482" s="31">
        <v>15529.35999995</v>
      </c>
      <c r="O2482" s="34">
        <f t="shared" si="324"/>
        <v>0.1259136107378194</v>
      </c>
      <c r="P2482" s="34">
        <f t="shared" si="325"/>
        <v>0.7973870505741939</v>
      </c>
      <c r="Q2482" s="34">
        <f t="shared" si="326"/>
        <v>0.87408638926218063</v>
      </c>
      <c r="R2482" s="46">
        <f t="shared" si="327"/>
        <v>277.30999999910716</v>
      </c>
    </row>
    <row r="2483" spans="2:18" ht="12.75" customHeight="1" x14ac:dyDescent="0.25">
      <c r="B2483" s="17" t="s">
        <v>0</v>
      </c>
      <c r="C2483" s="44" t="s">
        <v>24</v>
      </c>
      <c r="D2483" s="22" t="s">
        <v>9</v>
      </c>
      <c r="E2483" s="20">
        <v>2</v>
      </c>
      <c r="F2483" s="17" t="s">
        <v>314</v>
      </c>
      <c r="G2483" s="17" t="s">
        <v>161</v>
      </c>
      <c r="H2483" s="17" t="s">
        <v>330</v>
      </c>
      <c r="I2483" s="17" t="s">
        <v>331</v>
      </c>
      <c r="J2483" s="27" t="s">
        <v>25</v>
      </c>
      <c r="K2483" s="29">
        <v>55</v>
      </c>
      <c r="L2483" s="31">
        <v>151910</v>
      </c>
      <c r="M2483" s="31">
        <v>18184.639999899999</v>
      </c>
      <c r="N2483" s="31">
        <v>14297.189999949998</v>
      </c>
      <c r="O2483" s="34">
        <f t="shared" si="324"/>
        <v>0.11970666842143374</v>
      </c>
      <c r="P2483" s="34">
        <f t="shared" si="325"/>
        <v>0.78622342812552914</v>
      </c>
      <c r="Q2483" s="34">
        <f t="shared" si="326"/>
        <v>0.88029333157856626</v>
      </c>
      <c r="R2483" s="46">
        <f t="shared" si="327"/>
        <v>259.94890908999997</v>
      </c>
    </row>
    <row r="2484" spans="2:18" ht="12.75" customHeight="1" x14ac:dyDescent="0.25">
      <c r="B2484" s="17" t="s">
        <v>0</v>
      </c>
      <c r="C2484" s="44" t="s">
        <v>7</v>
      </c>
      <c r="D2484" s="22" t="s">
        <v>2</v>
      </c>
      <c r="E2484" s="20">
        <v>1</v>
      </c>
      <c r="F2484" s="17" t="s">
        <v>314</v>
      </c>
      <c r="G2484" s="17" t="s">
        <v>161</v>
      </c>
      <c r="H2484" s="17" t="s">
        <v>330</v>
      </c>
      <c r="I2484" s="17" t="s">
        <v>331</v>
      </c>
      <c r="J2484" s="27" t="s">
        <v>8</v>
      </c>
      <c r="K2484" s="29">
        <v>93</v>
      </c>
      <c r="L2484" s="31">
        <v>99797.000000200002</v>
      </c>
      <c r="M2484" s="31">
        <v>17916.830000000002</v>
      </c>
      <c r="N2484" s="31">
        <v>13262.64999998</v>
      </c>
      <c r="O2484" s="34">
        <f t="shared" si="324"/>
        <v>0.17953275148515582</v>
      </c>
      <c r="P2484" s="34">
        <f t="shared" si="325"/>
        <v>0.7402341820500612</v>
      </c>
      <c r="Q2484" s="34">
        <f t="shared" si="326"/>
        <v>0.82046724851484421</v>
      </c>
      <c r="R2484" s="46">
        <f t="shared" si="327"/>
        <v>142.60913978473118</v>
      </c>
    </row>
    <row r="2485" spans="2:18" ht="12.75" customHeight="1" x14ac:dyDescent="0.25">
      <c r="B2485" s="17" t="s">
        <v>0</v>
      </c>
      <c r="C2485" s="44" t="s">
        <v>50</v>
      </c>
      <c r="D2485" s="22" t="s">
        <v>9</v>
      </c>
      <c r="E2485" s="20">
        <v>2</v>
      </c>
      <c r="F2485" s="17" t="s">
        <v>314</v>
      </c>
      <c r="G2485" s="17" t="s">
        <v>161</v>
      </c>
      <c r="H2485" s="17" t="s">
        <v>330</v>
      </c>
      <c r="I2485" s="17" t="s">
        <v>331</v>
      </c>
      <c r="J2485" s="27" t="s">
        <v>51</v>
      </c>
      <c r="K2485" s="29">
        <v>113</v>
      </c>
      <c r="L2485" s="31">
        <v>29220</v>
      </c>
      <c r="M2485" s="31">
        <v>15840.909999945998</v>
      </c>
      <c r="N2485" s="31">
        <v>12426.809999990001</v>
      </c>
      <c r="O2485" s="34">
        <f t="shared" si="324"/>
        <v>0.5421255989030116</v>
      </c>
      <c r="P2485" s="34">
        <f t="shared" si="325"/>
        <v>0.78447576559884269</v>
      </c>
      <c r="Q2485" s="34">
        <f t="shared" si="326"/>
        <v>0.4578744010969884</v>
      </c>
      <c r="R2485" s="46">
        <f t="shared" si="327"/>
        <v>109.97176991141593</v>
      </c>
    </row>
    <row r="2486" spans="2:18" ht="12.75" customHeight="1" x14ac:dyDescent="0.25">
      <c r="B2486" s="17" t="s">
        <v>0</v>
      </c>
      <c r="C2486" s="44" t="s">
        <v>62</v>
      </c>
      <c r="D2486" s="22" t="s">
        <v>9</v>
      </c>
      <c r="E2486" s="20">
        <v>2</v>
      </c>
      <c r="F2486" s="17" t="s">
        <v>314</v>
      </c>
      <c r="G2486" s="17" t="s">
        <v>161</v>
      </c>
      <c r="H2486" s="17" t="s">
        <v>330</v>
      </c>
      <c r="I2486" s="17" t="s">
        <v>331</v>
      </c>
      <c r="J2486" s="27" t="s">
        <v>63</v>
      </c>
      <c r="K2486" s="29">
        <v>24</v>
      </c>
      <c r="L2486" s="31">
        <v>66288</v>
      </c>
      <c r="M2486" s="31">
        <v>7933.4400000000005</v>
      </c>
      <c r="N2486" s="31">
        <v>6320.88</v>
      </c>
      <c r="O2486" s="34">
        <f t="shared" si="324"/>
        <v>0.11968139029688632</v>
      </c>
      <c r="P2486" s="34">
        <f t="shared" si="325"/>
        <v>0.79673886737657307</v>
      </c>
      <c r="Q2486" s="34">
        <f t="shared" si="326"/>
        <v>0.88031860970311371</v>
      </c>
      <c r="R2486" s="46">
        <f t="shared" si="327"/>
        <v>263.37</v>
      </c>
    </row>
    <row r="2487" spans="2:18" ht="12.75" customHeight="1" x14ac:dyDescent="0.25">
      <c r="B2487" s="17" t="s">
        <v>0</v>
      </c>
      <c r="C2487" s="44" t="s">
        <v>54</v>
      </c>
      <c r="D2487" s="22" t="s">
        <v>9</v>
      </c>
      <c r="E2487" s="20">
        <v>2</v>
      </c>
      <c r="F2487" s="17" t="s">
        <v>314</v>
      </c>
      <c r="G2487" s="17" t="s">
        <v>161</v>
      </c>
      <c r="H2487" s="17" t="s">
        <v>330</v>
      </c>
      <c r="I2487" s="17" t="s">
        <v>331</v>
      </c>
      <c r="J2487" s="27" t="s">
        <v>55</v>
      </c>
      <c r="K2487" s="29">
        <v>29</v>
      </c>
      <c r="L2487" s="31">
        <v>13733.220000060001</v>
      </c>
      <c r="M2487" s="31">
        <v>6980.1899999500001</v>
      </c>
      <c r="N2487" s="31">
        <v>5561.4400000300002</v>
      </c>
      <c r="O2487" s="34">
        <f t="shared" si="324"/>
        <v>0.50827045659499404</v>
      </c>
      <c r="P2487" s="34">
        <f t="shared" si="325"/>
        <v>0.79674622038509513</v>
      </c>
      <c r="Q2487" s="34">
        <f t="shared" si="326"/>
        <v>0.49172954340500596</v>
      </c>
      <c r="R2487" s="46">
        <f t="shared" si="327"/>
        <v>191.77379310448276</v>
      </c>
    </row>
    <row r="2488" spans="2:18" ht="12.75" customHeight="1" x14ac:dyDescent="0.25">
      <c r="B2488" s="17" t="s">
        <v>0</v>
      </c>
      <c r="C2488" s="44" t="s">
        <v>153</v>
      </c>
      <c r="D2488" s="22" t="s">
        <v>9</v>
      </c>
      <c r="E2488" s="20">
        <v>2</v>
      </c>
      <c r="F2488" s="17" t="s">
        <v>314</v>
      </c>
      <c r="G2488" s="17" t="s">
        <v>161</v>
      </c>
      <c r="H2488" s="17" t="s">
        <v>330</v>
      </c>
      <c r="I2488" s="17" t="s">
        <v>331</v>
      </c>
      <c r="J2488" s="27" t="s">
        <v>154</v>
      </c>
      <c r="K2488" s="29">
        <v>18</v>
      </c>
      <c r="L2488" s="31">
        <v>49716</v>
      </c>
      <c r="M2488" s="31">
        <v>5968.9600000199998</v>
      </c>
      <c r="N2488" s="31">
        <v>4760.6400000000003</v>
      </c>
      <c r="O2488" s="34">
        <f t="shared" si="324"/>
        <v>0.12006114731716147</v>
      </c>
      <c r="P2488" s="34">
        <f t="shared" si="325"/>
        <v>0.79756607515949995</v>
      </c>
      <c r="Q2488" s="34">
        <f t="shared" si="326"/>
        <v>0.87993885268283856</v>
      </c>
      <c r="R2488" s="46">
        <f t="shared" si="327"/>
        <v>264.48</v>
      </c>
    </row>
    <row r="2489" spans="2:18" ht="12.75" customHeight="1" x14ac:dyDescent="0.25">
      <c r="B2489" s="17" t="s">
        <v>0</v>
      </c>
      <c r="C2489" s="44" t="s">
        <v>110</v>
      </c>
      <c r="D2489" s="22" t="s">
        <v>9</v>
      </c>
      <c r="E2489" s="20">
        <v>2</v>
      </c>
      <c r="F2489" s="17" t="s">
        <v>314</v>
      </c>
      <c r="G2489" s="17" t="s">
        <v>161</v>
      </c>
      <c r="H2489" s="17" t="s">
        <v>330</v>
      </c>
      <c r="I2489" s="17" t="s">
        <v>331</v>
      </c>
      <c r="J2489" s="27" t="s">
        <v>111</v>
      </c>
      <c r="K2489" s="29">
        <v>14</v>
      </c>
      <c r="L2489" s="31">
        <v>38668</v>
      </c>
      <c r="M2489" s="31">
        <v>5119.0999999999995</v>
      </c>
      <c r="N2489" s="31">
        <v>4078.62</v>
      </c>
      <c r="O2489" s="34">
        <f t="shared" si="324"/>
        <v>0.13238595220854452</v>
      </c>
      <c r="P2489" s="34">
        <f t="shared" si="325"/>
        <v>0.7967455216737318</v>
      </c>
      <c r="Q2489" s="34">
        <f t="shared" si="326"/>
        <v>0.86761404779145546</v>
      </c>
      <c r="R2489" s="46">
        <f t="shared" si="327"/>
        <v>291.33</v>
      </c>
    </row>
    <row r="2490" spans="2:18" ht="12.75" customHeight="1" x14ac:dyDescent="0.25">
      <c r="B2490" s="17" t="s">
        <v>0</v>
      </c>
      <c r="C2490" s="44" t="s">
        <v>1</v>
      </c>
      <c r="D2490" s="22" t="s">
        <v>2</v>
      </c>
      <c r="E2490" s="20">
        <v>1</v>
      </c>
      <c r="F2490" s="17" t="s">
        <v>314</v>
      </c>
      <c r="G2490" s="17" t="s">
        <v>161</v>
      </c>
      <c r="H2490" s="17" t="s">
        <v>330</v>
      </c>
      <c r="I2490" s="17" t="s">
        <v>331</v>
      </c>
      <c r="J2490" s="27" t="s">
        <v>6</v>
      </c>
      <c r="K2490" s="29">
        <v>24</v>
      </c>
      <c r="L2490" s="31">
        <v>33913.999999200001</v>
      </c>
      <c r="M2490" s="31">
        <v>4477.5</v>
      </c>
      <c r="N2490" s="31">
        <v>3499.6999999199998</v>
      </c>
      <c r="O2490" s="34">
        <f t="shared" si="324"/>
        <v>0.1320251223714578</v>
      </c>
      <c r="P2490" s="34">
        <f t="shared" si="325"/>
        <v>0.78161920712897814</v>
      </c>
      <c r="Q2490" s="34">
        <f t="shared" si="326"/>
        <v>0.8679748776285422</v>
      </c>
      <c r="R2490" s="46">
        <f t="shared" si="327"/>
        <v>145.82083333</v>
      </c>
    </row>
    <row r="2491" spans="2:18" ht="12.75" customHeight="1" x14ac:dyDescent="0.25">
      <c r="B2491" s="17" t="s">
        <v>0</v>
      </c>
      <c r="C2491" s="44" t="s">
        <v>26</v>
      </c>
      <c r="D2491" s="22" t="s">
        <v>2</v>
      </c>
      <c r="E2491" s="20">
        <v>1</v>
      </c>
      <c r="F2491" s="17" t="s">
        <v>314</v>
      </c>
      <c r="G2491" s="17" t="s">
        <v>161</v>
      </c>
      <c r="H2491" s="17" t="s">
        <v>330</v>
      </c>
      <c r="I2491" s="17" t="s">
        <v>331</v>
      </c>
      <c r="J2491" s="27" t="s">
        <v>27</v>
      </c>
      <c r="K2491" s="29">
        <v>48</v>
      </c>
      <c r="L2491" s="31">
        <v>43044</v>
      </c>
      <c r="M2491" s="31">
        <v>4072.5699999839999</v>
      </c>
      <c r="N2491" s="31">
        <v>3097.010000016</v>
      </c>
      <c r="O2491" s="34">
        <f t="shared" si="324"/>
        <v>9.4614115788123773E-2</v>
      </c>
      <c r="P2491" s="34">
        <f t="shared" si="325"/>
        <v>0.76045592832736264</v>
      </c>
      <c r="Q2491" s="34">
        <f t="shared" si="326"/>
        <v>0.90538588421187627</v>
      </c>
      <c r="R2491" s="46">
        <f t="shared" si="327"/>
        <v>64.521041667000006</v>
      </c>
    </row>
    <row r="2492" spans="2:18" ht="12.75" customHeight="1" thickBot="1" x14ac:dyDescent="0.3">
      <c r="B2492" s="15" t="s">
        <v>0</v>
      </c>
      <c r="C2492" s="50" t="s">
        <v>225</v>
      </c>
      <c r="D2492" s="19" t="s">
        <v>9</v>
      </c>
      <c r="E2492" s="16">
        <v>2</v>
      </c>
      <c r="F2492" s="15" t="s">
        <v>314</v>
      </c>
      <c r="G2492" s="15" t="s">
        <v>161</v>
      </c>
      <c r="H2492" s="15" t="s">
        <v>330</v>
      </c>
      <c r="I2492" s="15" t="s">
        <v>331</v>
      </c>
      <c r="J2492" s="24" t="s">
        <v>226</v>
      </c>
      <c r="K2492" s="26">
        <v>34</v>
      </c>
      <c r="L2492" s="28">
        <v>13872</v>
      </c>
      <c r="M2492" s="28">
        <v>3075.4899999879999</v>
      </c>
      <c r="N2492" s="28">
        <v>2444.5500000100001</v>
      </c>
      <c r="O2492" s="32">
        <f t="shared" si="324"/>
        <v>0.22170487312485582</v>
      </c>
      <c r="P2492" s="32">
        <f t="shared" si="325"/>
        <v>0.79484895090523411</v>
      </c>
      <c r="Q2492" s="32">
        <f t="shared" si="326"/>
        <v>0.77829512687514413</v>
      </c>
      <c r="R2492" s="49">
        <f t="shared" si="327"/>
        <v>71.898529412058821</v>
      </c>
    </row>
    <row r="2493" spans="2:18" ht="17.25" customHeight="1" x14ac:dyDescent="0.25">
      <c r="B2493" s="48"/>
      <c r="C2493" s="58"/>
      <c r="D2493" s="51" t="s">
        <v>366</v>
      </c>
      <c r="E2493" s="52"/>
      <c r="F2493" s="52"/>
      <c r="G2493" s="53"/>
      <c r="H2493" s="53"/>
      <c r="I2493" s="53"/>
      <c r="J2493" s="54"/>
      <c r="K2493" s="55">
        <f>SUM(K2459:K2492)</f>
        <v>907079</v>
      </c>
      <c r="L2493" s="56">
        <f>SUM(L2459:L2492)</f>
        <v>792821116.78009081</v>
      </c>
      <c r="M2493" s="56">
        <f>SUM(M2459:M2492)</f>
        <v>172869799.67994702</v>
      </c>
      <c r="N2493" s="56">
        <f>SUM(N2459:N2492)</f>
        <v>137473450.25992352</v>
      </c>
      <c r="O2493" s="57">
        <f>IFERROR(M2493/L2493,0)</f>
        <v>0.21804388912095143</v>
      </c>
      <c r="P2493" s="57">
        <f>IFERROR(N2493/M2493,0)</f>
        <v>0.79524272321969092</v>
      </c>
      <c r="Q2493" s="57">
        <f>IFERROR(1-(M2493/L2493),0)</f>
        <v>0.78195611087904859</v>
      </c>
      <c r="R2493" s="59">
        <f>IFERROR(N2493/K2493,0)</f>
        <v>151.55620432170022</v>
      </c>
    </row>
    <row r="2494" spans="2:18" ht="15.75" thickBot="1" x14ac:dyDescent="0.3">
      <c r="B2494" s="60"/>
      <c r="C2494" s="64"/>
      <c r="D2494" s="62" t="s">
        <v>331</v>
      </c>
      <c r="E2494" s="61"/>
      <c r="F2494" s="61"/>
      <c r="G2494" s="61"/>
      <c r="H2494" s="61"/>
      <c r="I2494" s="61"/>
      <c r="J2494" s="61"/>
      <c r="K2494" s="63"/>
      <c r="L2494" s="63"/>
      <c r="M2494" s="63"/>
      <c r="N2494" s="63"/>
      <c r="O2494" s="63"/>
      <c r="P2494" s="63"/>
      <c r="Q2494" s="63"/>
      <c r="R2494" s="65"/>
    </row>
    <row r="2495" spans="2:18" ht="15.75" thickBot="1" x14ac:dyDescent="0.3"/>
    <row r="2496" spans="2:18" ht="15.75" x14ac:dyDescent="0.25">
      <c r="B2496" s="1"/>
      <c r="C2496" s="7" t="s">
        <v>348</v>
      </c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9"/>
    </row>
    <row r="2497" spans="2:18" ht="18" x14ac:dyDescent="0.25">
      <c r="B2497" s="2"/>
      <c r="C2497" s="8" t="s">
        <v>336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10"/>
    </row>
    <row r="2498" spans="2:18" ht="15.75" thickBot="1" x14ac:dyDescent="0.3">
      <c r="B2498" s="3"/>
      <c r="C2498" s="11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12"/>
    </row>
    <row r="2499" spans="2:18" ht="17.25" customHeight="1" thickBot="1" x14ac:dyDescent="0.3">
      <c r="B2499" s="14" t="s">
        <v>349</v>
      </c>
      <c r="C2499" s="18" t="s">
        <v>350</v>
      </c>
      <c r="D2499" s="21" t="s">
        <v>351</v>
      </c>
      <c r="E2499" s="23" t="s">
        <v>352</v>
      </c>
      <c r="F2499" s="21" t="s">
        <v>353</v>
      </c>
      <c r="G2499" s="23" t="s">
        <v>354</v>
      </c>
      <c r="H2499" s="23" t="s">
        <v>355</v>
      </c>
      <c r="I2499" s="23" t="s">
        <v>356</v>
      </c>
      <c r="J2499" s="25" t="s">
        <v>357</v>
      </c>
      <c r="K2499" s="25" t="s">
        <v>358</v>
      </c>
      <c r="L2499" s="30" t="s">
        <v>359</v>
      </c>
      <c r="M2499" s="30" t="s">
        <v>360</v>
      </c>
      <c r="N2499" s="30" t="s">
        <v>361</v>
      </c>
      <c r="O2499" s="33" t="s">
        <v>362</v>
      </c>
      <c r="P2499" s="33" t="s">
        <v>363</v>
      </c>
      <c r="Q2499" s="33" t="s">
        <v>364</v>
      </c>
      <c r="R2499" s="35" t="s">
        <v>365</v>
      </c>
    </row>
    <row r="2500" spans="2:18" ht="12.75" customHeight="1" x14ac:dyDescent="0.25">
      <c r="B2500" s="17" t="s">
        <v>0</v>
      </c>
      <c r="C2500" s="43" t="s">
        <v>46</v>
      </c>
      <c r="D2500" s="37" t="s">
        <v>9</v>
      </c>
      <c r="E2500" s="36">
        <v>2</v>
      </c>
      <c r="F2500" s="38" t="s">
        <v>314</v>
      </c>
      <c r="G2500" s="38" t="s">
        <v>334</v>
      </c>
      <c r="H2500" s="38" t="s">
        <v>335</v>
      </c>
      <c r="I2500" s="38" t="s">
        <v>336</v>
      </c>
      <c r="J2500" s="39" t="s">
        <v>47</v>
      </c>
      <c r="K2500" s="40">
        <v>126660</v>
      </c>
      <c r="L2500" s="41">
        <v>194878935.23997384</v>
      </c>
      <c r="M2500" s="41">
        <v>178490538.73019344</v>
      </c>
      <c r="N2500" s="41">
        <v>142199277.14020282</v>
      </c>
      <c r="O2500" s="42">
        <f t="shared" ref="O2500:O2529" si="328">IFERROR(M2500/L2500,0)</f>
        <v>0.91590473085457014</v>
      </c>
      <c r="P2500" s="42">
        <f t="shared" ref="P2500:P2529" si="329">IFERROR(N2500/M2500,0)</f>
        <v>0.79667683313540483</v>
      </c>
      <c r="Q2500" s="42">
        <f t="shared" ref="Q2500:Q2529" si="330">IFERROR(1-(M2500/L2500),0)</f>
        <v>8.4095269145429863E-2</v>
      </c>
      <c r="R2500" s="45">
        <f t="shared" ref="R2500:R2529" si="331">IFERROR(N2500/K2500,0)</f>
        <v>1122.6849608416455</v>
      </c>
    </row>
    <row r="2501" spans="2:18" ht="12.75" customHeight="1" x14ac:dyDescent="0.25">
      <c r="B2501" s="17" t="s">
        <v>0</v>
      </c>
      <c r="C2501" s="44" t="s">
        <v>24</v>
      </c>
      <c r="D2501" s="22" t="s">
        <v>9</v>
      </c>
      <c r="E2501" s="20">
        <v>2</v>
      </c>
      <c r="F2501" s="17" t="s">
        <v>314</v>
      </c>
      <c r="G2501" s="17" t="s">
        <v>334</v>
      </c>
      <c r="H2501" s="17" t="s">
        <v>335</v>
      </c>
      <c r="I2501" s="17" t="s">
        <v>336</v>
      </c>
      <c r="J2501" s="27" t="s">
        <v>25</v>
      </c>
      <c r="K2501" s="29">
        <v>33856</v>
      </c>
      <c r="L2501" s="31">
        <v>89696909.05962573</v>
      </c>
      <c r="M2501" s="31">
        <v>86486114.258619279</v>
      </c>
      <c r="N2501" s="31">
        <v>68907475.908876762</v>
      </c>
      <c r="O2501" s="34">
        <f t="shared" si="328"/>
        <v>0.96420395268166836</v>
      </c>
      <c r="P2501" s="34">
        <f t="shared" si="329"/>
        <v>0.79674611929983186</v>
      </c>
      <c r="Q2501" s="34">
        <f t="shared" si="330"/>
        <v>3.5796047318331636E-2</v>
      </c>
      <c r="R2501" s="46">
        <f t="shared" si="331"/>
        <v>2035.3106069493372</v>
      </c>
    </row>
    <row r="2502" spans="2:18" ht="12.75" customHeight="1" x14ac:dyDescent="0.25">
      <c r="B2502" s="17" t="s">
        <v>0</v>
      </c>
      <c r="C2502" s="44" t="s">
        <v>103</v>
      </c>
      <c r="D2502" s="22" t="s">
        <v>9</v>
      </c>
      <c r="E2502" s="20">
        <v>2</v>
      </c>
      <c r="F2502" s="17" t="s">
        <v>314</v>
      </c>
      <c r="G2502" s="17" t="s">
        <v>334</v>
      </c>
      <c r="H2502" s="17" t="s">
        <v>335</v>
      </c>
      <c r="I2502" s="17" t="s">
        <v>336</v>
      </c>
      <c r="J2502" s="27" t="s">
        <v>104</v>
      </c>
      <c r="K2502" s="29">
        <v>61471</v>
      </c>
      <c r="L2502" s="31">
        <v>96720132.430641845</v>
      </c>
      <c r="M2502" s="31">
        <v>83971172.300586864</v>
      </c>
      <c r="N2502" s="31">
        <v>66897838.291248187</v>
      </c>
      <c r="O2502" s="34">
        <f t="shared" si="328"/>
        <v>0.86818711048398034</v>
      </c>
      <c r="P2502" s="34">
        <f t="shared" si="329"/>
        <v>0.79667624564984962</v>
      </c>
      <c r="Q2502" s="34">
        <f t="shared" si="330"/>
        <v>0.13181288951601966</v>
      </c>
      <c r="R2502" s="46">
        <f t="shared" si="331"/>
        <v>1088.2829023645002</v>
      </c>
    </row>
    <row r="2503" spans="2:18" ht="12.75" customHeight="1" x14ac:dyDescent="0.25">
      <c r="B2503" s="17" t="s">
        <v>0</v>
      </c>
      <c r="C2503" s="44" t="s">
        <v>174</v>
      </c>
      <c r="D2503" s="22" t="s">
        <v>9</v>
      </c>
      <c r="E2503" s="20">
        <v>2</v>
      </c>
      <c r="F2503" s="17" t="s">
        <v>314</v>
      </c>
      <c r="G2503" s="17" t="s">
        <v>334</v>
      </c>
      <c r="H2503" s="17" t="s">
        <v>335</v>
      </c>
      <c r="I2503" s="17" t="s">
        <v>336</v>
      </c>
      <c r="J2503" s="27" t="s">
        <v>175</v>
      </c>
      <c r="K2503" s="29">
        <v>25555</v>
      </c>
      <c r="L2503" s="31">
        <v>49564295.449805163</v>
      </c>
      <c r="M2503" s="31">
        <v>33306938.110310558</v>
      </c>
      <c r="N2503" s="31">
        <v>26595285.090149313</v>
      </c>
      <c r="O2503" s="34">
        <f t="shared" si="328"/>
        <v>0.67199458416676616</v>
      </c>
      <c r="P2503" s="34">
        <f t="shared" si="329"/>
        <v>0.79849084302097484</v>
      </c>
      <c r="Q2503" s="34">
        <f t="shared" si="330"/>
        <v>0.32800541583323384</v>
      </c>
      <c r="R2503" s="46">
        <f t="shared" si="331"/>
        <v>1040.707692825252</v>
      </c>
    </row>
    <row r="2504" spans="2:18" ht="12.75" customHeight="1" x14ac:dyDescent="0.25">
      <c r="B2504" s="17" t="s">
        <v>0</v>
      </c>
      <c r="C2504" s="44" t="s">
        <v>54</v>
      </c>
      <c r="D2504" s="22" t="s">
        <v>9</v>
      </c>
      <c r="E2504" s="20">
        <v>2</v>
      </c>
      <c r="F2504" s="17" t="s">
        <v>314</v>
      </c>
      <c r="G2504" s="17" t="s">
        <v>334</v>
      </c>
      <c r="H2504" s="17" t="s">
        <v>335</v>
      </c>
      <c r="I2504" s="17" t="s">
        <v>336</v>
      </c>
      <c r="J2504" s="27" t="s">
        <v>55</v>
      </c>
      <c r="K2504" s="29">
        <v>18614</v>
      </c>
      <c r="L2504" s="31">
        <v>34120103.090008065</v>
      </c>
      <c r="M2504" s="31">
        <v>30525516.439702496</v>
      </c>
      <c r="N2504" s="31">
        <v>24319359.919769067</v>
      </c>
      <c r="O2504" s="34">
        <f t="shared" si="328"/>
        <v>0.8946490096813855</v>
      </c>
      <c r="P2504" s="34">
        <f t="shared" si="329"/>
        <v>0.79668954881754284</v>
      </c>
      <c r="Q2504" s="34">
        <f t="shared" si="330"/>
        <v>0.1053509903186145</v>
      </c>
      <c r="R2504" s="46">
        <f t="shared" si="331"/>
        <v>1306.5090748774614</v>
      </c>
    </row>
    <row r="2505" spans="2:18" ht="12.75" customHeight="1" x14ac:dyDescent="0.25">
      <c r="B2505" s="17" t="s">
        <v>0</v>
      </c>
      <c r="C2505" s="44" t="s">
        <v>30</v>
      </c>
      <c r="D2505" s="22" t="s">
        <v>9</v>
      </c>
      <c r="E2505" s="20">
        <v>2</v>
      </c>
      <c r="F2505" s="17" t="s">
        <v>314</v>
      </c>
      <c r="G2505" s="17" t="s">
        <v>334</v>
      </c>
      <c r="H2505" s="17" t="s">
        <v>335</v>
      </c>
      <c r="I2505" s="17" t="s">
        <v>336</v>
      </c>
      <c r="J2505" s="27" t="s">
        <v>31</v>
      </c>
      <c r="K2505" s="29">
        <v>12266</v>
      </c>
      <c r="L2505" s="31">
        <v>30221707.790353753</v>
      </c>
      <c r="M2505" s="31">
        <v>28912303.99963139</v>
      </c>
      <c r="N2505" s="31">
        <v>23035582.170382656</v>
      </c>
      <c r="O2505" s="34">
        <f t="shared" si="328"/>
        <v>0.95667340178769444</v>
      </c>
      <c r="P2505" s="34">
        <f t="shared" si="329"/>
        <v>0.79673976071489638</v>
      </c>
      <c r="Q2505" s="34">
        <f t="shared" si="330"/>
        <v>4.3326598212305556E-2</v>
      </c>
      <c r="R2505" s="46">
        <f t="shared" si="331"/>
        <v>1878.0027857804221</v>
      </c>
    </row>
    <row r="2506" spans="2:18" ht="12.75" customHeight="1" x14ac:dyDescent="0.25">
      <c r="B2506" s="17" t="s">
        <v>0</v>
      </c>
      <c r="C2506" s="44" t="s">
        <v>50</v>
      </c>
      <c r="D2506" s="22" t="s">
        <v>9</v>
      </c>
      <c r="E2506" s="20">
        <v>2</v>
      </c>
      <c r="F2506" s="17" t="s">
        <v>314</v>
      </c>
      <c r="G2506" s="17" t="s">
        <v>334</v>
      </c>
      <c r="H2506" s="17" t="s">
        <v>335</v>
      </c>
      <c r="I2506" s="17" t="s">
        <v>336</v>
      </c>
      <c r="J2506" s="27" t="s">
        <v>51</v>
      </c>
      <c r="K2506" s="29">
        <v>18077</v>
      </c>
      <c r="L2506" s="31">
        <v>29251313.939587004</v>
      </c>
      <c r="M2506" s="31">
        <v>27835593.58012858</v>
      </c>
      <c r="N2506" s="31">
        <v>22177026.280247651</v>
      </c>
      <c r="O2506" s="34">
        <f t="shared" si="328"/>
        <v>0.95160147806070106</v>
      </c>
      <c r="P2506" s="34">
        <f t="shared" si="329"/>
        <v>0.79671468892545916</v>
      </c>
      <c r="Q2506" s="34">
        <f t="shared" si="330"/>
        <v>4.8398521939298944E-2</v>
      </c>
      <c r="R2506" s="46">
        <f t="shared" si="331"/>
        <v>1226.8089992945538</v>
      </c>
    </row>
    <row r="2507" spans="2:18" ht="12.75" customHeight="1" x14ac:dyDescent="0.25">
      <c r="B2507" s="17" t="s">
        <v>0</v>
      </c>
      <c r="C2507" s="44" t="s">
        <v>82</v>
      </c>
      <c r="D2507" s="22" t="s">
        <v>9</v>
      </c>
      <c r="E2507" s="20">
        <v>2</v>
      </c>
      <c r="F2507" s="17" t="s">
        <v>314</v>
      </c>
      <c r="G2507" s="17" t="s">
        <v>334</v>
      </c>
      <c r="H2507" s="17" t="s">
        <v>335</v>
      </c>
      <c r="I2507" s="17" t="s">
        <v>336</v>
      </c>
      <c r="J2507" s="27" t="s">
        <v>83</v>
      </c>
      <c r="K2507" s="29">
        <v>36996</v>
      </c>
      <c r="L2507" s="31">
        <v>25230902.059929512</v>
      </c>
      <c r="M2507" s="31">
        <v>16013633.904317703</v>
      </c>
      <c r="N2507" s="31">
        <v>12793009.773598129</v>
      </c>
      <c r="O2507" s="34">
        <f t="shared" si="328"/>
        <v>0.63468336828708849</v>
      </c>
      <c r="P2507" s="34">
        <f t="shared" si="329"/>
        <v>0.7988823679894913</v>
      </c>
      <c r="Q2507" s="34">
        <f t="shared" si="330"/>
        <v>0.36531663171291151</v>
      </c>
      <c r="R2507" s="46">
        <f t="shared" si="331"/>
        <v>345.79440408687776</v>
      </c>
    </row>
    <row r="2508" spans="2:18" ht="12.75" customHeight="1" x14ac:dyDescent="0.25">
      <c r="B2508" s="17" t="s">
        <v>0</v>
      </c>
      <c r="C2508" s="44" t="s">
        <v>36</v>
      </c>
      <c r="D2508" s="22" t="s">
        <v>9</v>
      </c>
      <c r="E2508" s="20">
        <v>2</v>
      </c>
      <c r="F2508" s="17" t="s">
        <v>314</v>
      </c>
      <c r="G2508" s="17" t="s">
        <v>334</v>
      </c>
      <c r="H2508" s="17" t="s">
        <v>335</v>
      </c>
      <c r="I2508" s="17" t="s">
        <v>336</v>
      </c>
      <c r="J2508" s="27" t="s">
        <v>37</v>
      </c>
      <c r="K2508" s="29">
        <v>11737</v>
      </c>
      <c r="L2508" s="31">
        <v>23474262.729916953</v>
      </c>
      <c r="M2508" s="31">
        <v>12394899.030174522</v>
      </c>
      <c r="N2508" s="31">
        <v>9875055.8601358924</v>
      </c>
      <c r="O2508" s="34">
        <f t="shared" si="328"/>
        <v>0.52802080187923217</v>
      </c>
      <c r="P2508" s="34">
        <f t="shared" si="329"/>
        <v>0.79670321122388765</v>
      </c>
      <c r="Q2508" s="34">
        <f t="shared" si="330"/>
        <v>0.47197919812076783</v>
      </c>
      <c r="R2508" s="46">
        <f t="shared" si="331"/>
        <v>841.36115362834562</v>
      </c>
    </row>
    <row r="2509" spans="2:18" ht="12.75" customHeight="1" x14ac:dyDescent="0.25">
      <c r="B2509" s="17" t="s">
        <v>0</v>
      </c>
      <c r="C2509" s="44" t="s">
        <v>28</v>
      </c>
      <c r="D2509" s="22" t="s">
        <v>9</v>
      </c>
      <c r="E2509" s="20">
        <v>2</v>
      </c>
      <c r="F2509" s="17" t="s">
        <v>314</v>
      </c>
      <c r="G2509" s="17" t="s">
        <v>334</v>
      </c>
      <c r="H2509" s="17" t="s">
        <v>335</v>
      </c>
      <c r="I2509" s="17" t="s">
        <v>336</v>
      </c>
      <c r="J2509" s="27" t="s">
        <v>29</v>
      </c>
      <c r="K2509" s="29">
        <v>12491</v>
      </c>
      <c r="L2509" s="31">
        <v>16419451.210260902</v>
      </c>
      <c r="M2509" s="31">
        <v>12258514.670138679</v>
      </c>
      <c r="N2509" s="31">
        <v>9773067.0599875022</v>
      </c>
      <c r="O2509" s="34">
        <f t="shared" si="328"/>
        <v>0.74658492011462874</v>
      </c>
      <c r="P2509" s="34">
        <f t="shared" si="329"/>
        <v>0.79724724593219742</v>
      </c>
      <c r="Q2509" s="34">
        <f t="shared" si="330"/>
        <v>0.25341507988537126</v>
      </c>
      <c r="R2509" s="46">
        <f t="shared" si="331"/>
        <v>782.40869906232501</v>
      </c>
    </row>
    <row r="2510" spans="2:18" ht="12.75" customHeight="1" x14ac:dyDescent="0.25">
      <c r="B2510" s="17" t="s">
        <v>0</v>
      </c>
      <c r="C2510" s="44" t="s">
        <v>184</v>
      </c>
      <c r="D2510" s="22" t="s">
        <v>9</v>
      </c>
      <c r="E2510" s="20">
        <v>2</v>
      </c>
      <c r="F2510" s="17" t="s">
        <v>314</v>
      </c>
      <c r="G2510" s="17" t="s">
        <v>334</v>
      </c>
      <c r="H2510" s="17" t="s">
        <v>335</v>
      </c>
      <c r="I2510" s="17" t="s">
        <v>336</v>
      </c>
      <c r="J2510" s="27" t="s">
        <v>185</v>
      </c>
      <c r="K2510" s="29">
        <v>8519</v>
      </c>
      <c r="L2510" s="31">
        <v>10965244.019980319</v>
      </c>
      <c r="M2510" s="31">
        <v>7857938.5599571001</v>
      </c>
      <c r="N2510" s="31">
        <v>6259536.550039988</v>
      </c>
      <c r="O2510" s="34">
        <f t="shared" si="328"/>
        <v>0.71662231553066746</v>
      </c>
      <c r="P2510" s="34">
        <f t="shared" si="329"/>
        <v>0.79658761674946987</v>
      </c>
      <c r="Q2510" s="34">
        <f t="shared" si="330"/>
        <v>0.28337768446933254</v>
      </c>
      <c r="R2510" s="46">
        <f t="shared" si="331"/>
        <v>734.7736295386768</v>
      </c>
    </row>
    <row r="2511" spans="2:18" ht="12.75" customHeight="1" x14ac:dyDescent="0.25">
      <c r="B2511" s="17" t="s">
        <v>0</v>
      </c>
      <c r="C2511" s="44" t="s">
        <v>145</v>
      </c>
      <c r="D2511" s="22" t="s">
        <v>9</v>
      </c>
      <c r="E2511" s="20">
        <v>2</v>
      </c>
      <c r="F2511" s="17" t="s">
        <v>314</v>
      </c>
      <c r="G2511" s="17" t="s">
        <v>334</v>
      </c>
      <c r="H2511" s="17" t="s">
        <v>335</v>
      </c>
      <c r="I2511" s="17" t="s">
        <v>336</v>
      </c>
      <c r="J2511" s="27" t="s">
        <v>146</v>
      </c>
      <c r="K2511" s="29">
        <v>2814</v>
      </c>
      <c r="L2511" s="31">
        <v>4073902</v>
      </c>
      <c r="M2511" s="31">
        <v>3986430.3500742964</v>
      </c>
      <c r="N2511" s="31">
        <v>3175584.6001310782</v>
      </c>
      <c r="O2511" s="34">
        <f t="shared" si="328"/>
        <v>0.97852877906103197</v>
      </c>
      <c r="P2511" s="34">
        <f t="shared" si="329"/>
        <v>0.79659854086548731</v>
      </c>
      <c r="Q2511" s="34">
        <f t="shared" si="330"/>
        <v>2.1471220938968028E-2</v>
      </c>
      <c r="R2511" s="46">
        <f t="shared" si="331"/>
        <v>1128.4948827757919</v>
      </c>
    </row>
    <row r="2512" spans="2:18" ht="12.75" customHeight="1" x14ac:dyDescent="0.25">
      <c r="B2512" s="17" t="s">
        <v>0</v>
      </c>
      <c r="C2512" s="44" t="s">
        <v>170</v>
      </c>
      <c r="D2512" s="22" t="s">
        <v>9</v>
      </c>
      <c r="E2512" s="20">
        <v>2</v>
      </c>
      <c r="F2512" s="17" t="s">
        <v>314</v>
      </c>
      <c r="G2512" s="17" t="s">
        <v>334</v>
      </c>
      <c r="H2512" s="17" t="s">
        <v>335</v>
      </c>
      <c r="I2512" s="17" t="s">
        <v>336</v>
      </c>
      <c r="J2512" s="27" t="s">
        <v>171</v>
      </c>
      <c r="K2512" s="29">
        <v>1685</v>
      </c>
      <c r="L2512" s="31">
        <v>3446201.26</v>
      </c>
      <c r="M2512" s="31">
        <v>2826433.8699924797</v>
      </c>
      <c r="N2512" s="31">
        <v>2251524.2500031497</v>
      </c>
      <c r="O2512" s="34">
        <f t="shared" si="328"/>
        <v>0.82015925848523419</v>
      </c>
      <c r="P2512" s="34">
        <f t="shared" si="329"/>
        <v>0.79659541088401276</v>
      </c>
      <c r="Q2512" s="34">
        <f t="shared" si="330"/>
        <v>0.17984074151476581</v>
      </c>
      <c r="R2512" s="46">
        <f t="shared" si="331"/>
        <v>1336.2161721086943</v>
      </c>
    </row>
    <row r="2513" spans="2:18" ht="12.75" customHeight="1" x14ac:dyDescent="0.25">
      <c r="B2513" s="17" t="s">
        <v>0</v>
      </c>
      <c r="C2513" s="44" t="s">
        <v>90</v>
      </c>
      <c r="D2513" s="22" t="s">
        <v>9</v>
      </c>
      <c r="E2513" s="20">
        <v>2</v>
      </c>
      <c r="F2513" s="17" t="s">
        <v>314</v>
      </c>
      <c r="G2513" s="17" t="s">
        <v>334</v>
      </c>
      <c r="H2513" s="17" t="s">
        <v>335</v>
      </c>
      <c r="I2513" s="17" t="s">
        <v>336</v>
      </c>
      <c r="J2513" s="27" t="s">
        <v>91</v>
      </c>
      <c r="K2513" s="29">
        <v>1779</v>
      </c>
      <c r="L2513" s="31">
        <v>2569698</v>
      </c>
      <c r="M2513" s="31">
        <v>2221876.8199421102</v>
      </c>
      <c r="N2513" s="31">
        <v>1770275.9700458101</v>
      </c>
      <c r="O2513" s="34">
        <f t="shared" si="328"/>
        <v>0.86464511391693122</v>
      </c>
      <c r="P2513" s="34">
        <f t="shared" si="329"/>
        <v>0.79674802588378124</v>
      </c>
      <c r="Q2513" s="34">
        <f t="shared" si="330"/>
        <v>0.13535488608306878</v>
      </c>
      <c r="R2513" s="46">
        <f t="shared" si="331"/>
        <v>995.09610457887015</v>
      </c>
    </row>
    <row r="2514" spans="2:18" ht="12.75" customHeight="1" x14ac:dyDescent="0.25">
      <c r="B2514" s="17" t="s">
        <v>0</v>
      </c>
      <c r="C2514" s="44" t="s">
        <v>135</v>
      </c>
      <c r="D2514" s="22" t="s">
        <v>9</v>
      </c>
      <c r="E2514" s="20">
        <v>2</v>
      </c>
      <c r="F2514" s="17" t="s">
        <v>314</v>
      </c>
      <c r="G2514" s="17" t="s">
        <v>334</v>
      </c>
      <c r="H2514" s="17" t="s">
        <v>335</v>
      </c>
      <c r="I2514" s="17" t="s">
        <v>336</v>
      </c>
      <c r="J2514" s="27" t="s">
        <v>136</v>
      </c>
      <c r="K2514" s="29">
        <v>1417</v>
      </c>
      <c r="L2514" s="31">
        <v>1721120.0000264603</v>
      </c>
      <c r="M2514" s="31">
        <v>1637595.82001462</v>
      </c>
      <c r="N2514" s="31">
        <v>1304750.8599711498</v>
      </c>
      <c r="O2514" s="34">
        <f t="shared" si="328"/>
        <v>0.95147103048563941</v>
      </c>
      <c r="P2514" s="34">
        <f t="shared" si="329"/>
        <v>0.79674779577753285</v>
      </c>
      <c r="Q2514" s="34">
        <f t="shared" si="330"/>
        <v>4.8528969514360587E-2</v>
      </c>
      <c r="R2514" s="46">
        <f t="shared" si="331"/>
        <v>920.78395199093143</v>
      </c>
    </row>
    <row r="2515" spans="2:18" ht="12.75" customHeight="1" x14ac:dyDescent="0.25">
      <c r="B2515" s="17" t="s">
        <v>0</v>
      </c>
      <c r="C2515" s="44" t="s">
        <v>7</v>
      </c>
      <c r="D2515" s="22" t="s">
        <v>9</v>
      </c>
      <c r="E2515" s="20">
        <v>2</v>
      </c>
      <c r="F2515" s="17" t="s">
        <v>314</v>
      </c>
      <c r="G2515" s="17" t="s">
        <v>334</v>
      </c>
      <c r="H2515" s="17" t="s">
        <v>335</v>
      </c>
      <c r="I2515" s="17" t="s">
        <v>336</v>
      </c>
      <c r="J2515" s="27" t="s">
        <v>8</v>
      </c>
      <c r="K2515" s="29">
        <v>864</v>
      </c>
      <c r="L2515" s="31">
        <v>1604000.0000231999</v>
      </c>
      <c r="M2515" s="31">
        <v>1514358.4200170401</v>
      </c>
      <c r="N2515" s="31">
        <v>1206562.1599958402</v>
      </c>
      <c r="O2515" s="34">
        <f t="shared" si="328"/>
        <v>0.94411372817651917</v>
      </c>
      <c r="P2515" s="34">
        <f t="shared" si="329"/>
        <v>0.79674807763294475</v>
      </c>
      <c r="Q2515" s="34">
        <f t="shared" si="330"/>
        <v>5.5886271823480826E-2</v>
      </c>
      <c r="R2515" s="46">
        <f t="shared" si="331"/>
        <v>1396.4839814766669</v>
      </c>
    </row>
    <row r="2516" spans="2:18" ht="12.75" customHeight="1" x14ac:dyDescent="0.25">
      <c r="B2516" s="17" t="s">
        <v>0</v>
      </c>
      <c r="C2516" s="44" t="s">
        <v>36</v>
      </c>
      <c r="D2516" s="22" t="s">
        <v>2</v>
      </c>
      <c r="E2516" s="20">
        <v>1</v>
      </c>
      <c r="F2516" s="17" t="s">
        <v>314</v>
      </c>
      <c r="G2516" s="17" t="s">
        <v>334</v>
      </c>
      <c r="H2516" s="17" t="s">
        <v>335</v>
      </c>
      <c r="I2516" s="17" t="s">
        <v>336</v>
      </c>
      <c r="J2516" s="27" t="s">
        <v>37</v>
      </c>
      <c r="K2516" s="29">
        <v>408</v>
      </c>
      <c r="L2516" s="31">
        <v>122194.17999978601</v>
      </c>
      <c r="M2516" s="31">
        <v>31428.380000005003</v>
      </c>
      <c r="N2516" s="31">
        <v>24715.370000011997</v>
      </c>
      <c r="O2516" s="34">
        <f t="shared" si="328"/>
        <v>0.25720030201160188</v>
      </c>
      <c r="P2516" s="34">
        <f t="shared" si="329"/>
        <v>0.78640292627262565</v>
      </c>
      <c r="Q2516" s="34">
        <f t="shared" si="330"/>
        <v>0.74279969798839818</v>
      </c>
      <c r="R2516" s="46">
        <f t="shared" si="331"/>
        <v>60.576887254931364</v>
      </c>
    </row>
    <row r="2517" spans="2:18" ht="12.75" customHeight="1" x14ac:dyDescent="0.25">
      <c r="B2517" s="17" t="s">
        <v>0</v>
      </c>
      <c r="C2517" s="44" t="s">
        <v>90</v>
      </c>
      <c r="D2517" s="22" t="s">
        <v>2</v>
      </c>
      <c r="E2517" s="20">
        <v>1</v>
      </c>
      <c r="F2517" s="17" t="s">
        <v>314</v>
      </c>
      <c r="G2517" s="17" t="s">
        <v>334</v>
      </c>
      <c r="H2517" s="17" t="s">
        <v>335</v>
      </c>
      <c r="I2517" s="17" t="s">
        <v>336</v>
      </c>
      <c r="J2517" s="27" t="s">
        <v>91</v>
      </c>
      <c r="K2517" s="29">
        <v>435</v>
      </c>
      <c r="L2517" s="31">
        <v>248710.40000015002</v>
      </c>
      <c r="M2517" s="31">
        <v>28918.289999934997</v>
      </c>
      <c r="N2517" s="31">
        <v>23031.049999997998</v>
      </c>
      <c r="O2517" s="34">
        <f t="shared" si="328"/>
        <v>0.11627294234546506</v>
      </c>
      <c r="P2517" s="34">
        <f t="shared" si="329"/>
        <v>0.79641811462744749</v>
      </c>
      <c r="Q2517" s="34">
        <f t="shared" si="330"/>
        <v>0.88372705765453496</v>
      </c>
      <c r="R2517" s="46">
        <f t="shared" si="331"/>
        <v>52.944942528731033</v>
      </c>
    </row>
    <row r="2518" spans="2:18" ht="12.75" customHeight="1" x14ac:dyDescent="0.25">
      <c r="B2518" s="17" t="s">
        <v>0</v>
      </c>
      <c r="C2518" s="44" t="s">
        <v>70</v>
      </c>
      <c r="D2518" s="22" t="s">
        <v>9</v>
      </c>
      <c r="E2518" s="20">
        <v>2</v>
      </c>
      <c r="F2518" s="17" t="s">
        <v>314</v>
      </c>
      <c r="G2518" s="17" t="s">
        <v>334</v>
      </c>
      <c r="H2518" s="17" t="s">
        <v>335</v>
      </c>
      <c r="I2518" s="17" t="s">
        <v>336</v>
      </c>
      <c r="J2518" s="27" t="s">
        <v>71</v>
      </c>
      <c r="K2518" s="29">
        <v>137</v>
      </c>
      <c r="L2518" s="31">
        <v>13907.840000000002</v>
      </c>
      <c r="M2518" s="31">
        <v>13329.219999871999</v>
      </c>
      <c r="N2518" s="31">
        <v>10619.869999959999</v>
      </c>
      <c r="O2518" s="34">
        <f t="shared" si="328"/>
        <v>0.95839612764253812</v>
      </c>
      <c r="P2518" s="34">
        <f t="shared" si="329"/>
        <v>0.79673604307393697</v>
      </c>
      <c r="Q2518" s="34">
        <f t="shared" si="330"/>
        <v>4.160387235746188E-2</v>
      </c>
      <c r="R2518" s="46">
        <f t="shared" si="331"/>
        <v>77.51729926978102</v>
      </c>
    </row>
    <row r="2519" spans="2:18" ht="12.75" customHeight="1" x14ac:dyDescent="0.25">
      <c r="B2519" s="17" t="s">
        <v>0</v>
      </c>
      <c r="C2519" s="44" t="s">
        <v>191</v>
      </c>
      <c r="D2519" s="22" t="s">
        <v>9</v>
      </c>
      <c r="E2519" s="20">
        <v>2</v>
      </c>
      <c r="F2519" s="17" t="s">
        <v>314</v>
      </c>
      <c r="G2519" s="17" t="s">
        <v>334</v>
      </c>
      <c r="H2519" s="17" t="s">
        <v>335</v>
      </c>
      <c r="I2519" s="17" t="s">
        <v>336</v>
      </c>
      <c r="J2519" s="27" t="s">
        <v>192</v>
      </c>
      <c r="K2519" s="29">
        <v>82</v>
      </c>
      <c r="L2519" s="31">
        <v>36736</v>
      </c>
      <c r="M2519" s="31">
        <v>11952.80000012</v>
      </c>
      <c r="N2519" s="31">
        <v>9523.5600000199993</v>
      </c>
      <c r="O2519" s="34">
        <f t="shared" si="328"/>
        <v>0.32537020906249997</v>
      </c>
      <c r="P2519" s="34">
        <f t="shared" si="329"/>
        <v>0.79676393815042401</v>
      </c>
      <c r="Q2519" s="34">
        <f t="shared" si="330"/>
        <v>0.67462979093750008</v>
      </c>
      <c r="R2519" s="46">
        <f t="shared" si="331"/>
        <v>116.14097561</v>
      </c>
    </row>
    <row r="2520" spans="2:18" ht="12.75" customHeight="1" x14ac:dyDescent="0.25">
      <c r="B2520" s="17" t="s">
        <v>0</v>
      </c>
      <c r="C2520" s="44" t="s">
        <v>46</v>
      </c>
      <c r="D2520" s="22" t="s">
        <v>2</v>
      </c>
      <c r="E2520" s="20">
        <v>1</v>
      </c>
      <c r="F2520" s="17" t="s">
        <v>314</v>
      </c>
      <c r="G2520" s="17" t="s">
        <v>334</v>
      </c>
      <c r="H2520" s="17" t="s">
        <v>335</v>
      </c>
      <c r="I2520" s="17" t="s">
        <v>336</v>
      </c>
      <c r="J2520" s="27" t="s">
        <v>47</v>
      </c>
      <c r="K2520" s="29">
        <v>168</v>
      </c>
      <c r="L2520" s="31">
        <v>45603.999999840002</v>
      </c>
      <c r="M2520" s="31">
        <v>11363.370000018</v>
      </c>
      <c r="N2520" s="31">
        <v>9053.8000000150005</v>
      </c>
      <c r="O2520" s="34">
        <f t="shared" si="328"/>
        <v>0.24917485308433179</v>
      </c>
      <c r="P2520" s="34">
        <f t="shared" si="329"/>
        <v>0.79675307589215694</v>
      </c>
      <c r="Q2520" s="34">
        <f t="shared" si="330"/>
        <v>0.75082514691566815</v>
      </c>
      <c r="R2520" s="46">
        <f t="shared" si="331"/>
        <v>53.891666666755953</v>
      </c>
    </row>
    <row r="2521" spans="2:18" ht="12.75" customHeight="1" x14ac:dyDescent="0.25">
      <c r="B2521" s="17" t="s">
        <v>0</v>
      </c>
      <c r="C2521" s="44" t="s">
        <v>103</v>
      </c>
      <c r="D2521" s="22" t="s">
        <v>2</v>
      </c>
      <c r="E2521" s="20">
        <v>1</v>
      </c>
      <c r="F2521" s="17" t="s">
        <v>314</v>
      </c>
      <c r="G2521" s="17" t="s">
        <v>334</v>
      </c>
      <c r="H2521" s="17" t="s">
        <v>335</v>
      </c>
      <c r="I2521" s="17" t="s">
        <v>336</v>
      </c>
      <c r="J2521" s="27" t="s">
        <v>104</v>
      </c>
      <c r="K2521" s="29">
        <v>175</v>
      </c>
      <c r="L2521" s="31">
        <v>69414.919999799997</v>
      </c>
      <c r="M2521" s="31">
        <v>11317.349999994001</v>
      </c>
      <c r="N2521" s="31">
        <v>8926.8499999920004</v>
      </c>
      <c r="O2521" s="34">
        <f t="shared" si="328"/>
        <v>0.16303915642381508</v>
      </c>
      <c r="P2521" s="34">
        <f t="shared" si="329"/>
        <v>0.78877564094039077</v>
      </c>
      <c r="Q2521" s="34">
        <f t="shared" si="330"/>
        <v>0.83696084357618494</v>
      </c>
      <c r="R2521" s="46">
        <f t="shared" si="331"/>
        <v>51.010571428525715</v>
      </c>
    </row>
    <row r="2522" spans="2:18" ht="12.75" customHeight="1" x14ac:dyDescent="0.25">
      <c r="B2522" s="17" t="s">
        <v>0</v>
      </c>
      <c r="C2522" s="44" t="s">
        <v>54</v>
      </c>
      <c r="D2522" s="22" t="s">
        <v>2</v>
      </c>
      <c r="E2522" s="20">
        <v>1</v>
      </c>
      <c r="F2522" s="17" t="s">
        <v>314</v>
      </c>
      <c r="G2522" s="17" t="s">
        <v>334</v>
      </c>
      <c r="H2522" s="17" t="s">
        <v>335</v>
      </c>
      <c r="I2522" s="17" t="s">
        <v>336</v>
      </c>
      <c r="J2522" s="27" t="s">
        <v>55</v>
      </c>
      <c r="K2522" s="29">
        <v>100</v>
      </c>
      <c r="L2522" s="31">
        <v>52955.999999999993</v>
      </c>
      <c r="M2522" s="31">
        <v>8219.9</v>
      </c>
      <c r="N2522" s="31">
        <v>6600.6600000000008</v>
      </c>
      <c r="O2522" s="34">
        <f t="shared" si="328"/>
        <v>0.15522131580935117</v>
      </c>
      <c r="P2522" s="34">
        <f t="shared" si="329"/>
        <v>0.80300976897529175</v>
      </c>
      <c r="Q2522" s="34">
        <f t="shared" si="330"/>
        <v>0.84477868419064883</v>
      </c>
      <c r="R2522" s="46">
        <f t="shared" si="331"/>
        <v>66.006600000000006</v>
      </c>
    </row>
    <row r="2523" spans="2:18" ht="12.75" customHeight="1" x14ac:dyDescent="0.25">
      <c r="B2523" s="17" t="s">
        <v>0</v>
      </c>
      <c r="C2523" s="44" t="s">
        <v>12</v>
      </c>
      <c r="D2523" s="22" t="s">
        <v>9</v>
      </c>
      <c r="E2523" s="20">
        <v>2</v>
      </c>
      <c r="F2523" s="17" t="s">
        <v>314</v>
      </c>
      <c r="G2523" s="17" t="s">
        <v>334</v>
      </c>
      <c r="H2523" s="17" t="s">
        <v>335</v>
      </c>
      <c r="I2523" s="17" t="s">
        <v>336</v>
      </c>
      <c r="J2523" s="27" t="s">
        <v>13</v>
      </c>
      <c r="K2523" s="29">
        <v>43</v>
      </c>
      <c r="L2523" s="31">
        <v>27072.799999999999</v>
      </c>
      <c r="M2523" s="31">
        <v>6270.6600001899997</v>
      </c>
      <c r="N2523" s="31">
        <v>4996.2400001299993</v>
      </c>
      <c r="O2523" s="34">
        <f t="shared" si="328"/>
        <v>0.23162214474269377</v>
      </c>
      <c r="P2523" s="34">
        <f t="shared" si="329"/>
        <v>0.79676461488561245</v>
      </c>
      <c r="Q2523" s="34">
        <f t="shared" si="330"/>
        <v>0.76837785525730617</v>
      </c>
      <c r="R2523" s="46">
        <f t="shared" si="331"/>
        <v>116.19162790999998</v>
      </c>
    </row>
    <row r="2524" spans="2:18" ht="12.75" customHeight="1" x14ac:dyDescent="0.25">
      <c r="B2524" s="17" t="s">
        <v>0</v>
      </c>
      <c r="C2524" s="44" t="s">
        <v>74</v>
      </c>
      <c r="D2524" s="22" t="s">
        <v>2</v>
      </c>
      <c r="E2524" s="20">
        <v>1</v>
      </c>
      <c r="F2524" s="17" t="s">
        <v>314</v>
      </c>
      <c r="G2524" s="17" t="s">
        <v>334</v>
      </c>
      <c r="H2524" s="17" t="s">
        <v>335</v>
      </c>
      <c r="I2524" s="17" t="s">
        <v>336</v>
      </c>
      <c r="J2524" s="27" t="s">
        <v>75</v>
      </c>
      <c r="K2524" s="29">
        <v>65</v>
      </c>
      <c r="L2524" s="31">
        <v>71811</v>
      </c>
      <c r="M2524" s="31">
        <v>5037.6700000010005</v>
      </c>
      <c r="N2524" s="31">
        <v>4013.5499999840004</v>
      </c>
      <c r="O2524" s="34">
        <f t="shared" si="328"/>
        <v>7.0151787330645726E-2</v>
      </c>
      <c r="P2524" s="34">
        <f t="shared" si="329"/>
        <v>0.79670760490131409</v>
      </c>
      <c r="Q2524" s="34">
        <f t="shared" si="330"/>
        <v>0.92984821266935425</v>
      </c>
      <c r="R2524" s="46">
        <f t="shared" si="331"/>
        <v>61.746923076676929</v>
      </c>
    </row>
    <row r="2525" spans="2:18" ht="12.75" customHeight="1" x14ac:dyDescent="0.25">
      <c r="B2525" s="17" t="s">
        <v>0</v>
      </c>
      <c r="C2525" s="44" t="s">
        <v>40</v>
      </c>
      <c r="D2525" s="22" t="s">
        <v>2</v>
      </c>
      <c r="E2525" s="20">
        <v>1</v>
      </c>
      <c r="F2525" s="17" t="s">
        <v>314</v>
      </c>
      <c r="G2525" s="17" t="s">
        <v>334</v>
      </c>
      <c r="H2525" s="17" t="s">
        <v>335</v>
      </c>
      <c r="I2525" s="17" t="s">
        <v>336</v>
      </c>
      <c r="J2525" s="27" t="s">
        <v>41</v>
      </c>
      <c r="K2525" s="29">
        <v>65</v>
      </c>
      <c r="L2525" s="31">
        <v>27885</v>
      </c>
      <c r="M2525" s="31">
        <v>4963.51000002</v>
      </c>
      <c r="N2525" s="31">
        <v>3874.6099999750004</v>
      </c>
      <c r="O2525" s="34">
        <f t="shared" si="328"/>
        <v>0.17799928276923077</v>
      </c>
      <c r="P2525" s="34">
        <f t="shared" si="329"/>
        <v>0.78061895714109331</v>
      </c>
      <c r="Q2525" s="34">
        <f t="shared" si="330"/>
        <v>0.82200071723076928</v>
      </c>
      <c r="R2525" s="46">
        <f t="shared" si="331"/>
        <v>59.609384615000003</v>
      </c>
    </row>
    <row r="2526" spans="2:18" ht="12.75" customHeight="1" x14ac:dyDescent="0.25">
      <c r="B2526" s="17" t="s">
        <v>0</v>
      </c>
      <c r="C2526" s="44" t="s">
        <v>58</v>
      </c>
      <c r="D2526" s="22" t="s">
        <v>2</v>
      </c>
      <c r="E2526" s="20">
        <v>1</v>
      </c>
      <c r="F2526" s="17" t="s">
        <v>314</v>
      </c>
      <c r="G2526" s="17" t="s">
        <v>334</v>
      </c>
      <c r="H2526" s="17" t="s">
        <v>335</v>
      </c>
      <c r="I2526" s="17" t="s">
        <v>336</v>
      </c>
      <c r="J2526" s="27" t="s">
        <v>59</v>
      </c>
      <c r="K2526" s="29">
        <v>34</v>
      </c>
      <c r="L2526" s="31">
        <v>20808</v>
      </c>
      <c r="M2526" s="31">
        <v>2533.380000014</v>
      </c>
      <c r="N2526" s="31">
        <v>2018.440000002</v>
      </c>
      <c r="O2526" s="34">
        <f t="shared" si="328"/>
        <v>0.12175028835130719</v>
      </c>
      <c r="P2526" s="34">
        <f t="shared" si="329"/>
        <v>0.79673795482353449</v>
      </c>
      <c r="Q2526" s="34">
        <f t="shared" si="330"/>
        <v>0.87824971164869281</v>
      </c>
      <c r="R2526" s="46">
        <f t="shared" si="331"/>
        <v>59.365882353000003</v>
      </c>
    </row>
    <row r="2527" spans="2:18" ht="12.75" customHeight="1" x14ac:dyDescent="0.25">
      <c r="B2527" s="17" t="s">
        <v>0</v>
      </c>
      <c r="C2527" s="44" t="s">
        <v>74</v>
      </c>
      <c r="D2527" s="22" t="s">
        <v>9</v>
      </c>
      <c r="E2527" s="20">
        <v>2</v>
      </c>
      <c r="F2527" s="17" t="s">
        <v>314</v>
      </c>
      <c r="G2527" s="17" t="s">
        <v>334</v>
      </c>
      <c r="H2527" s="17" t="s">
        <v>335</v>
      </c>
      <c r="I2527" s="17" t="s">
        <v>336</v>
      </c>
      <c r="J2527" s="27" t="s">
        <v>75</v>
      </c>
      <c r="K2527" s="29">
        <v>21</v>
      </c>
      <c r="L2527" s="31">
        <v>12957</v>
      </c>
      <c r="M2527" s="31">
        <v>1756.819999998</v>
      </c>
      <c r="N2527" s="31">
        <v>1407.160000008</v>
      </c>
      <c r="O2527" s="34">
        <f t="shared" si="328"/>
        <v>0.13558848498865478</v>
      </c>
      <c r="P2527" s="34">
        <f t="shared" si="329"/>
        <v>0.80096993431859953</v>
      </c>
      <c r="Q2527" s="34">
        <f t="shared" si="330"/>
        <v>0.86441151501134517</v>
      </c>
      <c r="R2527" s="46">
        <f t="shared" si="331"/>
        <v>67.007619047999995</v>
      </c>
    </row>
    <row r="2528" spans="2:18" ht="12.75" customHeight="1" x14ac:dyDescent="0.25">
      <c r="B2528" s="17" t="s">
        <v>0</v>
      </c>
      <c r="C2528" s="44" t="s">
        <v>137</v>
      </c>
      <c r="D2528" s="22" t="s">
        <v>2</v>
      </c>
      <c r="E2528" s="20">
        <v>1</v>
      </c>
      <c r="F2528" s="17" t="s">
        <v>314</v>
      </c>
      <c r="G2528" s="17" t="s">
        <v>334</v>
      </c>
      <c r="H2528" s="17" t="s">
        <v>335</v>
      </c>
      <c r="I2528" s="17" t="s">
        <v>336</v>
      </c>
      <c r="J2528" s="27" t="s">
        <v>138</v>
      </c>
      <c r="K2528" s="29">
        <v>19</v>
      </c>
      <c r="L2528" s="31">
        <v>5320</v>
      </c>
      <c r="M2528" s="31">
        <v>1558.0899999979999</v>
      </c>
      <c r="N2528" s="31">
        <v>1186.1999999929999</v>
      </c>
      <c r="O2528" s="34">
        <f t="shared" si="328"/>
        <v>0.29287406015</v>
      </c>
      <c r="P2528" s="34">
        <f t="shared" si="329"/>
        <v>0.76131674036449926</v>
      </c>
      <c r="Q2528" s="34">
        <f t="shared" si="330"/>
        <v>0.70712593985000005</v>
      </c>
      <c r="R2528" s="46">
        <f t="shared" si="331"/>
        <v>62.431578946999991</v>
      </c>
    </row>
    <row r="2529" spans="2:18" ht="12.75" customHeight="1" thickBot="1" x14ac:dyDescent="0.3">
      <c r="B2529" s="15" t="s">
        <v>0</v>
      </c>
      <c r="C2529" s="50" t="s">
        <v>170</v>
      </c>
      <c r="D2529" s="19" t="s">
        <v>2</v>
      </c>
      <c r="E2529" s="16">
        <v>1</v>
      </c>
      <c r="F2529" s="15" t="s">
        <v>314</v>
      </c>
      <c r="G2529" s="15" t="s">
        <v>334</v>
      </c>
      <c r="H2529" s="15" t="s">
        <v>335</v>
      </c>
      <c r="I2529" s="15" t="s">
        <v>336</v>
      </c>
      <c r="J2529" s="24" t="s">
        <v>171</v>
      </c>
      <c r="K2529" s="26">
        <v>15</v>
      </c>
      <c r="L2529" s="28">
        <v>13260</v>
      </c>
      <c r="M2529" s="28">
        <v>748.60999999499995</v>
      </c>
      <c r="N2529" s="28">
        <v>596.23999999500006</v>
      </c>
      <c r="O2529" s="32">
        <f t="shared" si="328"/>
        <v>5.6456259426470583E-2</v>
      </c>
      <c r="P2529" s="32">
        <f t="shared" si="329"/>
        <v>0.79646277767994333</v>
      </c>
      <c r="Q2529" s="32">
        <f t="shared" si="330"/>
        <v>0.94354374057352941</v>
      </c>
      <c r="R2529" s="49">
        <f t="shared" si="331"/>
        <v>39.749333333000003</v>
      </c>
    </row>
    <row r="2530" spans="2:18" ht="17.25" customHeight="1" x14ac:dyDescent="0.25">
      <c r="B2530" s="48"/>
      <c r="C2530" s="58"/>
      <c r="D2530" s="51" t="s">
        <v>366</v>
      </c>
      <c r="E2530" s="52"/>
      <c r="F2530" s="52"/>
      <c r="G2530" s="53"/>
      <c r="H2530" s="53"/>
      <c r="I2530" s="53"/>
      <c r="J2530" s="54"/>
      <c r="K2530" s="55">
        <f>SUM(K2500:K2529)</f>
        <v>376568</v>
      </c>
      <c r="L2530" s="56">
        <f>SUM(L2500:L2529)</f>
        <v>614726815.4201324</v>
      </c>
      <c r="M2530" s="56">
        <f>SUM(M2500:M2529)</f>
        <v>530379256.91380119</v>
      </c>
      <c r="N2530" s="56">
        <f>SUM(N2500:N2529)</f>
        <v>422651775.4847852</v>
      </c>
      <c r="O2530" s="57">
        <f>IFERROR(M2530/L2530,0)</f>
        <v>0.86278854868453358</v>
      </c>
      <c r="P2530" s="57">
        <f>IFERROR(N2530/M2530,0)</f>
        <v>0.79688594524630108</v>
      </c>
      <c r="Q2530" s="57">
        <f>IFERROR(1-(M2530/L2530),0)</f>
        <v>0.13721145131546642</v>
      </c>
      <c r="R2530" s="59">
        <f>IFERROR(N2530/K2530,0)</f>
        <v>1122.3783632299749</v>
      </c>
    </row>
    <row r="2531" spans="2:18" ht="15.75" thickBot="1" x14ac:dyDescent="0.3">
      <c r="B2531" s="60"/>
      <c r="C2531" s="64"/>
      <c r="D2531" s="62" t="s">
        <v>336</v>
      </c>
      <c r="E2531" s="61"/>
      <c r="F2531" s="61"/>
      <c r="G2531" s="61"/>
      <c r="H2531" s="61"/>
      <c r="I2531" s="61"/>
      <c r="J2531" s="61"/>
      <c r="K2531" s="63"/>
      <c r="L2531" s="63"/>
      <c r="M2531" s="63"/>
      <c r="N2531" s="63"/>
      <c r="O2531" s="63"/>
      <c r="P2531" s="63"/>
      <c r="Q2531" s="63"/>
      <c r="R2531" s="65"/>
    </row>
    <row r="2532" spans="2:18" ht="15.75" thickBot="1" x14ac:dyDescent="0.3"/>
    <row r="2533" spans="2:18" ht="15.75" x14ac:dyDescent="0.25">
      <c r="B2533" s="1"/>
      <c r="C2533" s="7" t="s">
        <v>348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9"/>
    </row>
    <row r="2534" spans="2:18" ht="18" x14ac:dyDescent="0.25">
      <c r="B2534" s="2"/>
      <c r="C2534" s="8" t="s">
        <v>340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10"/>
    </row>
    <row r="2535" spans="2:18" ht="15.75" thickBot="1" x14ac:dyDescent="0.3">
      <c r="B2535" s="3"/>
      <c r="C2535" s="11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12"/>
    </row>
    <row r="2536" spans="2:18" ht="17.25" customHeight="1" thickBot="1" x14ac:dyDescent="0.3">
      <c r="B2536" s="14" t="s">
        <v>349</v>
      </c>
      <c r="C2536" s="18" t="s">
        <v>350</v>
      </c>
      <c r="D2536" s="21" t="s">
        <v>351</v>
      </c>
      <c r="E2536" s="23" t="s">
        <v>352</v>
      </c>
      <c r="F2536" s="21" t="s">
        <v>353</v>
      </c>
      <c r="G2536" s="23" t="s">
        <v>354</v>
      </c>
      <c r="H2536" s="23" t="s">
        <v>355</v>
      </c>
      <c r="I2536" s="23" t="s">
        <v>356</v>
      </c>
      <c r="J2536" s="25" t="s">
        <v>357</v>
      </c>
      <c r="K2536" s="25" t="s">
        <v>358</v>
      </c>
      <c r="L2536" s="30" t="s">
        <v>359</v>
      </c>
      <c r="M2536" s="30" t="s">
        <v>360</v>
      </c>
      <c r="N2536" s="30" t="s">
        <v>361</v>
      </c>
      <c r="O2536" s="33" t="s">
        <v>362</v>
      </c>
      <c r="P2536" s="33" t="s">
        <v>363</v>
      </c>
      <c r="Q2536" s="33" t="s">
        <v>364</v>
      </c>
      <c r="R2536" s="35" t="s">
        <v>365</v>
      </c>
    </row>
    <row r="2537" spans="2:18" ht="12.75" customHeight="1" x14ac:dyDescent="0.25">
      <c r="B2537" s="17" t="s">
        <v>0</v>
      </c>
      <c r="C2537" s="43" t="s">
        <v>337</v>
      </c>
      <c r="D2537" s="37" t="s">
        <v>9</v>
      </c>
      <c r="E2537" s="36">
        <v>2</v>
      </c>
      <c r="F2537" s="38" t="s">
        <v>314</v>
      </c>
      <c r="G2537" s="38" t="s">
        <v>338</v>
      </c>
      <c r="H2537" s="38" t="s">
        <v>339</v>
      </c>
      <c r="I2537" s="38" t="s">
        <v>340</v>
      </c>
      <c r="J2537" s="39" t="s">
        <v>341</v>
      </c>
      <c r="K2537" s="40">
        <v>740771</v>
      </c>
      <c r="L2537" s="41">
        <v>43368314.320001811</v>
      </c>
      <c r="M2537" s="41">
        <v>27558621.219999939</v>
      </c>
      <c r="N2537" s="41">
        <v>19491849.029992718</v>
      </c>
      <c r="O2537" s="42">
        <f t="shared" ref="O2537:O2551" si="332">IFERROR(M2537/L2537,0)</f>
        <v>0.63545520853434889</v>
      </c>
      <c r="P2537" s="42">
        <f t="shared" ref="P2537:P2551" si="333">IFERROR(N2537/M2537,0)</f>
        <v>0.707286800540189</v>
      </c>
      <c r="Q2537" s="42">
        <f t="shared" ref="Q2537:Q2551" si="334">IFERROR(1-(M2537/L2537),0)</f>
        <v>0.36454479146565111</v>
      </c>
      <c r="R2537" s="45">
        <f t="shared" ref="R2537:R2551" si="335">IFERROR(N2537/K2537,0)</f>
        <v>26.312921307654751</v>
      </c>
    </row>
    <row r="2538" spans="2:18" ht="12.75" customHeight="1" x14ac:dyDescent="0.25">
      <c r="B2538" s="17" t="s">
        <v>0</v>
      </c>
      <c r="C2538" s="44" t="s">
        <v>46</v>
      </c>
      <c r="D2538" s="22" t="s">
        <v>9</v>
      </c>
      <c r="E2538" s="20">
        <v>2</v>
      </c>
      <c r="F2538" s="17" t="s">
        <v>314</v>
      </c>
      <c r="G2538" s="17" t="s">
        <v>338</v>
      </c>
      <c r="H2538" s="17" t="s">
        <v>339</v>
      </c>
      <c r="I2538" s="17" t="s">
        <v>340</v>
      </c>
      <c r="J2538" s="27" t="s">
        <v>47</v>
      </c>
      <c r="K2538" s="29">
        <v>12168</v>
      </c>
      <c r="L2538" s="31">
        <v>977673.99999999802</v>
      </c>
      <c r="M2538" s="31">
        <v>468196.71999837004</v>
      </c>
      <c r="N2538" s="31">
        <v>345054.20000014349</v>
      </c>
      <c r="O2538" s="34">
        <f t="shared" si="332"/>
        <v>0.47888838201524331</v>
      </c>
      <c r="P2538" s="34">
        <f t="shared" si="333"/>
        <v>0.73698551327173922</v>
      </c>
      <c r="Q2538" s="34">
        <f t="shared" si="334"/>
        <v>0.52111161798475669</v>
      </c>
      <c r="R2538" s="46">
        <f t="shared" si="335"/>
        <v>28.357511505600222</v>
      </c>
    </row>
    <row r="2539" spans="2:18" ht="12.75" customHeight="1" x14ac:dyDescent="0.25">
      <c r="B2539" s="17" t="s">
        <v>0</v>
      </c>
      <c r="C2539" s="44" t="s">
        <v>191</v>
      </c>
      <c r="D2539" s="22" t="s">
        <v>9</v>
      </c>
      <c r="E2539" s="20">
        <v>2</v>
      </c>
      <c r="F2539" s="17" t="s">
        <v>314</v>
      </c>
      <c r="G2539" s="17" t="s">
        <v>338</v>
      </c>
      <c r="H2539" s="17" t="s">
        <v>339</v>
      </c>
      <c r="I2539" s="17" t="s">
        <v>340</v>
      </c>
      <c r="J2539" s="27" t="s">
        <v>192</v>
      </c>
      <c r="K2539" s="29">
        <v>4152</v>
      </c>
      <c r="L2539" s="31">
        <v>490288.00000001799</v>
      </c>
      <c r="M2539" s="31">
        <v>278974.06000028399</v>
      </c>
      <c r="N2539" s="31">
        <v>213224.57000025999</v>
      </c>
      <c r="O2539" s="34">
        <f t="shared" si="332"/>
        <v>0.56900038344865422</v>
      </c>
      <c r="P2539" s="34">
        <f t="shared" si="333"/>
        <v>0.76431683289852448</v>
      </c>
      <c r="Q2539" s="34">
        <f t="shared" si="334"/>
        <v>0.43099961655134578</v>
      </c>
      <c r="R2539" s="46">
        <f t="shared" si="335"/>
        <v>51.354665221642577</v>
      </c>
    </row>
    <row r="2540" spans="2:18" ht="12.75" customHeight="1" x14ac:dyDescent="0.25">
      <c r="B2540" s="17" t="s">
        <v>0</v>
      </c>
      <c r="C2540" s="44" t="s">
        <v>54</v>
      </c>
      <c r="D2540" s="22" t="s">
        <v>9</v>
      </c>
      <c r="E2540" s="20">
        <v>2</v>
      </c>
      <c r="F2540" s="17" t="s">
        <v>314</v>
      </c>
      <c r="G2540" s="17" t="s">
        <v>338</v>
      </c>
      <c r="H2540" s="17" t="s">
        <v>339</v>
      </c>
      <c r="I2540" s="17" t="s">
        <v>340</v>
      </c>
      <c r="J2540" s="27" t="s">
        <v>55</v>
      </c>
      <c r="K2540" s="29">
        <v>3602</v>
      </c>
      <c r="L2540" s="31">
        <v>343904.309999939</v>
      </c>
      <c r="M2540" s="31">
        <v>191621.28000006202</v>
      </c>
      <c r="N2540" s="31">
        <v>142737.91999974498</v>
      </c>
      <c r="O2540" s="34">
        <f t="shared" si="332"/>
        <v>0.55719359841723415</v>
      </c>
      <c r="P2540" s="34">
        <f t="shared" si="333"/>
        <v>0.74489597397376106</v>
      </c>
      <c r="Q2540" s="34">
        <f t="shared" si="334"/>
        <v>0.44280640158276585</v>
      </c>
      <c r="R2540" s="46">
        <f t="shared" si="335"/>
        <v>39.627406996042467</v>
      </c>
    </row>
    <row r="2541" spans="2:18" ht="12.75" customHeight="1" x14ac:dyDescent="0.25">
      <c r="B2541" s="17" t="s">
        <v>0</v>
      </c>
      <c r="C2541" s="44" t="s">
        <v>30</v>
      </c>
      <c r="D2541" s="22" t="s">
        <v>9</v>
      </c>
      <c r="E2541" s="20">
        <v>2</v>
      </c>
      <c r="F2541" s="17" t="s">
        <v>314</v>
      </c>
      <c r="G2541" s="17" t="s">
        <v>338</v>
      </c>
      <c r="H2541" s="17" t="s">
        <v>339</v>
      </c>
      <c r="I2541" s="17" t="s">
        <v>340</v>
      </c>
      <c r="J2541" s="27" t="s">
        <v>31</v>
      </c>
      <c r="K2541" s="29">
        <v>426</v>
      </c>
      <c r="L2541" s="31">
        <v>28705.679999952001</v>
      </c>
      <c r="M2541" s="31">
        <v>26179.200000102002</v>
      </c>
      <c r="N2541" s="31">
        <v>20113.039999920002</v>
      </c>
      <c r="O2541" s="34">
        <f t="shared" si="332"/>
        <v>0.91198675663303486</v>
      </c>
      <c r="P2541" s="34">
        <f t="shared" si="333"/>
        <v>0.76828321720456072</v>
      </c>
      <c r="Q2541" s="34">
        <f t="shared" si="334"/>
        <v>8.8013243366965144E-2</v>
      </c>
      <c r="R2541" s="46">
        <f t="shared" si="335"/>
        <v>47.213708920000002</v>
      </c>
    </row>
    <row r="2542" spans="2:18" ht="12.75" customHeight="1" x14ac:dyDescent="0.25">
      <c r="B2542" s="17" t="s">
        <v>0</v>
      </c>
      <c r="C2542" s="44" t="s">
        <v>30</v>
      </c>
      <c r="D2542" s="22" t="s">
        <v>2</v>
      </c>
      <c r="E2542" s="20">
        <v>1</v>
      </c>
      <c r="F2542" s="17" t="s">
        <v>314</v>
      </c>
      <c r="G2542" s="17" t="s">
        <v>338</v>
      </c>
      <c r="H2542" s="17" t="s">
        <v>339</v>
      </c>
      <c r="I2542" s="17" t="s">
        <v>340</v>
      </c>
      <c r="J2542" s="27" t="s">
        <v>31</v>
      </c>
      <c r="K2542" s="29">
        <v>327</v>
      </c>
      <c r="L2542" s="31">
        <v>50620</v>
      </c>
      <c r="M2542" s="31">
        <v>21032.659999984</v>
      </c>
      <c r="N2542" s="31">
        <v>16758.430000010001</v>
      </c>
      <c r="O2542" s="34">
        <f t="shared" si="332"/>
        <v>0.41550098775156064</v>
      </c>
      <c r="P2542" s="34">
        <f t="shared" si="333"/>
        <v>0.79678129157333166</v>
      </c>
      <c r="Q2542" s="34">
        <f t="shared" si="334"/>
        <v>0.58449901224843936</v>
      </c>
      <c r="R2542" s="46">
        <f t="shared" si="335"/>
        <v>51.249021406758416</v>
      </c>
    </row>
    <row r="2543" spans="2:18" ht="12.75" customHeight="1" x14ac:dyDescent="0.25">
      <c r="B2543" s="17" t="s">
        <v>0</v>
      </c>
      <c r="C2543" s="44" t="s">
        <v>337</v>
      </c>
      <c r="D2543" s="22" t="s">
        <v>2</v>
      </c>
      <c r="E2543" s="20">
        <v>1</v>
      </c>
      <c r="F2543" s="17" t="s">
        <v>314</v>
      </c>
      <c r="G2543" s="17" t="s">
        <v>338</v>
      </c>
      <c r="H2543" s="17" t="s">
        <v>339</v>
      </c>
      <c r="I2543" s="17" t="s">
        <v>340</v>
      </c>
      <c r="J2543" s="27" t="s">
        <v>341</v>
      </c>
      <c r="K2543" s="29">
        <v>704</v>
      </c>
      <c r="L2543" s="31">
        <v>55479.68</v>
      </c>
      <c r="M2543" s="31">
        <v>22050.340000101998</v>
      </c>
      <c r="N2543" s="31">
        <v>16137.269999799</v>
      </c>
      <c r="O2543" s="34">
        <f t="shared" si="332"/>
        <v>0.39744893986594726</v>
      </c>
      <c r="P2543" s="34">
        <f t="shared" si="333"/>
        <v>0.73183769500716789</v>
      </c>
      <c r="Q2543" s="34">
        <f t="shared" si="334"/>
        <v>0.60255106013405269</v>
      </c>
      <c r="R2543" s="46">
        <f t="shared" si="335"/>
        <v>22.922258522441762</v>
      </c>
    </row>
    <row r="2544" spans="2:18" ht="12.75" customHeight="1" x14ac:dyDescent="0.25">
      <c r="B2544" s="17" t="s">
        <v>0</v>
      </c>
      <c r="C2544" s="44" t="s">
        <v>58</v>
      </c>
      <c r="D2544" s="22" t="s">
        <v>9</v>
      </c>
      <c r="E2544" s="20">
        <v>2</v>
      </c>
      <c r="F2544" s="17" t="s">
        <v>314</v>
      </c>
      <c r="G2544" s="17" t="s">
        <v>338</v>
      </c>
      <c r="H2544" s="17" t="s">
        <v>339</v>
      </c>
      <c r="I2544" s="17" t="s">
        <v>340</v>
      </c>
      <c r="J2544" s="27" t="s">
        <v>59</v>
      </c>
      <c r="K2544" s="29">
        <v>347</v>
      </c>
      <c r="L2544" s="31">
        <v>34203</v>
      </c>
      <c r="M2544" s="31">
        <v>16609.260000026999</v>
      </c>
      <c r="N2544" s="31">
        <v>12771.289999975999</v>
      </c>
      <c r="O2544" s="34">
        <f t="shared" si="332"/>
        <v>0.48560827997623013</v>
      </c>
      <c r="P2544" s="34">
        <f t="shared" si="333"/>
        <v>0.7689258883270681</v>
      </c>
      <c r="Q2544" s="34">
        <f t="shared" si="334"/>
        <v>0.51439172002376987</v>
      </c>
      <c r="R2544" s="46">
        <f t="shared" si="335"/>
        <v>36.804870316933716</v>
      </c>
    </row>
    <row r="2545" spans="2:18" ht="12.75" customHeight="1" x14ac:dyDescent="0.25">
      <c r="B2545" s="17" t="s">
        <v>0</v>
      </c>
      <c r="C2545" s="44" t="s">
        <v>137</v>
      </c>
      <c r="D2545" s="22" t="s">
        <v>9</v>
      </c>
      <c r="E2545" s="20">
        <v>2</v>
      </c>
      <c r="F2545" s="17" t="s">
        <v>314</v>
      </c>
      <c r="G2545" s="17" t="s">
        <v>338</v>
      </c>
      <c r="H2545" s="17" t="s">
        <v>339</v>
      </c>
      <c r="I2545" s="17" t="s">
        <v>340</v>
      </c>
      <c r="J2545" s="27" t="s">
        <v>138</v>
      </c>
      <c r="K2545" s="29">
        <v>254</v>
      </c>
      <c r="L2545" s="31">
        <v>19205.999999970001</v>
      </c>
      <c r="M2545" s="31">
        <v>12747.640000003001</v>
      </c>
      <c r="N2545" s="31">
        <v>9855.0999999199994</v>
      </c>
      <c r="O2545" s="34">
        <f t="shared" si="332"/>
        <v>0.66373216703232907</v>
      </c>
      <c r="P2545" s="34">
        <f t="shared" si="333"/>
        <v>0.77309211743645723</v>
      </c>
      <c r="Q2545" s="34">
        <f t="shared" si="334"/>
        <v>0.33626783296767093</v>
      </c>
      <c r="R2545" s="46">
        <f t="shared" si="335"/>
        <v>38.799606298897636</v>
      </c>
    </row>
    <row r="2546" spans="2:18" ht="12.75" customHeight="1" x14ac:dyDescent="0.25">
      <c r="B2546" s="17" t="s">
        <v>0</v>
      </c>
      <c r="C2546" s="44" t="s">
        <v>90</v>
      </c>
      <c r="D2546" s="22" t="s">
        <v>9</v>
      </c>
      <c r="E2546" s="20">
        <v>2</v>
      </c>
      <c r="F2546" s="17" t="s">
        <v>314</v>
      </c>
      <c r="G2546" s="17" t="s">
        <v>338</v>
      </c>
      <c r="H2546" s="17" t="s">
        <v>339</v>
      </c>
      <c r="I2546" s="17" t="s">
        <v>340</v>
      </c>
      <c r="J2546" s="27" t="s">
        <v>91</v>
      </c>
      <c r="K2546" s="29">
        <v>287</v>
      </c>
      <c r="L2546" s="31">
        <v>24395</v>
      </c>
      <c r="M2546" s="31">
        <v>8359.410000025</v>
      </c>
      <c r="N2546" s="31">
        <v>6564.599999993</v>
      </c>
      <c r="O2546" s="34">
        <f t="shared" si="332"/>
        <v>0.34266898954806313</v>
      </c>
      <c r="P2546" s="34">
        <f t="shared" si="333"/>
        <v>0.78529465595937598</v>
      </c>
      <c r="Q2546" s="34">
        <f t="shared" si="334"/>
        <v>0.65733101045193687</v>
      </c>
      <c r="R2546" s="46">
        <f t="shared" si="335"/>
        <v>22.873170731682926</v>
      </c>
    </row>
    <row r="2547" spans="2:18" ht="12.75" customHeight="1" x14ac:dyDescent="0.25">
      <c r="B2547" s="17" t="s">
        <v>0</v>
      </c>
      <c r="C2547" s="44" t="s">
        <v>58</v>
      </c>
      <c r="D2547" s="22" t="s">
        <v>2</v>
      </c>
      <c r="E2547" s="20">
        <v>1</v>
      </c>
      <c r="F2547" s="17" t="s">
        <v>314</v>
      </c>
      <c r="G2547" s="17" t="s">
        <v>338</v>
      </c>
      <c r="H2547" s="17" t="s">
        <v>339</v>
      </c>
      <c r="I2547" s="17" t="s">
        <v>340</v>
      </c>
      <c r="J2547" s="27" t="s">
        <v>59</v>
      </c>
      <c r="K2547" s="29">
        <v>182</v>
      </c>
      <c r="L2547" s="31">
        <v>35605.9</v>
      </c>
      <c r="M2547" s="31">
        <v>8277.569999981999</v>
      </c>
      <c r="N2547" s="31">
        <v>6485.350000034</v>
      </c>
      <c r="O2547" s="34">
        <f t="shared" si="332"/>
        <v>0.23247748266388432</v>
      </c>
      <c r="P2547" s="34">
        <f t="shared" si="333"/>
        <v>0.78348476667042422</v>
      </c>
      <c r="Q2547" s="34">
        <f t="shared" si="334"/>
        <v>0.76752251733611565</v>
      </c>
      <c r="R2547" s="46">
        <f t="shared" si="335"/>
        <v>35.633791208978025</v>
      </c>
    </row>
    <row r="2548" spans="2:18" ht="12.75" customHeight="1" x14ac:dyDescent="0.25">
      <c r="B2548" s="17" t="s">
        <v>0</v>
      </c>
      <c r="C2548" s="44" t="s">
        <v>191</v>
      </c>
      <c r="D2548" s="22" t="s">
        <v>2</v>
      </c>
      <c r="E2548" s="20">
        <v>1</v>
      </c>
      <c r="F2548" s="17" t="s">
        <v>314</v>
      </c>
      <c r="G2548" s="17" t="s">
        <v>338</v>
      </c>
      <c r="H2548" s="17" t="s">
        <v>339</v>
      </c>
      <c r="I2548" s="17" t="s">
        <v>340</v>
      </c>
      <c r="J2548" s="27" t="s">
        <v>192</v>
      </c>
      <c r="K2548" s="29">
        <v>141</v>
      </c>
      <c r="L2548" s="31">
        <v>22045.99999991</v>
      </c>
      <c r="M2548" s="31">
        <v>7841.8300000179997</v>
      </c>
      <c r="N2548" s="31">
        <v>6260.8700000000008</v>
      </c>
      <c r="O2548" s="34">
        <f t="shared" si="332"/>
        <v>0.35570307539009405</v>
      </c>
      <c r="P2548" s="34">
        <f t="shared" si="333"/>
        <v>0.79839399731767069</v>
      </c>
      <c r="Q2548" s="34">
        <f t="shared" si="334"/>
        <v>0.64429692460990595</v>
      </c>
      <c r="R2548" s="46">
        <f t="shared" si="335"/>
        <v>44.403333333333336</v>
      </c>
    </row>
    <row r="2549" spans="2:18" ht="12.75" customHeight="1" x14ac:dyDescent="0.25">
      <c r="B2549" s="17" t="s">
        <v>0</v>
      </c>
      <c r="C2549" s="44" t="s">
        <v>72</v>
      </c>
      <c r="D2549" s="22" t="s">
        <v>9</v>
      </c>
      <c r="E2549" s="20">
        <v>2</v>
      </c>
      <c r="F2549" s="17" t="s">
        <v>314</v>
      </c>
      <c r="G2549" s="17" t="s">
        <v>338</v>
      </c>
      <c r="H2549" s="17" t="s">
        <v>339</v>
      </c>
      <c r="I2549" s="17" t="s">
        <v>340</v>
      </c>
      <c r="J2549" s="27" t="s">
        <v>73</v>
      </c>
      <c r="K2549" s="29">
        <v>82</v>
      </c>
      <c r="L2549" s="31">
        <v>11412</v>
      </c>
      <c r="M2549" s="31">
        <v>4086.8999999860002</v>
      </c>
      <c r="N2549" s="31">
        <v>3076.8700000039998</v>
      </c>
      <c r="O2549" s="34">
        <f t="shared" si="332"/>
        <v>0.35812302838994042</v>
      </c>
      <c r="P2549" s="34">
        <f t="shared" si="333"/>
        <v>0.75286158213182108</v>
      </c>
      <c r="Q2549" s="34">
        <f t="shared" si="334"/>
        <v>0.64187697161005963</v>
      </c>
      <c r="R2549" s="46">
        <f t="shared" si="335"/>
        <v>37.52280487809756</v>
      </c>
    </row>
    <row r="2550" spans="2:18" ht="12.75" customHeight="1" x14ac:dyDescent="0.25">
      <c r="B2550" s="17" t="s">
        <v>0</v>
      </c>
      <c r="C2550" s="44" t="s">
        <v>20</v>
      </c>
      <c r="D2550" s="22" t="s">
        <v>9</v>
      </c>
      <c r="E2550" s="20">
        <v>2</v>
      </c>
      <c r="F2550" s="17" t="s">
        <v>314</v>
      </c>
      <c r="G2550" s="17" t="s">
        <v>338</v>
      </c>
      <c r="H2550" s="17" t="s">
        <v>339</v>
      </c>
      <c r="I2550" s="17" t="s">
        <v>340</v>
      </c>
      <c r="J2550" s="27" t="s">
        <v>21</v>
      </c>
      <c r="K2550" s="29">
        <v>25</v>
      </c>
      <c r="L2550" s="31">
        <v>7500</v>
      </c>
      <c r="M2550" s="31">
        <v>1445.43</v>
      </c>
      <c r="N2550" s="31">
        <v>1105.52</v>
      </c>
      <c r="O2550" s="34">
        <f t="shared" si="332"/>
        <v>0.19272400000000001</v>
      </c>
      <c r="P2550" s="34">
        <f t="shared" si="333"/>
        <v>0.76483814505026182</v>
      </c>
      <c r="Q2550" s="34">
        <f t="shared" si="334"/>
        <v>0.80727599999999999</v>
      </c>
      <c r="R2550" s="46">
        <f t="shared" si="335"/>
        <v>44.220799999999997</v>
      </c>
    </row>
    <row r="2551" spans="2:18" ht="12.75" customHeight="1" thickBot="1" x14ac:dyDescent="0.3">
      <c r="B2551" s="15" t="s">
        <v>0</v>
      </c>
      <c r="C2551" s="50" t="s">
        <v>16</v>
      </c>
      <c r="D2551" s="19" t="s">
        <v>9</v>
      </c>
      <c r="E2551" s="16">
        <v>2</v>
      </c>
      <c r="F2551" s="15" t="s">
        <v>314</v>
      </c>
      <c r="G2551" s="15" t="s">
        <v>338</v>
      </c>
      <c r="H2551" s="15" t="s">
        <v>339</v>
      </c>
      <c r="I2551" s="15" t="s">
        <v>340</v>
      </c>
      <c r="J2551" s="24" t="s">
        <v>17</v>
      </c>
      <c r="K2551" s="26">
        <v>21</v>
      </c>
      <c r="L2551" s="28">
        <v>2541</v>
      </c>
      <c r="M2551" s="28">
        <v>627.12999999299996</v>
      </c>
      <c r="N2551" s="28">
        <v>499.650000003</v>
      </c>
      <c r="O2551" s="32">
        <f t="shared" si="332"/>
        <v>0.24680440771074377</v>
      </c>
      <c r="P2551" s="32">
        <f t="shared" si="333"/>
        <v>0.79672476202474307</v>
      </c>
      <c r="Q2551" s="32">
        <f t="shared" si="334"/>
        <v>0.75319559228925625</v>
      </c>
      <c r="R2551" s="49">
        <f t="shared" si="335"/>
        <v>23.792857142999999</v>
      </c>
    </row>
    <row r="2552" spans="2:18" ht="17.25" customHeight="1" x14ac:dyDescent="0.25">
      <c r="B2552" s="48"/>
      <c r="C2552" s="58"/>
      <c r="D2552" s="51" t="s">
        <v>366</v>
      </c>
      <c r="E2552" s="52"/>
      <c r="F2552" s="52"/>
      <c r="G2552" s="53"/>
      <c r="H2552" s="53"/>
      <c r="I2552" s="53"/>
      <c r="J2552" s="54"/>
      <c r="K2552" s="55">
        <f>SUM(K2537:K2551)</f>
        <v>763489</v>
      </c>
      <c r="L2552" s="56">
        <f>SUM(L2537:L2551)</f>
        <v>45471894.890001595</v>
      </c>
      <c r="M2552" s="56">
        <f>SUM(M2537:M2551)</f>
        <v>28626670.649998881</v>
      </c>
      <c r="N2552" s="56">
        <f>SUM(N2537:N2551)</f>
        <v>20292493.709992532</v>
      </c>
      <c r="O2552" s="57">
        <f>IFERROR(M2552/L2552,0)</f>
        <v>0.62954646423352245</v>
      </c>
      <c r="P2552" s="57">
        <f>IFERROR(N2552/M2552,0)</f>
        <v>0.70886670539150964</v>
      </c>
      <c r="Q2552" s="57">
        <f>IFERROR(1-(M2552/L2552),0)</f>
        <v>0.37045353576647755</v>
      </c>
      <c r="R2552" s="59">
        <f>IFERROR(N2552/K2552,0)</f>
        <v>26.578632711136024</v>
      </c>
    </row>
    <row r="2553" spans="2:18" ht="15.75" thickBot="1" x14ac:dyDescent="0.3">
      <c r="B2553" s="60"/>
      <c r="C2553" s="64"/>
      <c r="D2553" s="62" t="s">
        <v>340</v>
      </c>
      <c r="E2553" s="61"/>
      <c r="F2553" s="61"/>
      <c r="G2553" s="61"/>
      <c r="H2553" s="61"/>
      <c r="I2553" s="61"/>
      <c r="J2553" s="61"/>
      <c r="K2553" s="63"/>
      <c r="L2553" s="63"/>
      <c r="M2553" s="63"/>
      <c r="N2553" s="63"/>
      <c r="O2553" s="63"/>
      <c r="P2553" s="63"/>
      <c r="Q2553" s="63"/>
      <c r="R2553" s="65"/>
    </row>
    <row r="2554" spans="2:18" ht="15.75" thickBot="1" x14ac:dyDescent="0.3"/>
    <row r="2555" spans="2:18" ht="15.75" x14ac:dyDescent="0.25">
      <c r="B2555" s="1"/>
      <c r="C2555" s="7" t="s">
        <v>348</v>
      </c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9"/>
    </row>
    <row r="2556" spans="2:18" ht="18" x14ac:dyDescent="0.25">
      <c r="B2556" s="2"/>
      <c r="C2556" s="8" t="s">
        <v>344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10"/>
    </row>
    <row r="2557" spans="2:18" ht="15.75" thickBot="1" x14ac:dyDescent="0.3">
      <c r="B2557" s="3"/>
      <c r="C2557" s="11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12"/>
    </row>
    <row r="2558" spans="2:18" ht="17.25" customHeight="1" thickBot="1" x14ac:dyDescent="0.3">
      <c r="B2558" s="14" t="s">
        <v>349</v>
      </c>
      <c r="C2558" s="18" t="s">
        <v>350</v>
      </c>
      <c r="D2558" s="21" t="s">
        <v>351</v>
      </c>
      <c r="E2558" s="23" t="s">
        <v>352</v>
      </c>
      <c r="F2558" s="21" t="s">
        <v>353</v>
      </c>
      <c r="G2558" s="23" t="s">
        <v>354</v>
      </c>
      <c r="H2558" s="23" t="s">
        <v>355</v>
      </c>
      <c r="I2558" s="23" t="s">
        <v>356</v>
      </c>
      <c r="J2558" s="25" t="s">
        <v>357</v>
      </c>
      <c r="K2558" s="25" t="s">
        <v>358</v>
      </c>
      <c r="L2558" s="30" t="s">
        <v>359</v>
      </c>
      <c r="M2558" s="30" t="s">
        <v>360</v>
      </c>
      <c r="N2558" s="30" t="s">
        <v>361</v>
      </c>
      <c r="O2558" s="33" t="s">
        <v>362</v>
      </c>
      <c r="P2558" s="33" t="s">
        <v>363</v>
      </c>
      <c r="Q2558" s="33" t="s">
        <v>364</v>
      </c>
      <c r="R2558" s="35" t="s">
        <v>365</v>
      </c>
    </row>
    <row r="2559" spans="2:18" ht="12.75" customHeight="1" x14ac:dyDescent="0.25">
      <c r="B2559" s="17" t="s">
        <v>0</v>
      </c>
      <c r="C2559" s="43" t="s">
        <v>34</v>
      </c>
      <c r="D2559" s="37" t="s">
        <v>9</v>
      </c>
      <c r="E2559" s="36">
        <v>2</v>
      </c>
      <c r="F2559" s="38" t="s">
        <v>314</v>
      </c>
      <c r="G2559" s="38" t="s">
        <v>342</v>
      </c>
      <c r="H2559" s="38" t="s">
        <v>343</v>
      </c>
      <c r="I2559" s="38" t="s">
        <v>344</v>
      </c>
      <c r="J2559" s="39" t="s">
        <v>35</v>
      </c>
      <c r="K2559" s="40">
        <v>7295</v>
      </c>
      <c r="L2559" s="41">
        <v>48814296.360039182</v>
      </c>
      <c r="M2559" s="41">
        <v>17885677.600030363</v>
      </c>
      <c r="N2559" s="41">
        <v>14204559.460027266</v>
      </c>
      <c r="O2559" s="42">
        <f t="shared" ref="O2559:O2590" si="336">IFERROR(M2559/L2559,0)</f>
        <v>0.36640244628563579</v>
      </c>
      <c r="P2559" s="42">
        <f t="shared" ref="P2559:P2590" si="337">IFERROR(N2559/M2559,0)</f>
        <v>0.79418626331513165</v>
      </c>
      <c r="Q2559" s="42">
        <f t="shared" ref="Q2559:Q2590" si="338">IFERROR(1-(M2559/L2559),0)</f>
        <v>0.63359755371436421</v>
      </c>
      <c r="R2559" s="45">
        <f t="shared" ref="R2559:R2590" si="339">IFERROR(N2559/K2559,0)</f>
        <v>1947.1637368097693</v>
      </c>
    </row>
    <row r="2560" spans="2:18" ht="12.75" customHeight="1" x14ac:dyDescent="0.25">
      <c r="B2560" s="17" t="s">
        <v>0</v>
      </c>
      <c r="C2560" s="44" t="s">
        <v>170</v>
      </c>
      <c r="D2560" s="22" t="s">
        <v>9</v>
      </c>
      <c r="E2560" s="20">
        <v>2</v>
      </c>
      <c r="F2560" s="17" t="s">
        <v>314</v>
      </c>
      <c r="G2560" s="17" t="s">
        <v>342</v>
      </c>
      <c r="H2560" s="17" t="s">
        <v>343</v>
      </c>
      <c r="I2560" s="17" t="s">
        <v>344</v>
      </c>
      <c r="J2560" s="27" t="s">
        <v>171</v>
      </c>
      <c r="K2560" s="29">
        <v>311767</v>
      </c>
      <c r="L2560" s="31">
        <v>20091238.059958003</v>
      </c>
      <c r="M2560" s="31">
        <v>8996832.9899731446</v>
      </c>
      <c r="N2560" s="31">
        <v>6945102.4300117511</v>
      </c>
      <c r="O2560" s="34">
        <f t="shared" si="336"/>
        <v>0.44779883465240022</v>
      </c>
      <c r="P2560" s="34">
        <f t="shared" si="337"/>
        <v>0.7719496891575045</v>
      </c>
      <c r="Q2560" s="34">
        <f t="shared" si="338"/>
        <v>0.55220116534759978</v>
      </c>
      <c r="R2560" s="46">
        <f t="shared" si="339"/>
        <v>22.276579721432196</v>
      </c>
    </row>
    <row r="2561" spans="2:18" ht="12.75" customHeight="1" x14ac:dyDescent="0.25">
      <c r="B2561" s="17" t="s">
        <v>0</v>
      </c>
      <c r="C2561" s="44" t="s">
        <v>92</v>
      </c>
      <c r="D2561" s="22" t="s">
        <v>9</v>
      </c>
      <c r="E2561" s="20">
        <v>2</v>
      </c>
      <c r="F2561" s="17" t="s">
        <v>314</v>
      </c>
      <c r="G2561" s="17" t="s">
        <v>342</v>
      </c>
      <c r="H2561" s="17" t="s">
        <v>343</v>
      </c>
      <c r="I2561" s="17" t="s">
        <v>344</v>
      </c>
      <c r="J2561" s="27" t="s">
        <v>93</v>
      </c>
      <c r="K2561" s="29">
        <v>475018</v>
      </c>
      <c r="L2561" s="31">
        <v>13201932.91999637</v>
      </c>
      <c r="M2561" s="31">
        <v>6113249.1899897</v>
      </c>
      <c r="N2561" s="31">
        <v>4496385.3499901919</v>
      </c>
      <c r="O2561" s="34">
        <f t="shared" si="336"/>
        <v>0.46305713163640139</v>
      </c>
      <c r="P2561" s="34">
        <f t="shared" si="337"/>
        <v>0.73551481548517861</v>
      </c>
      <c r="Q2561" s="34">
        <f t="shared" si="338"/>
        <v>0.53694286836359861</v>
      </c>
      <c r="R2561" s="46">
        <f t="shared" si="339"/>
        <v>9.4657157202257434</v>
      </c>
    </row>
    <row r="2562" spans="2:18" ht="12.75" customHeight="1" x14ac:dyDescent="0.25">
      <c r="B2562" s="17" t="s">
        <v>0</v>
      </c>
      <c r="C2562" s="44" t="s">
        <v>56</v>
      </c>
      <c r="D2562" s="22" t="s">
        <v>9</v>
      </c>
      <c r="E2562" s="20">
        <v>2</v>
      </c>
      <c r="F2562" s="17" t="s">
        <v>314</v>
      </c>
      <c r="G2562" s="17" t="s">
        <v>342</v>
      </c>
      <c r="H2562" s="17" t="s">
        <v>343</v>
      </c>
      <c r="I2562" s="17" t="s">
        <v>344</v>
      </c>
      <c r="J2562" s="27" t="s">
        <v>57</v>
      </c>
      <c r="K2562" s="29">
        <v>2097</v>
      </c>
      <c r="L2562" s="31">
        <v>3498913.9999955995</v>
      </c>
      <c r="M2562" s="31">
        <v>1919628.6699797502</v>
      </c>
      <c r="N2562" s="31">
        <v>1514065.6899991503</v>
      </c>
      <c r="O2562" s="34">
        <f t="shared" si="336"/>
        <v>0.54863556805973634</v>
      </c>
      <c r="P2562" s="34">
        <f t="shared" si="337"/>
        <v>0.78872842111444497</v>
      </c>
      <c r="Q2562" s="34">
        <f t="shared" si="338"/>
        <v>0.45136443194026366</v>
      </c>
      <c r="R2562" s="46">
        <f t="shared" si="339"/>
        <v>722.01511206444934</v>
      </c>
    </row>
    <row r="2563" spans="2:18" ht="12.75" customHeight="1" x14ac:dyDescent="0.25">
      <c r="B2563" s="17" t="s">
        <v>0</v>
      </c>
      <c r="C2563" s="44" t="s">
        <v>127</v>
      </c>
      <c r="D2563" s="22" t="s">
        <v>9</v>
      </c>
      <c r="E2563" s="20">
        <v>2</v>
      </c>
      <c r="F2563" s="17" t="s">
        <v>314</v>
      </c>
      <c r="G2563" s="17" t="s">
        <v>342</v>
      </c>
      <c r="H2563" s="17" t="s">
        <v>343</v>
      </c>
      <c r="I2563" s="17" t="s">
        <v>344</v>
      </c>
      <c r="J2563" s="27" t="s">
        <v>128</v>
      </c>
      <c r="K2563" s="29">
        <v>9752</v>
      </c>
      <c r="L2563" s="31">
        <v>8093134.0399929676</v>
      </c>
      <c r="M2563" s="31">
        <v>1815584.4000068463</v>
      </c>
      <c r="N2563" s="31">
        <v>1433975.0199968021</v>
      </c>
      <c r="O2563" s="34">
        <f t="shared" si="336"/>
        <v>0.22433638081798332</v>
      </c>
      <c r="P2563" s="34">
        <f t="shared" si="337"/>
        <v>0.78981457429982038</v>
      </c>
      <c r="Q2563" s="34">
        <f t="shared" si="338"/>
        <v>0.77566361918201665</v>
      </c>
      <c r="R2563" s="46">
        <f t="shared" si="339"/>
        <v>147.04419811287963</v>
      </c>
    </row>
    <row r="2564" spans="2:18" ht="12.75" customHeight="1" x14ac:dyDescent="0.25">
      <c r="B2564" s="17" t="s">
        <v>0</v>
      </c>
      <c r="C2564" s="44" t="s">
        <v>184</v>
      </c>
      <c r="D2564" s="22" t="s">
        <v>9</v>
      </c>
      <c r="E2564" s="20">
        <v>2</v>
      </c>
      <c r="F2564" s="17" t="s">
        <v>314</v>
      </c>
      <c r="G2564" s="17" t="s">
        <v>342</v>
      </c>
      <c r="H2564" s="17" t="s">
        <v>343</v>
      </c>
      <c r="I2564" s="17" t="s">
        <v>344</v>
      </c>
      <c r="J2564" s="27" t="s">
        <v>185</v>
      </c>
      <c r="K2564" s="29">
        <v>11366</v>
      </c>
      <c r="L2564" s="31">
        <v>5201443.0399888605</v>
      </c>
      <c r="M2564" s="31">
        <v>1764409.0800074663</v>
      </c>
      <c r="N2564" s="31">
        <v>1404925.530011045</v>
      </c>
      <c r="O2564" s="34">
        <f t="shared" si="336"/>
        <v>0.33921530360760133</v>
      </c>
      <c r="P2564" s="34">
        <f t="shared" si="337"/>
        <v>0.79625838810866922</v>
      </c>
      <c r="Q2564" s="34">
        <f t="shared" si="338"/>
        <v>0.66078469639239867</v>
      </c>
      <c r="R2564" s="46">
        <f t="shared" si="339"/>
        <v>123.60773623183574</v>
      </c>
    </row>
    <row r="2565" spans="2:18" ht="12.75" customHeight="1" x14ac:dyDescent="0.25">
      <c r="B2565" s="17" t="s">
        <v>0</v>
      </c>
      <c r="C2565" s="44" t="s">
        <v>30</v>
      </c>
      <c r="D2565" s="22" t="s">
        <v>9</v>
      </c>
      <c r="E2565" s="20">
        <v>2</v>
      </c>
      <c r="F2565" s="17" t="s">
        <v>314</v>
      </c>
      <c r="G2565" s="17" t="s">
        <v>342</v>
      </c>
      <c r="H2565" s="17" t="s">
        <v>343</v>
      </c>
      <c r="I2565" s="17" t="s">
        <v>344</v>
      </c>
      <c r="J2565" s="27" t="s">
        <v>31</v>
      </c>
      <c r="K2565" s="29">
        <v>73932</v>
      </c>
      <c r="L2565" s="31">
        <v>4821067.9200073387</v>
      </c>
      <c r="M2565" s="31">
        <v>1704789.2700147801</v>
      </c>
      <c r="N2565" s="31">
        <v>1339913.7300060445</v>
      </c>
      <c r="O2565" s="34">
        <f t="shared" si="336"/>
        <v>0.35361237350337621</v>
      </c>
      <c r="P2565" s="34">
        <f t="shared" si="337"/>
        <v>0.78597029766290571</v>
      </c>
      <c r="Q2565" s="34">
        <f t="shared" si="338"/>
        <v>0.64638762649662374</v>
      </c>
      <c r="R2565" s="46">
        <f t="shared" si="339"/>
        <v>18.123596413001739</v>
      </c>
    </row>
    <row r="2566" spans="2:18" ht="12.75" customHeight="1" x14ac:dyDescent="0.25">
      <c r="B2566" s="17" t="s">
        <v>0</v>
      </c>
      <c r="C2566" s="44" t="s">
        <v>28</v>
      </c>
      <c r="D2566" s="22" t="s">
        <v>9</v>
      </c>
      <c r="E2566" s="20">
        <v>2</v>
      </c>
      <c r="F2566" s="17" t="s">
        <v>314</v>
      </c>
      <c r="G2566" s="17" t="s">
        <v>342</v>
      </c>
      <c r="H2566" s="17" t="s">
        <v>343</v>
      </c>
      <c r="I2566" s="17" t="s">
        <v>344</v>
      </c>
      <c r="J2566" s="27" t="s">
        <v>29</v>
      </c>
      <c r="K2566" s="29">
        <v>19320</v>
      </c>
      <c r="L2566" s="31">
        <v>2872774.5800013449</v>
      </c>
      <c r="M2566" s="31">
        <v>1623827.4300073106</v>
      </c>
      <c r="N2566" s="31">
        <v>1286717.7300018943</v>
      </c>
      <c r="O2566" s="34">
        <f t="shared" si="336"/>
        <v>0.56524707553161047</v>
      </c>
      <c r="P2566" s="34">
        <f t="shared" si="337"/>
        <v>0.7923980752043962</v>
      </c>
      <c r="Q2566" s="34">
        <f t="shared" si="338"/>
        <v>0.43475292446838953</v>
      </c>
      <c r="R2566" s="46">
        <f t="shared" si="339"/>
        <v>66.600296583948975</v>
      </c>
    </row>
    <row r="2567" spans="2:18" ht="12.75" customHeight="1" x14ac:dyDescent="0.25">
      <c r="B2567" s="17" t="s">
        <v>0</v>
      </c>
      <c r="C2567" s="44" t="s">
        <v>50</v>
      </c>
      <c r="D2567" s="22" t="s">
        <v>9</v>
      </c>
      <c r="E2567" s="20">
        <v>2</v>
      </c>
      <c r="F2567" s="17" t="s">
        <v>314</v>
      </c>
      <c r="G2567" s="17" t="s">
        <v>342</v>
      </c>
      <c r="H2567" s="17" t="s">
        <v>343</v>
      </c>
      <c r="I2567" s="17" t="s">
        <v>344</v>
      </c>
      <c r="J2567" s="27" t="s">
        <v>51</v>
      </c>
      <c r="K2567" s="29">
        <v>149794</v>
      </c>
      <c r="L2567" s="31">
        <v>4836328.4299977943</v>
      </c>
      <c r="M2567" s="31">
        <v>1605540.5200011213</v>
      </c>
      <c r="N2567" s="31">
        <v>1270293.3700026448</v>
      </c>
      <c r="O2567" s="34">
        <f t="shared" si="336"/>
        <v>0.33197508052650049</v>
      </c>
      <c r="P2567" s="34">
        <f t="shared" si="337"/>
        <v>0.7911935913032937</v>
      </c>
      <c r="Q2567" s="34">
        <f t="shared" si="338"/>
        <v>0.66802491947349951</v>
      </c>
      <c r="R2567" s="46">
        <f t="shared" si="339"/>
        <v>8.4802687023688854</v>
      </c>
    </row>
    <row r="2568" spans="2:18" ht="12.75" customHeight="1" x14ac:dyDescent="0.25">
      <c r="B2568" s="17" t="s">
        <v>0</v>
      </c>
      <c r="C2568" s="44" t="s">
        <v>54</v>
      </c>
      <c r="D2568" s="22" t="s">
        <v>9</v>
      </c>
      <c r="E2568" s="20">
        <v>2</v>
      </c>
      <c r="F2568" s="17" t="s">
        <v>314</v>
      </c>
      <c r="G2568" s="17" t="s">
        <v>342</v>
      </c>
      <c r="H2568" s="17" t="s">
        <v>343</v>
      </c>
      <c r="I2568" s="17" t="s">
        <v>344</v>
      </c>
      <c r="J2568" s="27" t="s">
        <v>55</v>
      </c>
      <c r="K2568" s="29">
        <v>69432</v>
      </c>
      <c r="L2568" s="31">
        <v>4659547.6700019781</v>
      </c>
      <c r="M2568" s="31">
        <v>1281133.7400020398</v>
      </c>
      <c r="N2568" s="31">
        <v>996431.84000086307</v>
      </c>
      <c r="O2568" s="34">
        <f t="shared" si="336"/>
        <v>0.27494809168922957</v>
      </c>
      <c r="P2568" s="34">
        <f t="shared" si="337"/>
        <v>0.77777347429728649</v>
      </c>
      <c r="Q2568" s="34">
        <f t="shared" si="338"/>
        <v>0.72505190831077049</v>
      </c>
      <c r="R2568" s="46">
        <f t="shared" si="339"/>
        <v>14.351190229301519</v>
      </c>
    </row>
    <row r="2569" spans="2:18" ht="12.75" customHeight="1" x14ac:dyDescent="0.25">
      <c r="B2569" s="17" t="s">
        <v>0</v>
      </c>
      <c r="C2569" s="44" t="s">
        <v>46</v>
      </c>
      <c r="D2569" s="22" t="s">
        <v>9</v>
      </c>
      <c r="E2569" s="20">
        <v>2</v>
      </c>
      <c r="F2569" s="17" t="s">
        <v>314</v>
      </c>
      <c r="G2569" s="17" t="s">
        <v>342</v>
      </c>
      <c r="H2569" s="17" t="s">
        <v>343</v>
      </c>
      <c r="I2569" s="17" t="s">
        <v>344</v>
      </c>
      <c r="J2569" s="27" t="s">
        <v>47</v>
      </c>
      <c r="K2569" s="29">
        <v>69453</v>
      </c>
      <c r="L2569" s="31">
        <v>2977752.010001366</v>
      </c>
      <c r="M2569" s="31">
        <v>1179357.5699937234</v>
      </c>
      <c r="N2569" s="31">
        <v>922656.50999380543</v>
      </c>
      <c r="O2569" s="34">
        <f t="shared" si="336"/>
        <v>0.39605634251362065</v>
      </c>
      <c r="P2569" s="34">
        <f t="shared" si="337"/>
        <v>0.78233822673365794</v>
      </c>
      <c r="Q2569" s="34">
        <f t="shared" si="338"/>
        <v>0.60394365748637935</v>
      </c>
      <c r="R2569" s="46">
        <f t="shared" si="339"/>
        <v>13.284617079086654</v>
      </c>
    </row>
    <row r="2570" spans="2:18" ht="12.75" customHeight="1" x14ac:dyDescent="0.25">
      <c r="B2570" s="17" t="s">
        <v>0</v>
      </c>
      <c r="C2570" s="44" t="s">
        <v>82</v>
      </c>
      <c r="D2570" s="22" t="s">
        <v>9</v>
      </c>
      <c r="E2570" s="20">
        <v>2</v>
      </c>
      <c r="F2570" s="17" t="s">
        <v>314</v>
      </c>
      <c r="G2570" s="17" t="s">
        <v>342</v>
      </c>
      <c r="H2570" s="17" t="s">
        <v>343</v>
      </c>
      <c r="I2570" s="17" t="s">
        <v>344</v>
      </c>
      <c r="J2570" s="27" t="s">
        <v>83</v>
      </c>
      <c r="K2570" s="29">
        <v>540289</v>
      </c>
      <c r="L2570" s="31">
        <v>1758152.9199981287</v>
      </c>
      <c r="M2570" s="31">
        <v>969071.85000158381</v>
      </c>
      <c r="N2570" s="31">
        <v>763818.2199954784</v>
      </c>
      <c r="O2570" s="34">
        <f t="shared" si="336"/>
        <v>0.55118746440020427</v>
      </c>
      <c r="P2570" s="34">
        <f t="shared" si="337"/>
        <v>0.78819565339167585</v>
      </c>
      <c r="Q2570" s="34">
        <f t="shared" si="338"/>
        <v>0.44881253559979573</v>
      </c>
      <c r="R2570" s="46">
        <f t="shared" si="339"/>
        <v>1.4137215823299722</v>
      </c>
    </row>
    <row r="2571" spans="2:18" ht="12.75" customHeight="1" x14ac:dyDescent="0.25">
      <c r="B2571" s="17" t="s">
        <v>0</v>
      </c>
      <c r="C2571" s="44" t="s">
        <v>14</v>
      </c>
      <c r="D2571" s="22" t="s">
        <v>9</v>
      </c>
      <c r="E2571" s="20">
        <v>2</v>
      </c>
      <c r="F2571" s="17" t="s">
        <v>314</v>
      </c>
      <c r="G2571" s="17" t="s">
        <v>342</v>
      </c>
      <c r="H2571" s="17" t="s">
        <v>343</v>
      </c>
      <c r="I2571" s="17" t="s">
        <v>344</v>
      </c>
      <c r="J2571" s="27" t="s">
        <v>15</v>
      </c>
      <c r="K2571" s="29">
        <v>7691</v>
      </c>
      <c r="L2571" s="31">
        <v>2281383.9999993499</v>
      </c>
      <c r="M2571" s="31">
        <v>892222.68000376062</v>
      </c>
      <c r="N2571" s="31">
        <v>705378.30000308959</v>
      </c>
      <c r="O2571" s="34">
        <f t="shared" si="336"/>
        <v>0.39108833936067527</v>
      </c>
      <c r="P2571" s="34">
        <f t="shared" si="337"/>
        <v>0.79058548478067892</v>
      </c>
      <c r="Q2571" s="34">
        <f t="shared" si="338"/>
        <v>0.60891166063932478</v>
      </c>
      <c r="R2571" s="46">
        <f t="shared" si="339"/>
        <v>91.714770511388579</v>
      </c>
    </row>
    <row r="2572" spans="2:18" ht="12.75" customHeight="1" x14ac:dyDescent="0.25">
      <c r="B2572" s="17" t="s">
        <v>0</v>
      </c>
      <c r="C2572" s="44" t="s">
        <v>94</v>
      </c>
      <c r="D2572" s="22" t="s">
        <v>9</v>
      </c>
      <c r="E2572" s="20">
        <v>2</v>
      </c>
      <c r="F2572" s="17" t="s">
        <v>314</v>
      </c>
      <c r="G2572" s="17" t="s">
        <v>342</v>
      </c>
      <c r="H2572" s="17" t="s">
        <v>343</v>
      </c>
      <c r="I2572" s="17" t="s">
        <v>344</v>
      </c>
      <c r="J2572" s="27" t="s">
        <v>95</v>
      </c>
      <c r="K2572" s="29">
        <v>18273</v>
      </c>
      <c r="L2572" s="31">
        <v>2267745.1500078999</v>
      </c>
      <c r="M2572" s="31">
        <v>826572.30998973711</v>
      </c>
      <c r="N2572" s="31">
        <v>649572.2699944987</v>
      </c>
      <c r="O2572" s="34">
        <f t="shared" si="336"/>
        <v>0.36449082913344899</v>
      </c>
      <c r="P2572" s="34">
        <f t="shared" si="337"/>
        <v>0.78586260650633688</v>
      </c>
      <c r="Q2572" s="34">
        <f t="shared" si="338"/>
        <v>0.63550917086655101</v>
      </c>
      <c r="R2572" s="46">
        <f t="shared" si="339"/>
        <v>35.548200623570224</v>
      </c>
    </row>
    <row r="2573" spans="2:18" ht="12.75" customHeight="1" x14ac:dyDescent="0.25">
      <c r="B2573" s="17" t="s">
        <v>0</v>
      </c>
      <c r="C2573" s="44" t="s">
        <v>145</v>
      </c>
      <c r="D2573" s="22" t="s">
        <v>9</v>
      </c>
      <c r="E2573" s="20">
        <v>2</v>
      </c>
      <c r="F2573" s="17" t="s">
        <v>314</v>
      </c>
      <c r="G2573" s="17" t="s">
        <v>342</v>
      </c>
      <c r="H2573" s="17" t="s">
        <v>343</v>
      </c>
      <c r="I2573" s="17" t="s">
        <v>344</v>
      </c>
      <c r="J2573" s="27" t="s">
        <v>146</v>
      </c>
      <c r="K2573" s="29">
        <v>10667</v>
      </c>
      <c r="L2573" s="31">
        <v>2646950.4810383692</v>
      </c>
      <c r="M2573" s="31">
        <v>757759.97581112548</v>
      </c>
      <c r="N2573" s="31">
        <v>584452.27313867374</v>
      </c>
      <c r="O2573" s="34">
        <f t="shared" si="336"/>
        <v>0.28627659687606422</v>
      </c>
      <c r="P2573" s="34">
        <f t="shared" si="337"/>
        <v>0.77128944757614204</v>
      </c>
      <c r="Q2573" s="34">
        <f t="shared" si="338"/>
        <v>0.71372340312393578</v>
      </c>
      <c r="R2573" s="46">
        <f t="shared" si="339"/>
        <v>54.790688397738236</v>
      </c>
    </row>
    <row r="2574" spans="2:18" ht="12.75" customHeight="1" x14ac:dyDescent="0.25">
      <c r="B2574" s="17" t="s">
        <v>0</v>
      </c>
      <c r="C2574" s="44" t="s">
        <v>103</v>
      </c>
      <c r="D2574" s="22" t="s">
        <v>9</v>
      </c>
      <c r="E2574" s="20">
        <v>2</v>
      </c>
      <c r="F2574" s="17" t="s">
        <v>314</v>
      </c>
      <c r="G2574" s="17" t="s">
        <v>342</v>
      </c>
      <c r="H2574" s="17" t="s">
        <v>343</v>
      </c>
      <c r="I2574" s="17" t="s">
        <v>344</v>
      </c>
      <c r="J2574" s="27" t="s">
        <v>104</v>
      </c>
      <c r="K2574" s="29">
        <v>171360</v>
      </c>
      <c r="L2574" s="31">
        <v>1268545.6000025761</v>
      </c>
      <c r="M2574" s="31">
        <v>552460.81999920006</v>
      </c>
      <c r="N2574" s="31">
        <v>440184.01000134402</v>
      </c>
      <c r="O2574" s="34">
        <f t="shared" si="336"/>
        <v>0.43550726122740729</v>
      </c>
      <c r="P2574" s="34">
        <f t="shared" si="337"/>
        <v>0.79676964241913373</v>
      </c>
      <c r="Q2574" s="34">
        <f t="shared" si="338"/>
        <v>0.56449273877259265</v>
      </c>
      <c r="R2574" s="46">
        <f t="shared" si="339"/>
        <v>2.5687675653673203</v>
      </c>
    </row>
    <row r="2575" spans="2:18" ht="12.75" customHeight="1" x14ac:dyDescent="0.25">
      <c r="B2575" s="17" t="s">
        <v>0</v>
      </c>
      <c r="C2575" s="44" t="s">
        <v>157</v>
      </c>
      <c r="D2575" s="22" t="s">
        <v>9</v>
      </c>
      <c r="E2575" s="20">
        <v>2</v>
      </c>
      <c r="F2575" s="17" t="s">
        <v>314</v>
      </c>
      <c r="G2575" s="17" t="s">
        <v>342</v>
      </c>
      <c r="H2575" s="17" t="s">
        <v>343</v>
      </c>
      <c r="I2575" s="17" t="s">
        <v>344</v>
      </c>
      <c r="J2575" s="27" t="s">
        <v>158</v>
      </c>
      <c r="K2575" s="29">
        <v>7467</v>
      </c>
      <c r="L2575" s="31">
        <v>1605114.4221769678</v>
      </c>
      <c r="M2575" s="31">
        <v>561812.79015192052</v>
      </c>
      <c r="N2575" s="31">
        <v>430795.15099220909</v>
      </c>
      <c r="O2575" s="34">
        <f t="shared" si="336"/>
        <v>0.35001416870328217</v>
      </c>
      <c r="P2575" s="34">
        <f t="shared" si="337"/>
        <v>0.7667948443746132</v>
      </c>
      <c r="Q2575" s="34">
        <f t="shared" si="338"/>
        <v>0.64998583129671783</v>
      </c>
      <c r="R2575" s="46">
        <f t="shared" si="339"/>
        <v>57.693203561297587</v>
      </c>
    </row>
    <row r="2576" spans="2:18" ht="12.75" customHeight="1" x14ac:dyDescent="0.25">
      <c r="B2576" s="17" t="s">
        <v>0</v>
      </c>
      <c r="C2576" s="44" t="s">
        <v>36</v>
      </c>
      <c r="D2576" s="22" t="s">
        <v>9</v>
      </c>
      <c r="E2576" s="20">
        <v>2</v>
      </c>
      <c r="F2576" s="17" t="s">
        <v>314</v>
      </c>
      <c r="G2576" s="17" t="s">
        <v>342</v>
      </c>
      <c r="H2576" s="17" t="s">
        <v>343</v>
      </c>
      <c r="I2576" s="17" t="s">
        <v>344</v>
      </c>
      <c r="J2576" s="27" t="s">
        <v>37</v>
      </c>
      <c r="K2576" s="29">
        <v>2416</v>
      </c>
      <c r="L2576" s="31">
        <v>1594002.0000001201</v>
      </c>
      <c r="M2576" s="31">
        <v>374580.55000443</v>
      </c>
      <c r="N2576" s="31">
        <v>298107.249998821</v>
      </c>
      <c r="O2576" s="34">
        <f t="shared" si="336"/>
        <v>0.23499377667305421</v>
      </c>
      <c r="P2576" s="34">
        <f t="shared" si="337"/>
        <v>0.79584284340256162</v>
      </c>
      <c r="Q2576" s="34">
        <f t="shared" si="338"/>
        <v>0.76500622332694579</v>
      </c>
      <c r="R2576" s="46">
        <f t="shared" si="339"/>
        <v>123.38876241673054</v>
      </c>
    </row>
    <row r="2577" spans="2:18" ht="12.75" customHeight="1" x14ac:dyDescent="0.25">
      <c r="B2577" s="17" t="s">
        <v>0</v>
      </c>
      <c r="C2577" s="44" t="s">
        <v>40</v>
      </c>
      <c r="D2577" s="22" t="s">
        <v>9</v>
      </c>
      <c r="E2577" s="20">
        <v>2</v>
      </c>
      <c r="F2577" s="17" t="s">
        <v>314</v>
      </c>
      <c r="G2577" s="17" t="s">
        <v>342</v>
      </c>
      <c r="H2577" s="17" t="s">
        <v>343</v>
      </c>
      <c r="I2577" s="17" t="s">
        <v>344</v>
      </c>
      <c r="J2577" s="27" t="s">
        <v>41</v>
      </c>
      <c r="K2577" s="29">
        <v>2205</v>
      </c>
      <c r="L2577" s="31">
        <v>1016505</v>
      </c>
      <c r="M2577" s="31">
        <v>359276.09999840998</v>
      </c>
      <c r="N2577" s="31">
        <v>285679.98000120599</v>
      </c>
      <c r="O2577" s="34">
        <f t="shared" si="336"/>
        <v>0.35344253102386114</v>
      </c>
      <c r="P2577" s="34">
        <f t="shared" si="337"/>
        <v>0.79515442302582973</v>
      </c>
      <c r="Q2577" s="34">
        <f t="shared" si="338"/>
        <v>0.64655746897613886</v>
      </c>
      <c r="R2577" s="46">
        <f t="shared" si="339"/>
        <v>129.56008163319999</v>
      </c>
    </row>
    <row r="2578" spans="2:18" ht="12.75" customHeight="1" x14ac:dyDescent="0.25">
      <c r="B2578" s="17" t="s">
        <v>0</v>
      </c>
      <c r="C2578" s="44" t="s">
        <v>54</v>
      </c>
      <c r="D2578" s="22" t="s">
        <v>2</v>
      </c>
      <c r="E2578" s="20">
        <v>1</v>
      </c>
      <c r="F2578" s="17" t="s">
        <v>314</v>
      </c>
      <c r="G2578" s="17" t="s">
        <v>342</v>
      </c>
      <c r="H2578" s="17" t="s">
        <v>343</v>
      </c>
      <c r="I2578" s="17" t="s">
        <v>344</v>
      </c>
      <c r="J2578" s="27" t="s">
        <v>55</v>
      </c>
      <c r="K2578" s="29">
        <v>5920</v>
      </c>
      <c r="L2578" s="31">
        <v>831840.920002172</v>
      </c>
      <c r="M2578" s="31">
        <v>284573.23000318004</v>
      </c>
      <c r="N2578" s="31">
        <v>224669.0000001296</v>
      </c>
      <c r="O2578" s="34">
        <f t="shared" si="336"/>
        <v>0.34210054249607846</v>
      </c>
      <c r="P2578" s="34">
        <f t="shared" si="337"/>
        <v>0.78949450022976153</v>
      </c>
      <c r="Q2578" s="34">
        <f t="shared" si="338"/>
        <v>0.65789945750392154</v>
      </c>
      <c r="R2578" s="46">
        <f t="shared" si="339"/>
        <v>37.950844594616484</v>
      </c>
    </row>
    <row r="2579" spans="2:18" ht="12.75" customHeight="1" x14ac:dyDescent="0.25">
      <c r="B2579" s="17" t="s">
        <v>0</v>
      </c>
      <c r="C2579" s="44" t="s">
        <v>44</v>
      </c>
      <c r="D2579" s="22" t="s">
        <v>9</v>
      </c>
      <c r="E2579" s="20">
        <v>2</v>
      </c>
      <c r="F2579" s="17" t="s">
        <v>314</v>
      </c>
      <c r="G2579" s="17" t="s">
        <v>342</v>
      </c>
      <c r="H2579" s="17" t="s">
        <v>343</v>
      </c>
      <c r="I2579" s="17" t="s">
        <v>344</v>
      </c>
      <c r="J2579" s="27" t="s">
        <v>45</v>
      </c>
      <c r="K2579" s="29">
        <v>16386</v>
      </c>
      <c r="L2579" s="31">
        <v>715155.47000154213</v>
      </c>
      <c r="M2579" s="31">
        <v>274658.35000050481</v>
      </c>
      <c r="N2579" s="31">
        <v>210242.12000334761</v>
      </c>
      <c r="O2579" s="34">
        <f t="shared" si="336"/>
        <v>0.38405404352135147</v>
      </c>
      <c r="P2579" s="34">
        <f t="shared" si="337"/>
        <v>0.76546778935707283</v>
      </c>
      <c r="Q2579" s="34">
        <f t="shared" si="338"/>
        <v>0.61594595647864847</v>
      </c>
      <c r="R2579" s="46">
        <f t="shared" si="339"/>
        <v>12.830594410066373</v>
      </c>
    </row>
    <row r="2580" spans="2:18" ht="12.75" customHeight="1" x14ac:dyDescent="0.25">
      <c r="B2580" s="17" t="s">
        <v>0</v>
      </c>
      <c r="C2580" s="44" t="s">
        <v>66</v>
      </c>
      <c r="D2580" s="22" t="s">
        <v>9</v>
      </c>
      <c r="E2580" s="20">
        <v>2</v>
      </c>
      <c r="F2580" s="17" t="s">
        <v>314</v>
      </c>
      <c r="G2580" s="17" t="s">
        <v>342</v>
      </c>
      <c r="H2580" s="17" t="s">
        <v>343</v>
      </c>
      <c r="I2580" s="17" t="s">
        <v>344</v>
      </c>
      <c r="J2580" s="27" t="s">
        <v>67</v>
      </c>
      <c r="K2580" s="29">
        <v>68578</v>
      </c>
      <c r="L2580" s="31">
        <v>882932.07999954757</v>
      </c>
      <c r="M2580" s="31">
        <v>264873.84000121558</v>
      </c>
      <c r="N2580" s="31">
        <v>209842.8899989686</v>
      </c>
      <c r="O2580" s="34">
        <f t="shared" si="336"/>
        <v>0.29999344910126191</v>
      </c>
      <c r="P2580" s="34">
        <f t="shared" si="337"/>
        <v>0.79223712692052028</v>
      </c>
      <c r="Q2580" s="34">
        <f t="shared" si="338"/>
        <v>0.70000655089873809</v>
      </c>
      <c r="R2580" s="46">
        <f t="shared" si="339"/>
        <v>3.0599155705761119</v>
      </c>
    </row>
    <row r="2581" spans="2:18" ht="12.75" customHeight="1" x14ac:dyDescent="0.25">
      <c r="B2581" s="17" t="s">
        <v>0</v>
      </c>
      <c r="C2581" s="44" t="s">
        <v>30</v>
      </c>
      <c r="D2581" s="22" t="s">
        <v>2</v>
      </c>
      <c r="E2581" s="20">
        <v>1</v>
      </c>
      <c r="F2581" s="17" t="s">
        <v>314</v>
      </c>
      <c r="G2581" s="17" t="s">
        <v>342</v>
      </c>
      <c r="H2581" s="17" t="s">
        <v>343</v>
      </c>
      <c r="I2581" s="17" t="s">
        <v>344</v>
      </c>
      <c r="J2581" s="27" t="s">
        <v>31</v>
      </c>
      <c r="K2581" s="29">
        <v>3250</v>
      </c>
      <c r="L2581" s="31">
        <v>913655.5</v>
      </c>
      <c r="M2581" s="31">
        <v>255878.40000132396</v>
      </c>
      <c r="N2581" s="31">
        <v>202066.7700001167</v>
      </c>
      <c r="O2581" s="34">
        <f t="shared" si="336"/>
        <v>0.28006004451494459</v>
      </c>
      <c r="P2581" s="34">
        <f t="shared" si="337"/>
        <v>0.7896984270617261</v>
      </c>
      <c r="Q2581" s="34">
        <f t="shared" si="338"/>
        <v>0.71993995548505541</v>
      </c>
      <c r="R2581" s="46">
        <f t="shared" si="339"/>
        <v>62.174390769266672</v>
      </c>
    </row>
    <row r="2582" spans="2:18" ht="12.75" customHeight="1" x14ac:dyDescent="0.25">
      <c r="B2582" s="17" t="s">
        <v>0</v>
      </c>
      <c r="C2582" s="44" t="s">
        <v>96</v>
      </c>
      <c r="D2582" s="22" t="s">
        <v>9</v>
      </c>
      <c r="E2582" s="20">
        <v>2</v>
      </c>
      <c r="F2582" s="17" t="s">
        <v>314</v>
      </c>
      <c r="G2582" s="17" t="s">
        <v>342</v>
      </c>
      <c r="H2582" s="17" t="s">
        <v>343</v>
      </c>
      <c r="I2582" s="17" t="s">
        <v>344</v>
      </c>
      <c r="J2582" s="27" t="s">
        <v>97</v>
      </c>
      <c r="K2582" s="29">
        <v>17848</v>
      </c>
      <c r="L2582" s="31">
        <v>330940.000001262</v>
      </c>
      <c r="M2582" s="31">
        <v>222910.15000243761</v>
      </c>
      <c r="N2582" s="31">
        <v>166166.15999812205</v>
      </c>
      <c r="O2582" s="34">
        <f t="shared" si="336"/>
        <v>0.67356665861360843</v>
      </c>
      <c r="P2582" s="34">
        <f t="shared" si="337"/>
        <v>0.74544007976444748</v>
      </c>
      <c r="Q2582" s="34">
        <f t="shared" si="338"/>
        <v>0.32643334138639157</v>
      </c>
      <c r="R2582" s="46">
        <f t="shared" si="339"/>
        <v>9.3100717166137414</v>
      </c>
    </row>
    <row r="2583" spans="2:18" ht="12.75" customHeight="1" x14ac:dyDescent="0.25">
      <c r="B2583" s="17" t="s">
        <v>0</v>
      </c>
      <c r="C2583" s="44" t="s">
        <v>127</v>
      </c>
      <c r="D2583" s="22" t="s">
        <v>2</v>
      </c>
      <c r="E2583" s="20">
        <v>1</v>
      </c>
      <c r="F2583" s="17" t="s">
        <v>314</v>
      </c>
      <c r="G2583" s="17" t="s">
        <v>342</v>
      </c>
      <c r="H2583" s="17" t="s">
        <v>343</v>
      </c>
      <c r="I2583" s="17" t="s">
        <v>344</v>
      </c>
      <c r="J2583" s="27" t="s">
        <v>128</v>
      </c>
      <c r="K2583" s="29">
        <v>1687</v>
      </c>
      <c r="L2583" s="31">
        <v>680181.99999974004</v>
      </c>
      <c r="M2583" s="31">
        <v>173072.45000136597</v>
      </c>
      <c r="N2583" s="31">
        <v>134457.450000068</v>
      </c>
      <c r="O2583" s="34">
        <f t="shared" si="336"/>
        <v>0.25445020597638884</v>
      </c>
      <c r="P2583" s="34">
        <f t="shared" si="337"/>
        <v>0.77688534483106231</v>
      </c>
      <c r="Q2583" s="34">
        <f t="shared" si="338"/>
        <v>0.7455497940236111</v>
      </c>
      <c r="R2583" s="46">
        <f t="shared" si="339"/>
        <v>79.702104327248364</v>
      </c>
    </row>
    <row r="2584" spans="2:18" ht="12.75" customHeight="1" x14ac:dyDescent="0.25">
      <c r="B2584" s="17" t="s">
        <v>0</v>
      </c>
      <c r="C2584" s="44" t="s">
        <v>46</v>
      </c>
      <c r="D2584" s="22" t="s">
        <v>2</v>
      </c>
      <c r="E2584" s="20">
        <v>1</v>
      </c>
      <c r="F2584" s="17" t="s">
        <v>314</v>
      </c>
      <c r="G2584" s="17" t="s">
        <v>342</v>
      </c>
      <c r="H2584" s="17" t="s">
        <v>343</v>
      </c>
      <c r="I2584" s="17" t="s">
        <v>344</v>
      </c>
      <c r="J2584" s="27" t="s">
        <v>47</v>
      </c>
      <c r="K2584" s="29">
        <v>2378</v>
      </c>
      <c r="L2584" s="31">
        <v>623403.00000076997</v>
      </c>
      <c r="M2584" s="31">
        <v>158776.9700002</v>
      </c>
      <c r="N2584" s="31">
        <v>125822.73999997629</v>
      </c>
      <c r="O2584" s="34">
        <f t="shared" si="336"/>
        <v>0.25469394597075068</v>
      </c>
      <c r="P2584" s="34">
        <f t="shared" si="337"/>
        <v>0.79244955990669042</v>
      </c>
      <c r="Q2584" s="34">
        <f t="shared" si="338"/>
        <v>0.74530605402924932</v>
      </c>
      <c r="R2584" s="46">
        <f t="shared" si="339"/>
        <v>52.911160639182626</v>
      </c>
    </row>
    <row r="2585" spans="2:18" ht="12.75" customHeight="1" x14ac:dyDescent="0.25">
      <c r="B2585" s="17" t="s">
        <v>0</v>
      </c>
      <c r="C2585" s="44" t="s">
        <v>28</v>
      </c>
      <c r="D2585" s="22" t="s">
        <v>2</v>
      </c>
      <c r="E2585" s="20">
        <v>1</v>
      </c>
      <c r="F2585" s="17" t="s">
        <v>314</v>
      </c>
      <c r="G2585" s="17" t="s">
        <v>342</v>
      </c>
      <c r="H2585" s="17" t="s">
        <v>343</v>
      </c>
      <c r="I2585" s="17" t="s">
        <v>344</v>
      </c>
      <c r="J2585" s="27" t="s">
        <v>29</v>
      </c>
      <c r="K2585" s="29">
        <v>1451</v>
      </c>
      <c r="L2585" s="31">
        <v>466253.95999847999</v>
      </c>
      <c r="M2585" s="31">
        <v>153813.21999918998</v>
      </c>
      <c r="N2585" s="31">
        <v>122794.889999832</v>
      </c>
      <c r="O2585" s="34">
        <f t="shared" si="336"/>
        <v>0.32989150376265208</v>
      </c>
      <c r="P2585" s="34">
        <f t="shared" si="337"/>
        <v>0.79833768515137171</v>
      </c>
      <c r="Q2585" s="34">
        <f t="shared" si="338"/>
        <v>0.67010849623734792</v>
      </c>
      <c r="R2585" s="46">
        <f t="shared" si="339"/>
        <v>84.627767057086146</v>
      </c>
    </row>
    <row r="2586" spans="2:18" ht="12.75" customHeight="1" x14ac:dyDescent="0.25">
      <c r="B2586" s="17" t="s">
        <v>0</v>
      </c>
      <c r="C2586" s="44" t="s">
        <v>36</v>
      </c>
      <c r="D2586" s="22" t="s">
        <v>2</v>
      </c>
      <c r="E2586" s="20">
        <v>1</v>
      </c>
      <c r="F2586" s="17" t="s">
        <v>314</v>
      </c>
      <c r="G2586" s="17" t="s">
        <v>342</v>
      </c>
      <c r="H2586" s="17" t="s">
        <v>343</v>
      </c>
      <c r="I2586" s="17" t="s">
        <v>344</v>
      </c>
      <c r="J2586" s="27" t="s">
        <v>37</v>
      </c>
      <c r="K2586" s="29">
        <v>1770</v>
      </c>
      <c r="L2586" s="31">
        <v>483479.96000224998</v>
      </c>
      <c r="M2586" s="31">
        <v>151284.750001318</v>
      </c>
      <c r="N2586" s="31">
        <v>120202.38000025098</v>
      </c>
      <c r="O2586" s="34">
        <f t="shared" si="336"/>
        <v>0.31290800553680437</v>
      </c>
      <c r="P2586" s="34">
        <f t="shared" si="337"/>
        <v>0.79454393122376032</v>
      </c>
      <c r="Q2586" s="34">
        <f t="shared" si="338"/>
        <v>0.68709199446319569</v>
      </c>
      <c r="R2586" s="46">
        <f t="shared" si="339"/>
        <v>67.910949152684168</v>
      </c>
    </row>
    <row r="2587" spans="2:18" ht="12.75" customHeight="1" x14ac:dyDescent="0.25">
      <c r="B2587" s="17" t="s">
        <v>0</v>
      </c>
      <c r="C2587" s="44" t="s">
        <v>7</v>
      </c>
      <c r="D2587" s="22" t="s">
        <v>9</v>
      </c>
      <c r="E2587" s="20">
        <v>2</v>
      </c>
      <c r="F2587" s="17" t="s">
        <v>314</v>
      </c>
      <c r="G2587" s="17" t="s">
        <v>342</v>
      </c>
      <c r="H2587" s="17" t="s">
        <v>343</v>
      </c>
      <c r="I2587" s="17" t="s">
        <v>344</v>
      </c>
      <c r="J2587" s="27" t="s">
        <v>8</v>
      </c>
      <c r="K2587" s="29">
        <v>45192</v>
      </c>
      <c r="L2587" s="31">
        <v>1793751.9999970319</v>
      </c>
      <c r="M2587" s="31">
        <v>149668.54999873359</v>
      </c>
      <c r="N2587" s="31">
        <v>119041.54999811218</v>
      </c>
      <c r="O2587" s="34">
        <f t="shared" si="336"/>
        <v>8.3438819858587615E-2</v>
      </c>
      <c r="P2587" s="34">
        <f t="shared" si="337"/>
        <v>0.79536783111160925</v>
      </c>
      <c r="Q2587" s="34">
        <f t="shared" si="338"/>
        <v>0.91656118014141241</v>
      </c>
      <c r="R2587" s="46">
        <f t="shared" si="339"/>
        <v>2.6341288280693971</v>
      </c>
    </row>
    <row r="2588" spans="2:18" ht="12.75" customHeight="1" x14ac:dyDescent="0.25">
      <c r="B2588" s="17" t="s">
        <v>0</v>
      </c>
      <c r="C2588" s="44" t="s">
        <v>184</v>
      </c>
      <c r="D2588" s="22" t="s">
        <v>2</v>
      </c>
      <c r="E2588" s="20">
        <v>1</v>
      </c>
      <c r="F2588" s="17" t="s">
        <v>314</v>
      </c>
      <c r="G2588" s="17" t="s">
        <v>342</v>
      </c>
      <c r="H2588" s="17" t="s">
        <v>343</v>
      </c>
      <c r="I2588" s="17" t="s">
        <v>344</v>
      </c>
      <c r="J2588" s="27" t="s">
        <v>185</v>
      </c>
      <c r="K2588" s="29">
        <v>717</v>
      </c>
      <c r="L2588" s="31">
        <v>189152.68</v>
      </c>
      <c r="M2588" s="31">
        <v>73466.489997992001</v>
      </c>
      <c r="N2588" s="31">
        <v>58116.040000164001</v>
      </c>
      <c r="O2588" s="34">
        <f t="shared" si="336"/>
        <v>0.38839782760673547</v>
      </c>
      <c r="P2588" s="34">
        <f t="shared" si="337"/>
        <v>0.79105507833234501</v>
      </c>
      <c r="Q2588" s="34">
        <f t="shared" si="338"/>
        <v>0.61160217239326453</v>
      </c>
      <c r="R2588" s="46">
        <f t="shared" si="339"/>
        <v>81.054449093673639</v>
      </c>
    </row>
    <row r="2589" spans="2:18" ht="12.75" customHeight="1" x14ac:dyDescent="0.25">
      <c r="B2589" s="17" t="s">
        <v>0</v>
      </c>
      <c r="C2589" s="44" t="s">
        <v>141</v>
      </c>
      <c r="D2589" s="22" t="s">
        <v>9</v>
      </c>
      <c r="E2589" s="20">
        <v>2</v>
      </c>
      <c r="F2589" s="17" t="s">
        <v>314</v>
      </c>
      <c r="G2589" s="17" t="s">
        <v>342</v>
      </c>
      <c r="H2589" s="17" t="s">
        <v>343</v>
      </c>
      <c r="I2589" s="17" t="s">
        <v>344</v>
      </c>
      <c r="J2589" s="27" t="s">
        <v>142</v>
      </c>
      <c r="K2589" s="29">
        <v>1486</v>
      </c>
      <c r="L2589" s="31">
        <v>136302.34000007302</v>
      </c>
      <c r="M2589" s="31">
        <v>60069.969999871006</v>
      </c>
      <c r="N2589" s="31">
        <v>45714.09000001401</v>
      </c>
      <c r="O2589" s="34">
        <f t="shared" si="336"/>
        <v>0.44071121596180102</v>
      </c>
      <c r="P2589" s="34">
        <f t="shared" si="337"/>
        <v>0.76101403080627772</v>
      </c>
      <c r="Q2589" s="34">
        <f t="shared" si="338"/>
        <v>0.55928878403819904</v>
      </c>
      <c r="R2589" s="46">
        <f t="shared" si="339"/>
        <v>30.763183041732173</v>
      </c>
    </row>
    <row r="2590" spans="2:18" ht="12.75" customHeight="1" x14ac:dyDescent="0.25">
      <c r="B2590" s="17" t="s">
        <v>0</v>
      </c>
      <c r="C2590" s="44" t="s">
        <v>40</v>
      </c>
      <c r="D2590" s="22" t="s">
        <v>2</v>
      </c>
      <c r="E2590" s="20">
        <v>1</v>
      </c>
      <c r="F2590" s="17" t="s">
        <v>314</v>
      </c>
      <c r="G2590" s="17" t="s">
        <v>342</v>
      </c>
      <c r="H2590" s="17" t="s">
        <v>343</v>
      </c>
      <c r="I2590" s="17" t="s">
        <v>344</v>
      </c>
      <c r="J2590" s="27" t="s">
        <v>41</v>
      </c>
      <c r="K2590" s="29">
        <v>583</v>
      </c>
      <c r="L2590" s="31">
        <v>171155.99999914999</v>
      </c>
      <c r="M2590" s="31">
        <v>56341.230000280993</v>
      </c>
      <c r="N2590" s="31">
        <v>44418.669999970996</v>
      </c>
      <c r="O2590" s="34">
        <f t="shared" si="336"/>
        <v>0.32918057211293089</v>
      </c>
      <c r="P2590" s="34">
        <f t="shared" si="337"/>
        <v>0.78838658651487492</v>
      </c>
      <c r="Q2590" s="34">
        <f t="shared" si="338"/>
        <v>0.67081942788706916</v>
      </c>
      <c r="R2590" s="46">
        <f t="shared" si="339"/>
        <v>76.189828473363633</v>
      </c>
    </row>
    <row r="2591" spans="2:18" ht="12.75" customHeight="1" x14ac:dyDescent="0.25">
      <c r="B2591" s="17" t="s">
        <v>0</v>
      </c>
      <c r="C2591" s="44" t="s">
        <v>14</v>
      </c>
      <c r="D2591" s="22" t="s">
        <v>2</v>
      </c>
      <c r="E2591" s="20">
        <v>1</v>
      </c>
      <c r="F2591" s="17" t="s">
        <v>314</v>
      </c>
      <c r="G2591" s="17" t="s">
        <v>342</v>
      </c>
      <c r="H2591" s="17" t="s">
        <v>343</v>
      </c>
      <c r="I2591" s="17" t="s">
        <v>344</v>
      </c>
      <c r="J2591" s="27" t="s">
        <v>15</v>
      </c>
      <c r="K2591" s="29">
        <v>4015</v>
      </c>
      <c r="L2591" s="31">
        <v>306364.690000284</v>
      </c>
      <c r="M2591" s="31">
        <v>52885.049999739</v>
      </c>
      <c r="N2591" s="31">
        <v>40807.999999169202</v>
      </c>
      <c r="O2591" s="34">
        <f t="shared" ref="O2591:O2622" si="340">IFERROR(M2591/L2591,0)</f>
        <v>0.17262123125119275</v>
      </c>
      <c r="P2591" s="34">
        <f t="shared" ref="P2591:P2622" si="341">IFERROR(N2591/M2591,0)</f>
        <v>0.77163584036264687</v>
      </c>
      <c r="Q2591" s="34">
        <f t="shared" ref="Q2591:Q2622" si="342">IFERROR(1-(M2591/L2591),0)</f>
        <v>0.82737876874880723</v>
      </c>
      <c r="R2591" s="46">
        <f t="shared" ref="R2591:R2622" si="343">IFERROR(N2591/K2591,0)</f>
        <v>10.163885429431931</v>
      </c>
    </row>
    <row r="2592" spans="2:18" ht="12.75" customHeight="1" x14ac:dyDescent="0.25">
      <c r="B2592" s="17" t="s">
        <v>0</v>
      </c>
      <c r="C2592" s="44" t="s">
        <v>74</v>
      </c>
      <c r="D2592" s="22" t="s">
        <v>9</v>
      </c>
      <c r="E2592" s="20">
        <v>2</v>
      </c>
      <c r="F2592" s="17" t="s">
        <v>314</v>
      </c>
      <c r="G2592" s="17" t="s">
        <v>342</v>
      </c>
      <c r="H2592" s="17" t="s">
        <v>343</v>
      </c>
      <c r="I2592" s="17" t="s">
        <v>344</v>
      </c>
      <c r="J2592" s="27" t="s">
        <v>75</v>
      </c>
      <c r="K2592" s="29">
        <v>529</v>
      </c>
      <c r="L2592" s="31">
        <v>239352.72</v>
      </c>
      <c r="M2592" s="31">
        <v>51666.820000478001</v>
      </c>
      <c r="N2592" s="31">
        <v>40400.570000031796</v>
      </c>
      <c r="O2592" s="34">
        <f t="shared" si="340"/>
        <v>0.21586059268713553</v>
      </c>
      <c r="P2592" s="34">
        <f t="shared" si="341"/>
        <v>0.78194419551383321</v>
      </c>
      <c r="Q2592" s="34">
        <f t="shared" si="342"/>
        <v>0.78413940731286447</v>
      </c>
      <c r="R2592" s="46">
        <f t="shared" si="343"/>
        <v>76.37158790176143</v>
      </c>
    </row>
    <row r="2593" spans="2:18" ht="12.75" customHeight="1" x14ac:dyDescent="0.25">
      <c r="B2593" s="17" t="s">
        <v>0</v>
      </c>
      <c r="C2593" s="44" t="s">
        <v>50</v>
      </c>
      <c r="D2593" s="22" t="s">
        <v>2</v>
      </c>
      <c r="E2593" s="20">
        <v>1</v>
      </c>
      <c r="F2593" s="17" t="s">
        <v>314</v>
      </c>
      <c r="G2593" s="17" t="s">
        <v>342</v>
      </c>
      <c r="H2593" s="17" t="s">
        <v>343</v>
      </c>
      <c r="I2593" s="17" t="s">
        <v>344</v>
      </c>
      <c r="J2593" s="27" t="s">
        <v>51</v>
      </c>
      <c r="K2593" s="29">
        <v>623</v>
      </c>
      <c r="L2593" s="31">
        <v>141118.00000162999</v>
      </c>
      <c r="M2593" s="31">
        <v>49778.179999835003</v>
      </c>
      <c r="N2593" s="31">
        <v>39143.690000199</v>
      </c>
      <c r="O2593" s="34">
        <f t="shared" si="340"/>
        <v>0.35274153544735637</v>
      </c>
      <c r="P2593" s="34">
        <f t="shared" si="341"/>
        <v>0.78636241823884978</v>
      </c>
      <c r="Q2593" s="34">
        <f t="shared" si="342"/>
        <v>0.64725846455264358</v>
      </c>
      <c r="R2593" s="46">
        <f t="shared" si="343"/>
        <v>62.830963082181377</v>
      </c>
    </row>
    <row r="2594" spans="2:18" ht="12.75" customHeight="1" x14ac:dyDescent="0.25">
      <c r="B2594" s="17" t="s">
        <v>0</v>
      </c>
      <c r="C2594" s="44" t="s">
        <v>114</v>
      </c>
      <c r="D2594" s="22" t="s">
        <v>9</v>
      </c>
      <c r="E2594" s="20">
        <v>2</v>
      </c>
      <c r="F2594" s="17" t="s">
        <v>314</v>
      </c>
      <c r="G2594" s="17" t="s">
        <v>342</v>
      </c>
      <c r="H2594" s="17" t="s">
        <v>343</v>
      </c>
      <c r="I2594" s="17" t="s">
        <v>344</v>
      </c>
      <c r="J2594" s="27" t="s">
        <v>118</v>
      </c>
      <c r="K2594" s="29">
        <v>1278</v>
      </c>
      <c r="L2594" s="31">
        <v>413150</v>
      </c>
      <c r="M2594" s="31">
        <v>49589.170000006001</v>
      </c>
      <c r="N2594" s="31">
        <v>39043.979999853997</v>
      </c>
      <c r="O2594" s="34">
        <f t="shared" si="340"/>
        <v>0.12002703618541934</v>
      </c>
      <c r="P2594" s="34">
        <f t="shared" si="341"/>
        <v>0.78734893122529115</v>
      </c>
      <c r="Q2594" s="34">
        <f t="shared" si="342"/>
        <v>0.87997296381458068</v>
      </c>
      <c r="R2594" s="46">
        <f t="shared" si="343"/>
        <v>30.550845070308291</v>
      </c>
    </row>
    <row r="2595" spans="2:18" ht="12.75" customHeight="1" x14ac:dyDescent="0.25">
      <c r="B2595" s="17" t="s">
        <v>0</v>
      </c>
      <c r="C2595" s="44" t="s">
        <v>58</v>
      </c>
      <c r="D2595" s="22" t="s">
        <v>2</v>
      </c>
      <c r="E2595" s="20">
        <v>1</v>
      </c>
      <c r="F2595" s="17" t="s">
        <v>314</v>
      </c>
      <c r="G2595" s="17" t="s">
        <v>342</v>
      </c>
      <c r="H2595" s="17" t="s">
        <v>343</v>
      </c>
      <c r="I2595" s="17" t="s">
        <v>344</v>
      </c>
      <c r="J2595" s="27" t="s">
        <v>59</v>
      </c>
      <c r="K2595" s="29">
        <v>483</v>
      </c>
      <c r="L2595" s="31">
        <v>352590</v>
      </c>
      <c r="M2595" s="31">
        <v>49413.90000034</v>
      </c>
      <c r="N2595" s="31">
        <v>38909.780000091996</v>
      </c>
      <c r="O2595" s="34">
        <f t="shared" si="340"/>
        <v>0.14014549476825774</v>
      </c>
      <c r="P2595" s="34">
        <f t="shared" si="341"/>
        <v>0.78742580528604844</v>
      </c>
      <c r="Q2595" s="34">
        <f t="shared" si="342"/>
        <v>0.85985450523174223</v>
      </c>
      <c r="R2595" s="46">
        <f t="shared" si="343"/>
        <v>80.558550724828152</v>
      </c>
    </row>
    <row r="2596" spans="2:18" ht="12.75" customHeight="1" x14ac:dyDescent="0.25">
      <c r="B2596" s="17" t="s">
        <v>0</v>
      </c>
      <c r="C2596" s="44" t="s">
        <v>38</v>
      </c>
      <c r="D2596" s="22" t="s">
        <v>9</v>
      </c>
      <c r="E2596" s="20">
        <v>2</v>
      </c>
      <c r="F2596" s="17" t="s">
        <v>314</v>
      </c>
      <c r="G2596" s="17" t="s">
        <v>342</v>
      </c>
      <c r="H2596" s="17" t="s">
        <v>343</v>
      </c>
      <c r="I2596" s="17" t="s">
        <v>344</v>
      </c>
      <c r="J2596" s="27" t="s">
        <v>39</v>
      </c>
      <c r="K2596" s="29">
        <v>885</v>
      </c>
      <c r="L2596" s="31">
        <v>83977.000000040003</v>
      </c>
      <c r="M2596" s="31">
        <v>47604.520000211603</v>
      </c>
      <c r="N2596" s="31">
        <v>35780.439999840601</v>
      </c>
      <c r="O2596" s="34">
        <f t="shared" si="340"/>
        <v>0.56687569215605371</v>
      </c>
      <c r="P2596" s="34">
        <f t="shared" si="341"/>
        <v>0.75161854377864867</v>
      </c>
      <c r="Q2596" s="34">
        <f t="shared" si="342"/>
        <v>0.43312430784394629</v>
      </c>
      <c r="R2596" s="46">
        <f t="shared" si="343"/>
        <v>40.429875706034579</v>
      </c>
    </row>
    <row r="2597" spans="2:18" ht="12.75" customHeight="1" x14ac:dyDescent="0.25">
      <c r="B2597" s="17" t="s">
        <v>0</v>
      </c>
      <c r="C2597" s="44" t="s">
        <v>20</v>
      </c>
      <c r="D2597" s="22" t="s">
        <v>9</v>
      </c>
      <c r="E2597" s="20">
        <v>2</v>
      </c>
      <c r="F2597" s="17" t="s">
        <v>314</v>
      </c>
      <c r="G2597" s="17" t="s">
        <v>342</v>
      </c>
      <c r="H2597" s="17" t="s">
        <v>343</v>
      </c>
      <c r="I2597" s="17" t="s">
        <v>344</v>
      </c>
      <c r="J2597" s="27" t="s">
        <v>21</v>
      </c>
      <c r="K2597" s="29">
        <v>697</v>
      </c>
      <c r="L2597" s="31">
        <v>114300.28000043401</v>
      </c>
      <c r="M2597" s="31">
        <v>44369.369999139191</v>
      </c>
      <c r="N2597" s="31">
        <v>32909.609999972003</v>
      </c>
      <c r="O2597" s="34">
        <f t="shared" si="340"/>
        <v>0.38818251362963169</v>
      </c>
      <c r="P2597" s="34">
        <f t="shared" si="341"/>
        <v>0.74171911840556859</v>
      </c>
      <c r="Q2597" s="34">
        <f t="shared" si="342"/>
        <v>0.61181748637036826</v>
      </c>
      <c r="R2597" s="46">
        <f t="shared" si="343"/>
        <v>47.216083213733143</v>
      </c>
    </row>
    <row r="2598" spans="2:18" ht="12.75" customHeight="1" x14ac:dyDescent="0.25">
      <c r="B2598" s="17" t="s">
        <v>0</v>
      </c>
      <c r="C2598" s="44" t="s">
        <v>155</v>
      </c>
      <c r="D2598" s="22" t="s">
        <v>9</v>
      </c>
      <c r="E2598" s="20">
        <v>2</v>
      </c>
      <c r="F2598" s="17" t="s">
        <v>314</v>
      </c>
      <c r="G2598" s="17" t="s">
        <v>342</v>
      </c>
      <c r="H2598" s="17" t="s">
        <v>343</v>
      </c>
      <c r="I2598" s="17" t="s">
        <v>344</v>
      </c>
      <c r="J2598" s="27" t="s">
        <v>156</v>
      </c>
      <c r="K2598" s="29">
        <v>592</v>
      </c>
      <c r="L2598" s="31">
        <v>77325.000000079002</v>
      </c>
      <c r="M2598" s="31">
        <v>36224.590000213</v>
      </c>
      <c r="N2598" s="31">
        <v>26276.290000192999</v>
      </c>
      <c r="O2598" s="34">
        <f t="shared" si="340"/>
        <v>0.46847190430230828</v>
      </c>
      <c r="P2598" s="34">
        <f t="shared" si="341"/>
        <v>0.72537163291671469</v>
      </c>
      <c r="Q2598" s="34">
        <f t="shared" si="342"/>
        <v>0.53152809569769177</v>
      </c>
      <c r="R2598" s="46">
        <f t="shared" si="343"/>
        <v>44.385625000326016</v>
      </c>
    </row>
    <row r="2599" spans="2:18" ht="12.75" customHeight="1" x14ac:dyDescent="0.25">
      <c r="B2599" s="17" t="s">
        <v>0</v>
      </c>
      <c r="C2599" s="44" t="s">
        <v>137</v>
      </c>
      <c r="D2599" s="22" t="s">
        <v>2</v>
      </c>
      <c r="E2599" s="20">
        <v>1</v>
      </c>
      <c r="F2599" s="17" t="s">
        <v>314</v>
      </c>
      <c r="G2599" s="17" t="s">
        <v>342</v>
      </c>
      <c r="H2599" s="17" t="s">
        <v>343</v>
      </c>
      <c r="I2599" s="17" t="s">
        <v>344</v>
      </c>
      <c r="J2599" s="27" t="s">
        <v>138</v>
      </c>
      <c r="K2599" s="29">
        <v>331</v>
      </c>
      <c r="L2599" s="31">
        <v>117174</v>
      </c>
      <c r="M2599" s="31">
        <v>33576.630000490004</v>
      </c>
      <c r="N2599" s="31">
        <v>26238.43999988</v>
      </c>
      <c r="O2599" s="34">
        <f t="shared" si="340"/>
        <v>0.28655358697740119</v>
      </c>
      <c r="P2599" s="34">
        <f t="shared" si="341"/>
        <v>0.78144947838711287</v>
      </c>
      <c r="Q2599" s="34">
        <f t="shared" si="342"/>
        <v>0.71344641302259881</v>
      </c>
      <c r="R2599" s="46">
        <f t="shared" si="343"/>
        <v>79.27021148</v>
      </c>
    </row>
    <row r="2600" spans="2:18" ht="12.75" customHeight="1" x14ac:dyDescent="0.25">
      <c r="B2600" s="17" t="s">
        <v>0</v>
      </c>
      <c r="C2600" s="44" t="s">
        <v>180</v>
      </c>
      <c r="D2600" s="22" t="s">
        <v>2</v>
      </c>
      <c r="E2600" s="20">
        <v>1</v>
      </c>
      <c r="F2600" s="17" t="s">
        <v>314</v>
      </c>
      <c r="G2600" s="17" t="s">
        <v>342</v>
      </c>
      <c r="H2600" s="17" t="s">
        <v>343</v>
      </c>
      <c r="I2600" s="17" t="s">
        <v>344</v>
      </c>
      <c r="J2600" s="27" t="s">
        <v>181</v>
      </c>
      <c r="K2600" s="29">
        <v>301</v>
      </c>
      <c r="L2600" s="31">
        <v>72056.000000319997</v>
      </c>
      <c r="M2600" s="31">
        <v>32281.620000979998</v>
      </c>
      <c r="N2600" s="31">
        <v>25721.149999881</v>
      </c>
      <c r="O2600" s="34">
        <f t="shared" si="340"/>
        <v>0.44800738315805261</v>
      </c>
      <c r="P2600" s="34">
        <f t="shared" si="341"/>
        <v>0.79677382978611866</v>
      </c>
      <c r="Q2600" s="34">
        <f t="shared" si="342"/>
        <v>0.55199261684194734</v>
      </c>
      <c r="R2600" s="46">
        <f t="shared" si="343"/>
        <v>85.452325580999997</v>
      </c>
    </row>
    <row r="2601" spans="2:18" ht="12.75" customHeight="1" x14ac:dyDescent="0.25">
      <c r="B2601" s="17" t="s">
        <v>0</v>
      </c>
      <c r="C2601" s="44" t="s">
        <v>42</v>
      </c>
      <c r="D2601" s="22" t="s">
        <v>9</v>
      </c>
      <c r="E2601" s="20">
        <v>2</v>
      </c>
      <c r="F2601" s="17" t="s">
        <v>314</v>
      </c>
      <c r="G2601" s="17" t="s">
        <v>342</v>
      </c>
      <c r="H2601" s="17" t="s">
        <v>343</v>
      </c>
      <c r="I2601" s="17" t="s">
        <v>344</v>
      </c>
      <c r="J2601" s="27" t="s">
        <v>43</v>
      </c>
      <c r="K2601" s="29">
        <v>148</v>
      </c>
      <c r="L2601" s="31">
        <v>54775</v>
      </c>
      <c r="M2601" s="31">
        <v>25249.009999549999</v>
      </c>
      <c r="N2601" s="31">
        <v>19951.379999919998</v>
      </c>
      <c r="O2601" s="34">
        <f t="shared" si="340"/>
        <v>0.46095864901049749</v>
      </c>
      <c r="P2601" s="34">
        <f t="shared" si="341"/>
        <v>0.79018464487421813</v>
      </c>
      <c r="Q2601" s="34">
        <f t="shared" si="342"/>
        <v>0.53904135098950245</v>
      </c>
      <c r="R2601" s="46">
        <f t="shared" si="343"/>
        <v>134.80662162108106</v>
      </c>
    </row>
    <row r="2602" spans="2:18" ht="12.75" customHeight="1" x14ac:dyDescent="0.25">
      <c r="B2602" s="17" t="s">
        <v>0</v>
      </c>
      <c r="C2602" s="44" t="s">
        <v>56</v>
      </c>
      <c r="D2602" s="22" t="s">
        <v>2</v>
      </c>
      <c r="E2602" s="20">
        <v>1</v>
      </c>
      <c r="F2602" s="17" t="s">
        <v>314</v>
      </c>
      <c r="G2602" s="17" t="s">
        <v>342</v>
      </c>
      <c r="H2602" s="17" t="s">
        <v>343</v>
      </c>
      <c r="I2602" s="17" t="s">
        <v>344</v>
      </c>
      <c r="J2602" s="27" t="s">
        <v>57</v>
      </c>
      <c r="K2602" s="29">
        <v>84</v>
      </c>
      <c r="L2602" s="31">
        <v>141310.59999998999</v>
      </c>
      <c r="M2602" s="31">
        <v>24415.789999923003</v>
      </c>
      <c r="N2602" s="31">
        <v>19201.330000072998</v>
      </c>
      <c r="O2602" s="34">
        <f t="shared" si="340"/>
        <v>0.1727810227960587</v>
      </c>
      <c r="P2602" s="34">
        <f t="shared" si="341"/>
        <v>0.78643083021821336</v>
      </c>
      <c r="Q2602" s="34">
        <f t="shared" si="342"/>
        <v>0.82721897720394133</v>
      </c>
      <c r="R2602" s="46">
        <f t="shared" si="343"/>
        <v>228.58726190563092</v>
      </c>
    </row>
    <row r="2603" spans="2:18" ht="12.75" customHeight="1" x14ac:dyDescent="0.25">
      <c r="B2603" s="17" t="s">
        <v>0</v>
      </c>
      <c r="C2603" s="44" t="s">
        <v>22</v>
      </c>
      <c r="D2603" s="22" t="s">
        <v>2</v>
      </c>
      <c r="E2603" s="20">
        <v>1</v>
      </c>
      <c r="F2603" s="17" t="s">
        <v>314</v>
      </c>
      <c r="G2603" s="17" t="s">
        <v>342</v>
      </c>
      <c r="H2603" s="17" t="s">
        <v>343</v>
      </c>
      <c r="I2603" s="17" t="s">
        <v>344</v>
      </c>
      <c r="J2603" s="27" t="s">
        <v>23</v>
      </c>
      <c r="K2603" s="29">
        <v>257</v>
      </c>
      <c r="L2603" s="31">
        <v>96851.920000008002</v>
      </c>
      <c r="M2603" s="31">
        <v>21181.539999835</v>
      </c>
      <c r="N2603" s="31">
        <v>16855.819999940999</v>
      </c>
      <c r="O2603" s="34">
        <f t="shared" si="340"/>
        <v>0.21870025911549559</v>
      </c>
      <c r="P2603" s="34">
        <f t="shared" si="341"/>
        <v>0.79577877718392065</v>
      </c>
      <c r="Q2603" s="34">
        <f t="shared" si="342"/>
        <v>0.78129974088450438</v>
      </c>
      <c r="R2603" s="46">
        <f t="shared" si="343"/>
        <v>65.586848248797665</v>
      </c>
    </row>
    <row r="2604" spans="2:18" ht="12.75" customHeight="1" x14ac:dyDescent="0.25">
      <c r="B2604" s="17" t="s">
        <v>0</v>
      </c>
      <c r="C2604" s="44" t="s">
        <v>18</v>
      </c>
      <c r="D2604" s="22" t="s">
        <v>9</v>
      </c>
      <c r="E2604" s="20">
        <v>2</v>
      </c>
      <c r="F2604" s="17" t="s">
        <v>314</v>
      </c>
      <c r="G2604" s="17" t="s">
        <v>342</v>
      </c>
      <c r="H2604" s="17" t="s">
        <v>343</v>
      </c>
      <c r="I2604" s="17" t="s">
        <v>344</v>
      </c>
      <c r="J2604" s="27" t="s">
        <v>19</v>
      </c>
      <c r="K2604" s="29">
        <v>474</v>
      </c>
      <c r="L2604" s="31">
        <v>74303.079999499998</v>
      </c>
      <c r="M2604" s="31">
        <v>22409.739999974998</v>
      </c>
      <c r="N2604" s="31">
        <v>16573.220000158199</v>
      </c>
      <c r="O2604" s="34">
        <f t="shared" si="340"/>
        <v>0.30159907234162836</v>
      </c>
      <c r="P2604" s="34">
        <f t="shared" si="341"/>
        <v>0.73955431879962419</v>
      </c>
      <c r="Q2604" s="34">
        <f t="shared" si="342"/>
        <v>0.69840092765837158</v>
      </c>
      <c r="R2604" s="46">
        <f t="shared" si="343"/>
        <v>34.964599156451897</v>
      </c>
    </row>
    <row r="2605" spans="2:18" ht="12.75" customHeight="1" x14ac:dyDescent="0.25">
      <c r="B2605" s="17" t="s">
        <v>0</v>
      </c>
      <c r="C2605" s="44" t="s">
        <v>176</v>
      </c>
      <c r="D2605" s="22" t="s">
        <v>2</v>
      </c>
      <c r="E2605" s="20">
        <v>1</v>
      </c>
      <c r="F2605" s="17" t="s">
        <v>314</v>
      </c>
      <c r="G2605" s="17" t="s">
        <v>342</v>
      </c>
      <c r="H2605" s="17" t="s">
        <v>343</v>
      </c>
      <c r="I2605" s="17" t="s">
        <v>344</v>
      </c>
      <c r="J2605" s="27" t="s">
        <v>177</v>
      </c>
      <c r="K2605" s="29">
        <v>435</v>
      </c>
      <c r="L2605" s="31">
        <v>149042.00000002002</v>
      </c>
      <c r="M2605" s="31">
        <v>19449.080000005997</v>
      </c>
      <c r="N2605" s="31">
        <v>15471.939999994998</v>
      </c>
      <c r="O2605" s="34">
        <f t="shared" si="340"/>
        <v>0.13049395472419442</v>
      </c>
      <c r="P2605" s="34">
        <f t="shared" si="341"/>
        <v>0.79551012181502812</v>
      </c>
      <c r="Q2605" s="34">
        <f t="shared" si="342"/>
        <v>0.86950604527580555</v>
      </c>
      <c r="R2605" s="46">
        <f t="shared" si="343"/>
        <v>35.567678160908045</v>
      </c>
    </row>
    <row r="2606" spans="2:18" ht="12.75" customHeight="1" x14ac:dyDescent="0.25">
      <c r="B2606" s="17" t="s">
        <v>0</v>
      </c>
      <c r="C2606" s="44" t="s">
        <v>68</v>
      </c>
      <c r="D2606" s="22" t="s">
        <v>9</v>
      </c>
      <c r="E2606" s="20">
        <v>2</v>
      </c>
      <c r="F2606" s="17" t="s">
        <v>314</v>
      </c>
      <c r="G2606" s="17" t="s">
        <v>342</v>
      </c>
      <c r="H2606" s="17" t="s">
        <v>343</v>
      </c>
      <c r="I2606" s="17" t="s">
        <v>344</v>
      </c>
      <c r="J2606" s="27" t="s">
        <v>69</v>
      </c>
      <c r="K2606" s="29">
        <v>523</v>
      </c>
      <c r="L2606" s="31">
        <v>101559.1</v>
      </c>
      <c r="M2606" s="31">
        <v>19700.400000043002</v>
      </c>
      <c r="N2606" s="31">
        <v>15156.299999972001</v>
      </c>
      <c r="O2606" s="34">
        <f t="shared" si="340"/>
        <v>0.19397966307345182</v>
      </c>
      <c r="P2606" s="34">
        <f t="shared" si="341"/>
        <v>0.76933970883529867</v>
      </c>
      <c r="Q2606" s="34">
        <f t="shared" si="342"/>
        <v>0.80602033692654818</v>
      </c>
      <c r="R2606" s="46">
        <f t="shared" si="343"/>
        <v>28.979541108933081</v>
      </c>
    </row>
    <row r="2607" spans="2:18" ht="12.75" customHeight="1" x14ac:dyDescent="0.25">
      <c r="B2607" s="17" t="s">
        <v>0</v>
      </c>
      <c r="C2607" s="44" t="s">
        <v>161</v>
      </c>
      <c r="D2607" s="22" t="s">
        <v>9</v>
      </c>
      <c r="E2607" s="20">
        <v>2</v>
      </c>
      <c r="F2607" s="17" t="s">
        <v>314</v>
      </c>
      <c r="G2607" s="17" t="s">
        <v>342</v>
      </c>
      <c r="H2607" s="17" t="s">
        <v>343</v>
      </c>
      <c r="I2607" s="17" t="s">
        <v>344</v>
      </c>
      <c r="J2607" s="27" t="s">
        <v>162</v>
      </c>
      <c r="K2607" s="29">
        <v>185</v>
      </c>
      <c r="L2607" s="31">
        <v>49440.640000391999</v>
      </c>
      <c r="M2607" s="31">
        <v>16250.189999840999</v>
      </c>
      <c r="N2607" s="31">
        <v>12507.749999963202</v>
      </c>
      <c r="O2607" s="34">
        <f t="shared" si="340"/>
        <v>0.32868081804184079</v>
      </c>
      <c r="P2607" s="34">
        <f t="shared" si="341"/>
        <v>0.76969869275901293</v>
      </c>
      <c r="Q2607" s="34">
        <f t="shared" si="342"/>
        <v>0.67131918195815921</v>
      </c>
      <c r="R2607" s="46">
        <f t="shared" si="343"/>
        <v>67.609459459260549</v>
      </c>
    </row>
    <row r="2608" spans="2:18" ht="12.75" customHeight="1" x14ac:dyDescent="0.25">
      <c r="B2608" s="17" t="s">
        <v>0</v>
      </c>
      <c r="C2608" s="44" t="s">
        <v>151</v>
      </c>
      <c r="D2608" s="22" t="s">
        <v>9</v>
      </c>
      <c r="E2608" s="20">
        <v>2</v>
      </c>
      <c r="F2608" s="17" t="s">
        <v>314</v>
      </c>
      <c r="G2608" s="17" t="s">
        <v>342</v>
      </c>
      <c r="H2608" s="17" t="s">
        <v>343</v>
      </c>
      <c r="I2608" s="17" t="s">
        <v>344</v>
      </c>
      <c r="J2608" s="27" t="s">
        <v>152</v>
      </c>
      <c r="K2608" s="29">
        <v>146</v>
      </c>
      <c r="L2608" s="31">
        <v>39420</v>
      </c>
      <c r="M2608" s="31">
        <v>15651.519999880002</v>
      </c>
      <c r="N2608" s="31">
        <v>12470.700000050001</v>
      </c>
      <c r="O2608" s="34">
        <f t="shared" si="340"/>
        <v>0.39704515474074076</v>
      </c>
      <c r="P2608" s="34">
        <f t="shared" si="341"/>
        <v>0.79677245405849484</v>
      </c>
      <c r="Q2608" s="34">
        <f t="shared" si="342"/>
        <v>0.60295484525925924</v>
      </c>
      <c r="R2608" s="46">
        <f t="shared" si="343"/>
        <v>85.415753425000005</v>
      </c>
    </row>
    <row r="2609" spans="2:18" ht="12.75" customHeight="1" x14ac:dyDescent="0.25">
      <c r="B2609" s="17" t="s">
        <v>0</v>
      </c>
      <c r="C2609" s="44" t="s">
        <v>74</v>
      </c>
      <c r="D2609" s="22" t="s">
        <v>2</v>
      </c>
      <c r="E2609" s="20">
        <v>1</v>
      </c>
      <c r="F2609" s="17" t="s">
        <v>314</v>
      </c>
      <c r="G2609" s="17" t="s">
        <v>342</v>
      </c>
      <c r="H2609" s="17" t="s">
        <v>343</v>
      </c>
      <c r="I2609" s="17" t="s">
        <v>344</v>
      </c>
      <c r="J2609" s="27" t="s">
        <v>75</v>
      </c>
      <c r="K2609" s="29">
        <v>103</v>
      </c>
      <c r="L2609" s="31">
        <v>22091</v>
      </c>
      <c r="M2609" s="31">
        <v>10299.640000018</v>
      </c>
      <c r="N2609" s="31">
        <v>8210.5899999779995</v>
      </c>
      <c r="O2609" s="34">
        <f t="shared" si="340"/>
        <v>0.46623692906695036</v>
      </c>
      <c r="P2609" s="34">
        <f t="shared" si="341"/>
        <v>0.79717252253123894</v>
      </c>
      <c r="Q2609" s="34">
        <f t="shared" si="342"/>
        <v>0.53376307093304964</v>
      </c>
      <c r="R2609" s="46">
        <f t="shared" si="343"/>
        <v>79.714466019203883</v>
      </c>
    </row>
    <row r="2610" spans="2:18" ht="12.75" customHeight="1" x14ac:dyDescent="0.25">
      <c r="B2610" s="17" t="s">
        <v>0</v>
      </c>
      <c r="C2610" s="44" t="s">
        <v>48</v>
      </c>
      <c r="D2610" s="22" t="s">
        <v>9</v>
      </c>
      <c r="E2610" s="20">
        <v>2</v>
      </c>
      <c r="F2610" s="17" t="s">
        <v>314</v>
      </c>
      <c r="G2610" s="17" t="s">
        <v>342</v>
      </c>
      <c r="H2610" s="17" t="s">
        <v>343</v>
      </c>
      <c r="I2610" s="17" t="s">
        <v>344</v>
      </c>
      <c r="J2610" s="27" t="s">
        <v>49</v>
      </c>
      <c r="K2610" s="29">
        <v>65</v>
      </c>
      <c r="L2610" s="31">
        <v>23441.8</v>
      </c>
      <c r="M2610" s="31">
        <v>9061.2900000070003</v>
      </c>
      <c r="N2610" s="31">
        <v>7228.4399998389999</v>
      </c>
      <c r="O2610" s="34">
        <f t="shared" si="340"/>
        <v>0.38654412203870864</v>
      </c>
      <c r="P2610" s="34">
        <f t="shared" si="341"/>
        <v>0.79772747587081039</v>
      </c>
      <c r="Q2610" s="34">
        <f t="shared" si="342"/>
        <v>0.61345587796129131</v>
      </c>
      <c r="R2610" s="46">
        <f t="shared" si="343"/>
        <v>111.2067692282923</v>
      </c>
    </row>
    <row r="2611" spans="2:18" ht="12.75" customHeight="1" x14ac:dyDescent="0.25">
      <c r="B2611" s="17" t="s">
        <v>0</v>
      </c>
      <c r="C2611" s="44" t="s">
        <v>62</v>
      </c>
      <c r="D2611" s="22" t="s">
        <v>9</v>
      </c>
      <c r="E2611" s="20">
        <v>2</v>
      </c>
      <c r="F2611" s="17" t="s">
        <v>314</v>
      </c>
      <c r="G2611" s="17" t="s">
        <v>342</v>
      </c>
      <c r="H2611" s="17" t="s">
        <v>343</v>
      </c>
      <c r="I2611" s="17" t="s">
        <v>344</v>
      </c>
      <c r="J2611" s="27" t="s">
        <v>63</v>
      </c>
      <c r="K2611" s="29">
        <v>811</v>
      </c>
      <c r="L2611" s="31">
        <v>40550</v>
      </c>
      <c r="M2611" s="31">
        <v>9630.5199998300013</v>
      </c>
      <c r="N2611" s="31">
        <v>7197.2100000271003</v>
      </c>
      <c r="O2611" s="34">
        <f t="shared" si="340"/>
        <v>0.23749741060000004</v>
      </c>
      <c r="P2611" s="34">
        <f t="shared" si="341"/>
        <v>0.74733347733602606</v>
      </c>
      <c r="Q2611" s="34">
        <f t="shared" si="342"/>
        <v>0.76250258939999993</v>
      </c>
      <c r="R2611" s="46">
        <f t="shared" si="343"/>
        <v>8.8744882861000001</v>
      </c>
    </row>
    <row r="2612" spans="2:18" ht="12.75" customHeight="1" x14ac:dyDescent="0.25">
      <c r="B2612" s="17" t="s">
        <v>0</v>
      </c>
      <c r="C2612" s="44" t="s">
        <v>151</v>
      </c>
      <c r="D2612" s="22" t="s">
        <v>2</v>
      </c>
      <c r="E2612" s="20">
        <v>1</v>
      </c>
      <c r="F2612" s="17" t="s">
        <v>314</v>
      </c>
      <c r="G2612" s="17" t="s">
        <v>342</v>
      </c>
      <c r="H2612" s="17" t="s">
        <v>343</v>
      </c>
      <c r="I2612" s="17" t="s">
        <v>344</v>
      </c>
      <c r="J2612" s="27" t="s">
        <v>152</v>
      </c>
      <c r="K2612" s="29">
        <v>83</v>
      </c>
      <c r="L2612" s="31">
        <v>26726</v>
      </c>
      <c r="M2612" s="31">
        <v>8352.110000390001</v>
      </c>
      <c r="N2612" s="31">
        <v>6654.7000000220005</v>
      </c>
      <c r="O2612" s="34">
        <f t="shared" si="340"/>
        <v>0.31250879295031059</v>
      </c>
      <c r="P2612" s="34">
        <f t="shared" si="341"/>
        <v>0.79676872068390625</v>
      </c>
      <c r="Q2612" s="34">
        <f t="shared" si="342"/>
        <v>0.68749120704968947</v>
      </c>
      <c r="R2612" s="46">
        <f t="shared" si="343"/>
        <v>80.177108434000004</v>
      </c>
    </row>
    <row r="2613" spans="2:18" ht="12.75" customHeight="1" x14ac:dyDescent="0.25">
      <c r="B2613" s="17" t="s">
        <v>0</v>
      </c>
      <c r="C2613" s="44" t="s">
        <v>16</v>
      </c>
      <c r="D2613" s="22" t="s">
        <v>9</v>
      </c>
      <c r="E2613" s="20">
        <v>2</v>
      </c>
      <c r="F2613" s="17" t="s">
        <v>314</v>
      </c>
      <c r="G2613" s="17" t="s">
        <v>342</v>
      </c>
      <c r="H2613" s="17" t="s">
        <v>343</v>
      </c>
      <c r="I2613" s="17" t="s">
        <v>344</v>
      </c>
      <c r="J2613" s="27" t="s">
        <v>17</v>
      </c>
      <c r="K2613" s="29">
        <v>926</v>
      </c>
      <c r="L2613" s="31">
        <v>193326.61999843799</v>
      </c>
      <c r="M2613" s="31">
        <v>8312.6500000020005</v>
      </c>
      <c r="N2613" s="31">
        <v>6447.5899998952</v>
      </c>
      <c r="O2613" s="34">
        <f t="shared" si="340"/>
        <v>4.2997958584643767E-2</v>
      </c>
      <c r="P2613" s="34">
        <f t="shared" si="341"/>
        <v>0.77563592836143092</v>
      </c>
      <c r="Q2613" s="34">
        <f t="shared" si="342"/>
        <v>0.95700204141535627</v>
      </c>
      <c r="R2613" s="46">
        <f t="shared" si="343"/>
        <v>6.962840172673002</v>
      </c>
    </row>
    <row r="2614" spans="2:18" ht="12.75" customHeight="1" x14ac:dyDescent="0.25">
      <c r="B2614" s="17" t="s">
        <v>0</v>
      </c>
      <c r="C2614" s="44" t="s">
        <v>159</v>
      </c>
      <c r="D2614" s="22" t="s">
        <v>9</v>
      </c>
      <c r="E2614" s="20">
        <v>2</v>
      </c>
      <c r="F2614" s="17" t="s">
        <v>314</v>
      </c>
      <c r="G2614" s="17" t="s">
        <v>342</v>
      </c>
      <c r="H2614" s="17" t="s">
        <v>343</v>
      </c>
      <c r="I2614" s="17" t="s">
        <v>344</v>
      </c>
      <c r="J2614" s="27" t="s">
        <v>160</v>
      </c>
      <c r="K2614" s="29">
        <v>203</v>
      </c>
      <c r="L2614" s="31">
        <v>24296.000000004002</v>
      </c>
      <c r="M2614" s="31">
        <v>7397.8199999988001</v>
      </c>
      <c r="N2614" s="31">
        <v>5332.1600000046001</v>
      </c>
      <c r="O2614" s="34">
        <f t="shared" si="340"/>
        <v>0.30448715837988072</v>
      </c>
      <c r="P2614" s="34">
        <f t="shared" si="341"/>
        <v>0.72077449843406094</v>
      </c>
      <c r="Q2614" s="34">
        <f t="shared" si="342"/>
        <v>0.69551284162011928</v>
      </c>
      <c r="R2614" s="46">
        <f t="shared" si="343"/>
        <v>26.266798029579309</v>
      </c>
    </row>
    <row r="2615" spans="2:18" ht="12.75" customHeight="1" x14ac:dyDescent="0.25">
      <c r="B2615" s="17" t="s">
        <v>0</v>
      </c>
      <c r="C2615" s="44" t="s">
        <v>170</v>
      </c>
      <c r="D2615" s="22" t="s">
        <v>2</v>
      </c>
      <c r="E2615" s="20">
        <v>1</v>
      </c>
      <c r="F2615" s="17" t="s">
        <v>314</v>
      </c>
      <c r="G2615" s="17" t="s">
        <v>342</v>
      </c>
      <c r="H2615" s="17" t="s">
        <v>343</v>
      </c>
      <c r="I2615" s="17" t="s">
        <v>344</v>
      </c>
      <c r="J2615" s="27" t="s">
        <v>171</v>
      </c>
      <c r="K2615" s="29">
        <v>178</v>
      </c>
      <c r="L2615" s="31">
        <v>52409.999999869993</v>
      </c>
      <c r="M2615" s="31">
        <v>6420.2999999959993</v>
      </c>
      <c r="N2615" s="31">
        <v>4911.0600000089999</v>
      </c>
      <c r="O2615" s="34">
        <f t="shared" si="340"/>
        <v>0.12250143102484116</v>
      </c>
      <c r="P2615" s="34">
        <f t="shared" si="341"/>
        <v>0.76492687257792624</v>
      </c>
      <c r="Q2615" s="34">
        <f t="shared" si="342"/>
        <v>0.87749856897515888</v>
      </c>
      <c r="R2615" s="46">
        <f t="shared" si="343"/>
        <v>27.590224719151685</v>
      </c>
    </row>
    <row r="2616" spans="2:18" ht="12.75" customHeight="1" x14ac:dyDescent="0.25">
      <c r="B2616" s="17" t="s">
        <v>0</v>
      </c>
      <c r="C2616" s="44" t="s">
        <v>44</v>
      </c>
      <c r="D2616" s="22" t="s">
        <v>2</v>
      </c>
      <c r="E2616" s="20">
        <v>1</v>
      </c>
      <c r="F2616" s="17" t="s">
        <v>314</v>
      </c>
      <c r="G2616" s="17" t="s">
        <v>342</v>
      </c>
      <c r="H2616" s="17" t="s">
        <v>343</v>
      </c>
      <c r="I2616" s="17" t="s">
        <v>344</v>
      </c>
      <c r="J2616" s="27" t="s">
        <v>45</v>
      </c>
      <c r="K2616" s="29">
        <v>374</v>
      </c>
      <c r="L2616" s="31">
        <v>27302</v>
      </c>
      <c r="M2616" s="31">
        <v>6583.1899998260005</v>
      </c>
      <c r="N2616" s="31">
        <v>4861.3499999679998</v>
      </c>
      <c r="O2616" s="34">
        <f t="shared" si="340"/>
        <v>0.24112482601369864</v>
      </c>
      <c r="P2616" s="34">
        <f t="shared" si="341"/>
        <v>0.7384489890306204</v>
      </c>
      <c r="Q2616" s="34">
        <f t="shared" si="342"/>
        <v>0.75887517398630133</v>
      </c>
      <c r="R2616" s="46">
        <f t="shared" si="343"/>
        <v>12.998262032</v>
      </c>
    </row>
    <row r="2617" spans="2:18" ht="12.75" customHeight="1" x14ac:dyDescent="0.25">
      <c r="B2617" s="17" t="s">
        <v>0</v>
      </c>
      <c r="C2617" s="44" t="s">
        <v>42</v>
      </c>
      <c r="D2617" s="22" t="s">
        <v>2</v>
      </c>
      <c r="E2617" s="20">
        <v>1</v>
      </c>
      <c r="F2617" s="17" t="s">
        <v>314</v>
      </c>
      <c r="G2617" s="17" t="s">
        <v>342</v>
      </c>
      <c r="H2617" s="17" t="s">
        <v>343</v>
      </c>
      <c r="I2617" s="17" t="s">
        <v>344</v>
      </c>
      <c r="J2617" s="27" t="s">
        <v>43</v>
      </c>
      <c r="K2617" s="29">
        <v>116</v>
      </c>
      <c r="L2617" s="31">
        <v>29460</v>
      </c>
      <c r="M2617" s="31">
        <v>5247.519999995</v>
      </c>
      <c r="N2617" s="31">
        <v>4187.510000018</v>
      </c>
      <c r="O2617" s="34">
        <f t="shared" si="340"/>
        <v>0.17812355736575017</v>
      </c>
      <c r="P2617" s="34">
        <f t="shared" si="341"/>
        <v>0.79799791139852538</v>
      </c>
      <c r="Q2617" s="34">
        <f t="shared" si="342"/>
        <v>0.82187644263424986</v>
      </c>
      <c r="R2617" s="46">
        <f t="shared" si="343"/>
        <v>36.099224138086207</v>
      </c>
    </row>
    <row r="2618" spans="2:18" ht="12.75" customHeight="1" x14ac:dyDescent="0.25">
      <c r="B2618" s="17" t="s">
        <v>0</v>
      </c>
      <c r="C2618" s="44" t="s">
        <v>196</v>
      </c>
      <c r="D2618" s="22" t="s">
        <v>9</v>
      </c>
      <c r="E2618" s="20">
        <v>2</v>
      </c>
      <c r="F2618" s="17" t="s">
        <v>314</v>
      </c>
      <c r="G2618" s="17" t="s">
        <v>342</v>
      </c>
      <c r="H2618" s="17" t="s">
        <v>343</v>
      </c>
      <c r="I2618" s="17" t="s">
        <v>344</v>
      </c>
      <c r="J2618" s="27" t="s">
        <v>197</v>
      </c>
      <c r="K2618" s="29">
        <v>52</v>
      </c>
      <c r="L2618" s="31">
        <v>9650.16</v>
      </c>
      <c r="M2618" s="31">
        <v>4911.8199999959998</v>
      </c>
      <c r="N2618" s="31">
        <v>3913.3799999839998</v>
      </c>
      <c r="O2618" s="34">
        <f t="shared" si="340"/>
        <v>0.50898845200452636</v>
      </c>
      <c r="P2618" s="34">
        <f t="shared" si="341"/>
        <v>0.79672707875842086</v>
      </c>
      <c r="Q2618" s="34">
        <f t="shared" si="342"/>
        <v>0.49101154799547364</v>
      </c>
      <c r="R2618" s="46">
        <f t="shared" si="343"/>
        <v>75.257307691999998</v>
      </c>
    </row>
    <row r="2619" spans="2:18" ht="12.75" customHeight="1" x14ac:dyDescent="0.25">
      <c r="B2619" s="17" t="s">
        <v>0</v>
      </c>
      <c r="C2619" s="44" t="s">
        <v>12</v>
      </c>
      <c r="D2619" s="22" t="s">
        <v>9</v>
      </c>
      <c r="E2619" s="20">
        <v>2</v>
      </c>
      <c r="F2619" s="17" t="s">
        <v>314</v>
      </c>
      <c r="G2619" s="17" t="s">
        <v>342</v>
      </c>
      <c r="H2619" s="17" t="s">
        <v>343</v>
      </c>
      <c r="I2619" s="17" t="s">
        <v>344</v>
      </c>
      <c r="J2619" s="27" t="s">
        <v>13</v>
      </c>
      <c r="K2619" s="29">
        <v>466</v>
      </c>
      <c r="L2619" s="31">
        <v>15519.999999899999</v>
      </c>
      <c r="M2619" s="31">
        <v>5783.3599999990001</v>
      </c>
      <c r="N2619" s="31">
        <v>3870.0499999854001</v>
      </c>
      <c r="O2619" s="34">
        <f t="shared" si="340"/>
        <v>0.37263917526006857</v>
      </c>
      <c r="P2619" s="34">
        <f t="shared" si="341"/>
        <v>0.66916982515113521</v>
      </c>
      <c r="Q2619" s="34">
        <f t="shared" si="342"/>
        <v>0.62736082473993138</v>
      </c>
      <c r="R2619" s="46">
        <f t="shared" si="343"/>
        <v>8.3048283261489271</v>
      </c>
    </row>
    <row r="2620" spans="2:18" ht="12.75" customHeight="1" x14ac:dyDescent="0.25">
      <c r="B2620" s="17" t="s">
        <v>0</v>
      </c>
      <c r="C2620" s="44" t="s">
        <v>58</v>
      </c>
      <c r="D2620" s="22" t="s">
        <v>9</v>
      </c>
      <c r="E2620" s="20">
        <v>2</v>
      </c>
      <c r="F2620" s="17" t="s">
        <v>314</v>
      </c>
      <c r="G2620" s="17" t="s">
        <v>342</v>
      </c>
      <c r="H2620" s="17" t="s">
        <v>343</v>
      </c>
      <c r="I2620" s="17" t="s">
        <v>344</v>
      </c>
      <c r="J2620" s="27" t="s">
        <v>59</v>
      </c>
      <c r="K2620" s="29">
        <v>142</v>
      </c>
      <c r="L2620" s="31">
        <v>13162</v>
      </c>
      <c r="M2620" s="31">
        <v>4852.1900000039996</v>
      </c>
      <c r="N2620" s="31">
        <v>3802.4099999760001</v>
      </c>
      <c r="O2620" s="34">
        <f t="shared" si="340"/>
        <v>0.36865142075702778</v>
      </c>
      <c r="P2620" s="34">
        <f t="shared" si="341"/>
        <v>0.78364820832920101</v>
      </c>
      <c r="Q2620" s="34">
        <f t="shared" si="342"/>
        <v>0.63134857924297227</v>
      </c>
      <c r="R2620" s="46">
        <f t="shared" si="343"/>
        <v>26.777535211098591</v>
      </c>
    </row>
    <row r="2621" spans="2:18" ht="12.75" customHeight="1" x14ac:dyDescent="0.25">
      <c r="B2621" s="17" t="s">
        <v>0</v>
      </c>
      <c r="C2621" s="44" t="s">
        <v>12</v>
      </c>
      <c r="D2621" s="22" t="s">
        <v>2</v>
      </c>
      <c r="E2621" s="20">
        <v>1</v>
      </c>
      <c r="F2621" s="17" t="s">
        <v>314</v>
      </c>
      <c r="G2621" s="17" t="s">
        <v>342</v>
      </c>
      <c r="H2621" s="17" t="s">
        <v>343</v>
      </c>
      <c r="I2621" s="17" t="s">
        <v>344</v>
      </c>
      <c r="J2621" s="27" t="s">
        <v>13</v>
      </c>
      <c r="K2621" s="29">
        <v>307</v>
      </c>
      <c r="L2621" s="31">
        <v>20187.8</v>
      </c>
      <c r="M2621" s="31">
        <v>4559.630000055</v>
      </c>
      <c r="N2621" s="31">
        <v>3327.1799999923996</v>
      </c>
      <c r="O2621" s="34">
        <f t="shared" si="340"/>
        <v>0.22586066832715798</v>
      </c>
      <c r="P2621" s="34">
        <f t="shared" si="341"/>
        <v>0.72970394526579263</v>
      </c>
      <c r="Q2621" s="34">
        <f t="shared" si="342"/>
        <v>0.77413933167284199</v>
      </c>
      <c r="R2621" s="46">
        <f t="shared" si="343"/>
        <v>10.837719869682083</v>
      </c>
    </row>
    <row r="2622" spans="2:18" ht="12.75" customHeight="1" x14ac:dyDescent="0.25">
      <c r="B2622" s="17" t="s">
        <v>0</v>
      </c>
      <c r="C2622" s="44" t="s">
        <v>70</v>
      </c>
      <c r="D2622" s="22" t="s">
        <v>9</v>
      </c>
      <c r="E2622" s="20">
        <v>2</v>
      </c>
      <c r="F2622" s="17" t="s">
        <v>314</v>
      </c>
      <c r="G2622" s="17" t="s">
        <v>342</v>
      </c>
      <c r="H2622" s="17" t="s">
        <v>343</v>
      </c>
      <c r="I2622" s="17" t="s">
        <v>344</v>
      </c>
      <c r="J2622" s="27" t="s">
        <v>71</v>
      </c>
      <c r="K2622" s="29">
        <v>64</v>
      </c>
      <c r="L2622" s="31">
        <v>18627</v>
      </c>
      <c r="M2622" s="31">
        <v>4216.5599999999995</v>
      </c>
      <c r="N2622" s="31">
        <v>3273.0499999992003</v>
      </c>
      <c r="O2622" s="34">
        <f t="shared" si="340"/>
        <v>0.22636817522950553</v>
      </c>
      <c r="P2622" s="34">
        <f t="shared" si="341"/>
        <v>0.77623702733963251</v>
      </c>
      <c r="Q2622" s="34">
        <f t="shared" si="342"/>
        <v>0.77363182477049453</v>
      </c>
      <c r="R2622" s="46">
        <f t="shared" si="343"/>
        <v>51.141406249987504</v>
      </c>
    </row>
    <row r="2623" spans="2:18" ht="12.75" customHeight="1" x14ac:dyDescent="0.25">
      <c r="B2623" s="17" t="s">
        <v>0</v>
      </c>
      <c r="C2623" s="44" t="s">
        <v>68</v>
      </c>
      <c r="D2623" s="22" t="s">
        <v>2</v>
      </c>
      <c r="E2623" s="20">
        <v>1</v>
      </c>
      <c r="F2623" s="17" t="s">
        <v>314</v>
      </c>
      <c r="G2623" s="17" t="s">
        <v>342</v>
      </c>
      <c r="H2623" s="17" t="s">
        <v>343</v>
      </c>
      <c r="I2623" s="17" t="s">
        <v>344</v>
      </c>
      <c r="J2623" s="27" t="s">
        <v>69</v>
      </c>
      <c r="K2623" s="29">
        <v>86</v>
      </c>
      <c r="L2623" s="31">
        <v>38138</v>
      </c>
      <c r="M2623" s="31">
        <v>4071.6700000020001</v>
      </c>
      <c r="N2623" s="31">
        <v>3251.1000000229997</v>
      </c>
      <c r="O2623" s="34">
        <f t="shared" ref="O2623:O2630" si="344">IFERROR(M2623/L2623,0)</f>
        <v>0.10676149771886308</v>
      </c>
      <c r="P2623" s="34">
        <f t="shared" ref="P2623:P2630" si="345">IFERROR(N2623/M2623,0)</f>
        <v>0.79846844170116993</v>
      </c>
      <c r="Q2623" s="34">
        <f t="shared" ref="Q2623:Q2630" si="346">IFERROR(1-(M2623/L2623),0)</f>
        <v>0.89323850228113688</v>
      </c>
      <c r="R2623" s="46">
        <f t="shared" ref="R2623:R2630" si="347">IFERROR(N2623/K2623,0)</f>
        <v>37.803488372360462</v>
      </c>
    </row>
    <row r="2624" spans="2:18" ht="12.75" customHeight="1" x14ac:dyDescent="0.25">
      <c r="B2624" s="17" t="s">
        <v>0</v>
      </c>
      <c r="C2624" s="44" t="s">
        <v>92</v>
      </c>
      <c r="D2624" s="22" t="s">
        <v>2</v>
      </c>
      <c r="E2624" s="20">
        <v>1</v>
      </c>
      <c r="F2624" s="17" t="s">
        <v>314</v>
      </c>
      <c r="G2624" s="17" t="s">
        <v>342</v>
      </c>
      <c r="H2624" s="17" t="s">
        <v>343</v>
      </c>
      <c r="I2624" s="17" t="s">
        <v>344</v>
      </c>
      <c r="J2624" s="27" t="s">
        <v>93</v>
      </c>
      <c r="K2624" s="29">
        <v>1095</v>
      </c>
      <c r="L2624" s="31">
        <v>33945</v>
      </c>
      <c r="M2624" s="31">
        <v>3476.4999999934998</v>
      </c>
      <c r="N2624" s="31">
        <v>2510.3199999804997</v>
      </c>
      <c r="O2624" s="34">
        <f t="shared" si="344"/>
        <v>0.102415672411062</v>
      </c>
      <c r="P2624" s="34">
        <f t="shared" si="345"/>
        <v>0.72208255428885182</v>
      </c>
      <c r="Q2624" s="34">
        <f t="shared" si="346"/>
        <v>0.89758432758893802</v>
      </c>
      <c r="R2624" s="46">
        <f t="shared" si="347"/>
        <v>2.2925296803474882</v>
      </c>
    </row>
    <row r="2625" spans="2:18" ht="12.75" customHeight="1" x14ac:dyDescent="0.25">
      <c r="B2625" s="17" t="s">
        <v>0</v>
      </c>
      <c r="C2625" s="44" t="s">
        <v>18</v>
      </c>
      <c r="D2625" s="22" t="s">
        <v>2</v>
      </c>
      <c r="E2625" s="20">
        <v>1</v>
      </c>
      <c r="F2625" s="17" t="s">
        <v>314</v>
      </c>
      <c r="G2625" s="17" t="s">
        <v>342</v>
      </c>
      <c r="H2625" s="17" t="s">
        <v>343</v>
      </c>
      <c r="I2625" s="17" t="s">
        <v>344</v>
      </c>
      <c r="J2625" s="27" t="s">
        <v>19</v>
      </c>
      <c r="K2625" s="29">
        <v>27</v>
      </c>
      <c r="L2625" s="31">
        <v>26092</v>
      </c>
      <c r="M2625" s="31">
        <v>2699.7200000350003</v>
      </c>
      <c r="N2625" s="31">
        <v>2131.0000000049999</v>
      </c>
      <c r="O2625" s="34">
        <f t="shared" si="344"/>
        <v>0.10346926261057031</v>
      </c>
      <c r="P2625" s="34">
        <f t="shared" si="345"/>
        <v>0.78934111684818153</v>
      </c>
      <c r="Q2625" s="34">
        <f t="shared" si="346"/>
        <v>0.89653073738942968</v>
      </c>
      <c r="R2625" s="46">
        <f t="shared" si="347"/>
        <v>78.925925926111105</v>
      </c>
    </row>
    <row r="2626" spans="2:18" ht="12.75" customHeight="1" x14ac:dyDescent="0.25">
      <c r="B2626" s="17" t="s">
        <v>0</v>
      </c>
      <c r="C2626" s="44" t="s">
        <v>60</v>
      </c>
      <c r="D2626" s="22" t="s">
        <v>9</v>
      </c>
      <c r="E2626" s="20">
        <v>2</v>
      </c>
      <c r="F2626" s="17" t="s">
        <v>314</v>
      </c>
      <c r="G2626" s="17" t="s">
        <v>342</v>
      </c>
      <c r="H2626" s="17" t="s">
        <v>343</v>
      </c>
      <c r="I2626" s="17" t="s">
        <v>344</v>
      </c>
      <c r="J2626" s="27" t="s">
        <v>61</v>
      </c>
      <c r="K2626" s="29">
        <v>15</v>
      </c>
      <c r="L2626" s="31">
        <v>5497.2000000000007</v>
      </c>
      <c r="M2626" s="31">
        <v>1645.2</v>
      </c>
      <c r="N2626" s="31">
        <v>1310.76</v>
      </c>
      <c r="O2626" s="34">
        <f t="shared" si="344"/>
        <v>0.2992796332678454</v>
      </c>
      <c r="P2626" s="34">
        <f t="shared" si="345"/>
        <v>0.79671772428884025</v>
      </c>
      <c r="Q2626" s="34">
        <f t="shared" si="346"/>
        <v>0.70072036673215465</v>
      </c>
      <c r="R2626" s="46">
        <f t="shared" si="347"/>
        <v>87.384</v>
      </c>
    </row>
    <row r="2627" spans="2:18" ht="12.75" customHeight="1" x14ac:dyDescent="0.25">
      <c r="B2627" s="17" t="s">
        <v>0</v>
      </c>
      <c r="C2627" s="44" t="s">
        <v>7</v>
      </c>
      <c r="D2627" s="22" t="s">
        <v>2</v>
      </c>
      <c r="E2627" s="20">
        <v>1</v>
      </c>
      <c r="F2627" s="17" t="s">
        <v>314</v>
      </c>
      <c r="G2627" s="17" t="s">
        <v>342</v>
      </c>
      <c r="H2627" s="17" t="s">
        <v>343</v>
      </c>
      <c r="I2627" s="17" t="s">
        <v>344</v>
      </c>
      <c r="J2627" s="27" t="s">
        <v>8</v>
      </c>
      <c r="K2627" s="29">
        <v>116</v>
      </c>
      <c r="L2627" s="31">
        <v>5104</v>
      </c>
      <c r="M2627" s="31">
        <v>1482.089999968</v>
      </c>
      <c r="N2627" s="31">
        <v>1158.6199999800001</v>
      </c>
      <c r="O2627" s="34">
        <f t="shared" si="344"/>
        <v>0.29037813478996866</v>
      </c>
      <c r="P2627" s="34">
        <f t="shared" si="345"/>
        <v>0.78174739725996123</v>
      </c>
      <c r="Q2627" s="34">
        <f t="shared" si="346"/>
        <v>0.70962186521003134</v>
      </c>
      <c r="R2627" s="46">
        <f t="shared" si="347"/>
        <v>9.9881034481034483</v>
      </c>
    </row>
    <row r="2628" spans="2:18" ht="12.75" customHeight="1" x14ac:dyDescent="0.25">
      <c r="B2628" s="17" t="s">
        <v>0</v>
      </c>
      <c r="C2628" s="44" t="s">
        <v>105</v>
      </c>
      <c r="D2628" s="22" t="s">
        <v>9</v>
      </c>
      <c r="E2628" s="20">
        <v>2</v>
      </c>
      <c r="F2628" s="17" t="s">
        <v>314</v>
      </c>
      <c r="G2628" s="17" t="s">
        <v>342</v>
      </c>
      <c r="H2628" s="17" t="s">
        <v>343</v>
      </c>
      <c r="I2628" s="17" t="s">
        <v>344</v>
      </c>
      <c r="J2628" s="27" t="s">
        <v>106</v>
      </c>
      <c r="K2628" s="29">
        <v>13</v>
      </c>
      <c r="L2628" s="31">
        <v>1720.0000000299999</v>
      </c>
      <c r="M2628" s="31">
        <v>1145.809999997</v>
      </c>
      <c r="N2628" s="31">
        <v>914.91000000399993</v>
      </c>
      <c r="O2628" s="34">
        <f t="shared" si="344"/>
        <v>0.66616860463779937</v>
      </c>
      <c r="P2628" s="34">
        <f t="shared" si="345"/>
        <v>0.79848316911738892</v>
      </c>
      <c r="Q2628" s="34">
        <f t="shared" si="346"/>
        <v>0.33383139536220063</v>
      </c>
      <c r="R2628" s="46">
        <f t="shared" si="347"/>
        <v>70.377692307999993</v>
      </c>
    </row>
    <row r="2629" spans="2:18" ht="12.75" customHeight="1" x14ac:dyDescent="0.25">
      <c r="B2629" s="17" t="s">
        <v>0</v>
      </c>
      <c r="C2629" s="44" t="s">
        <v>172</v>
      </c>
      <c r="D2629" s="22" t="s">
        <v>9</v>
      </c>
      <c r="E2629" s="20">
        <v>2</v>
      </c>
      <c r="F2629" s="17" t="s">
        <v>314</v>
      </c>
      <c r="G2629" s="17" t="s">
        <v>342</v>
      </c>
      <c r="H2629" s="17" t="s">
        <v>343</v>
      </c>
      <c r="I2629" s="17" t="s">
        <v>344</v>
      </c>
      <c r="J2629" s="27" t="s">
        <v>173</v>
      </c>
      <c r="K2629" s="29">
        <v>134</v>
      </c>
      <c r="L2629" s="31">
        <v>864.69999999909999</v>
      </c>
      <c r="M2629" s="31">
        <v>58.939999996400005</v>
      </c>
      <c r="N2629" s="31">
        <v>47.009999998300003</v>
      </c>
      <c r="O2629" s="34">
        <f t="shared" si="344"/>
        <v>6.816236844739372E-2</v>
      </c>
      <c r="P2629" s="34">
        <f t="shared" si="345"/>
        <v>0.79759077029472902</v>
      </c>
      <c r="Q2629" s="34">
        <f t="shared" si="346"/>
        <v>0.93183763155260624</v>
      </c>
      <c r="R2629" s="46">
        <f t="shared" si="347"/>
        <v>0.35082089550970152</v>
      </c>
    </row>
    <row r="2630" spans="2:18" ht="12.75" customHeight="1" thickBot="1" x14ac:dyDescent="0.3">
      <c r="B2630" s="15" t="s">
        <v>0</v>
      </c>
      <c r="C2630" s="50" t="s">
        <v>110</v>
      </c>
      <c r="D2630" s="19" t="s">
        <v>9</v>
      </c>
      <c r="E2630" s="16">
        <v>2</v>
      </c>
      <c r="F2630" s="15" t="s">
        <v>314</v>
      </c>
      <c r="G2630" s="15" t="s">
        <v>342</v>
      </c>
      <c r="H2630" s="15" t="s">
        <v>343</v>
      </c>
      <c r="I2630" s="15" t="s">
        <v>344</v>
      </c>
      <c r="J2630" s="24" t="s">
        <v>111</v>
      </c>
      <c r="K2630" s="26">
        <v>45</v>
      </c>
      <c r="L2630" s="28">
        <v>360</v>
      </c>
      <c r="M2630" s="28">
        <v>15.8099999985</v>
      </c>
      <c r="N2630" s="28">
        <v>12.320000001</v>
      </c>
      <c r="O2630" s="32">
        <f t="shared" si="344"/>
        <v>4.3916666662499999E-2</v>
      </c>
      <c r="P2630" s="32">
        <f t="shared" si="345"/>
        <v>0.77925363707583051</v>
      </c>
      <c r="Q2630" s="32">
        <f t="shared" si="346"/>
        <v>0.95608333333749995</v>
      </c>
      <c r="R2630" s="49">
        <f t="shared" si="347"/>
        <v>0.27377777780000001</v>
      </c>
    </row>
    <row r="2631" spans="2:18" ht="17.25" customHeight="1" x14ac:dyDescent="0.25">
      <c r="B2631" s="48"/>
      <c r="C2631" s="58"/>
      <c r="D2631" s="51" t="s">
        <v>366</v>
      </c>
      <c r="E2631" s="52"/>
      <c r="F2631" s="52"/>
      <c r="G2631" s="53"/>
      <c r="H2631" s="53"/>
      <c r="I2631" s="53"/>
      <c r="J2631" s="54"/>
      <c r="K2631" s="55">
        <f>SUM(K2559:K2630)</f>
        <v>2144247</v>
      </c>
      <c r="L2631" s="56">
        <f>SUM(L2559:L2630)</f>
        <v>144977615.8232072</v>
      </c>
      <c r="M2631" s="56">
        <f>SUM(M2559:M2630)</f>
        <v>54185096.595974602</v>
      </c>
      <c r="N2631" s="56">
        <f>SUM(N2559:N2630)</f>
        <v>42314541.974164702</v>
      </c>
      <c r="O2631" s="57">
        <f>IFERROR(M2631/L2631,0)</f>
        <v>0.37374801819096376</v>
      </c>
      <c r="P2631" s="57">
        <f>IFERROR(N2631/M2631,0)</f>
        <v>0.78092583814473149</v>
      </c>
      <c r="Q2631" s="57">
        <f>IFERROR(1-(M2631/L2631),0)</f>
        <v>0.62625198180903618</v>
      </c>
      <c r="R2631" s="59">
        <f>IFERROR(N2631/K2631,0)</f>
        <v>19.733986790777696</v>
      </c>
    </row>
    <row r="2632" spans="2:18" ht="15.75" thickBot="1" x14ac:dyDescent="0.3">
      <c r="B2632" s="60"/>
      <c r="C2632" s="64"/>
      <c r="D2632" s="62" t="s">
        <v>344</v>
      </c>
      <c r="E2632" s="61"/>
      <c r="F2632" s="61"/>
      <c r="G2632" s="61"/>
      <c r="H2632" s="61"/>
      <c r="I2632" s="61"/>
      <c r="J2632" s="61"/>
      <c r="K2632" s="63"/>
      <c r="L2632" s="63"/>
      <c r="M2632" s="63"/>
      <c r="N2632" s="63"/>
      <c r="O2632" s="63"/>
      <c r="P2632" s="63"/>
      <c r="Q2632" s="63"/>
      <c r="R2632" s="65"/>
    </row>
    <row r="2633" spans="2:18" ht="15.75" thickBot="1" x14ac:dyDescent="0.3"/>
    <row r="2634" spans="2:18" ht="15.75" x14ac:dyDescent="0.25">
      <c r="B2634" s="1"/>
      <c r="C2634" s="7" t="s">
        <v>348</v>
      </c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9"/>
    </row>
    <row r="2635" spans="2:18" ht="18" x14ac:dyDescent="0.25">
      <c r="B2635" s="2"/>
      <c r="C2635" s="8" t="s">
        <v>347</v>
      </c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10"/>
    </row>
    <row r="2636" spans="2:18" ht="15.75" thickBot="1" x14ac:dyDescent="0.3">
      <c r="B2636" s="3"/>
      <c r="C2636" s="11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12"/>
    </row>
    <row r="2637" spans="2:18" ht="17.25" customHeight="1" thickBot="1" x14ac:dyDescent="0.3">
      <c r="B2637" s="14" t="s">
        <v>349</v>
      </c>
      <c r="C2637" s="18" t="s">
        <v>350</v>
      </c>
      <c r="D2637" s="21" t="s">
        <v>351</v>
      </c>
      <c r="E2637" s="23" t="s">
        <v>352</v>
      </c>
      <c r="F2637" s="21" t="s">
        <v>353</v>
      </c>
      <c r="G2637" s="23" t="s">
        <v>354</v>
      </c>
      <c r="H2637" s="23" t="s">
        <v>355</v>
      </c>
      <c r="I2637" s="23" t="s">
        <v>356</v>
      </c>
      <c r="J2637" s="25" t="s">
        <v>357</v>
      </c>
      <c r="K2637" s="25" t="s">
        <v>358</v>
      </c>
      <c r="L2637" s="30" t="s">
        <v>359</v>
      </c>
      <c r="M2637" s="30" t="s">
        <v>360</v>
      </c>
      <c r="N2637" s="30" t="s">
        <v>361</v>
      </c>
      <c r="O2637" s="33" t="s">
        <v>362</v>
      </c>
      <c r="P2637" s="33" t="s">
        <v>363</v>
      </c>
      <c r="Q2637" s="33" t="s">
        <v>364</v>
      </c>
      <c r="R2637" s="35" t="s">
        <v>365</v>
      </c>
    </row>
    <row r="2638" spans="2:18" ht="12.75" customHeight="1" x14ac:dyDescent="0.25">
      <c r="B2638" s="17" t="s">
        <v>0</v>
      </c>
      <c r="C2638" s="43" t="s">
        <v>141</v>
      </c>
      <c r="D2638" s="37" t="s">
        <v>9</v>
      </c>
      <c r="E2638" s="36">
        <v>2</v>
      </c>
      <c r="F2638" s="38" t="s">
        <v>345</v>
      </c>
      <c r="G2638" s="38" t="s">
        <v>345</v>
      </c>
      <c r="H2638" s="38" t="s">
        <v>346</v>
      </c>
      <c r="I2638" s="38" t="s">
        <v>347</v>
      </c>
      <c r="J2638" s="39" t="s">
        <v>142</v>
      </c>
      <c r="K2638" s="40">
        <v>7746348</v>
      </c>
      <c r="L2638" s="41">
        <v>539779560.32191718</v>
      </c>
      <c r="M2638" s="41">
        <v>197136721.45500362</v>
      </c>
      <c r="N2638" s="41">
        <v>151210213.69546625</v>
      </c>
      <c r="O2638" s="42">
        <f t="shared" ref="O2638:O2670" si="348">IFERROR(M2638/L2638,0)</f>
        <v>0.36521709220970494</v>
      </c>
      <c r="P2638" s="42">
        <f t="shared" ref="P2638:P2670" si="349">IFERROR(N2638/M2638,0)</f>
        <v>0.76703220272423944</v>
      </c>
      <c r="Q2638" s="42">
        <f t="shared" ref="Q2638:Q2670" si="350">IFERROR(1-(M2638/L2638),0)</f>
        <v>0.63478290779029511</v>
      </c>
      <c r="R2638" s="45">
        <f t="shared" ref="R2638:R2670" si="351">IFERROR(N2638/K2638,0)</f>
        <v>19.520193734578701</v>
      </c>
    </row>
    <row r="2639" spans="2:18" ht="12.75" customHeight="1" x14ac:dyDescent="0.25">
      <c r="B2639" s="17" t="s">
        <v>0</v>
      </c>
      <c r="C2639" s="44" t="s">
        <v>143</v>
      </c>
      <c r="D2639" s="22" t="s">
        <v>9</v>
      </c>
      <c r="E2639" s="20">
        <v>2</v>
      </c>
      <c r="F2639" s="17" t="s">
        <v>345</v>
      </c>
      <c r="G2639" s="17" t="s">
        <v>345</v>
      </c>
      <c r="H2639" s="17" t="s">
        <v>346</v>
      </c>
      <c r="I2639" s="17" t="s">
        <v>347</v>
      </c>
      <c r="J2639" s="27" t="s">
        <v>144</v>
      </c>
      <c r="K2639" s="29">
        <v>606350</v>
      </c>
      <c r="L2639" s="31">
        <v>39674592.810001418</v>
      </c>
      <c r="M2639" s="31">
        <v>15497674.92000957</v>
      </c>
      <c r="N2639" s="31">
        <v>12053376.639992077</v>
      </c>
      <c r="O2639" s="34">
        <f t="shared" si="348"/>
        <v>0.39061963393617538</v>
      </c>
      <c r="P2639" s="34">
        <f t="shared" si="349"/>
        <v>0.77775386967431848</v>
      </c>
      <c r="Q2639" s="34">
        <f t="shared" si="350"/>
        <v>0.60938036606382462</v>
      </c>
      <c r="R2639" s="46">
        <f t="shared" si="351"/>
        <v>19.878579434307046</v>
      </c>
    </row>
    <row r="2640" spans="2:18" ht="12.75" customHeight="1" x14ac:dyDescent="0.25">
      <c r="B2640" s="17" t="s">
        <v>0</v>
      </c>
      <c r="C2640" s="44" t="s">
        <v>131</v>
      </c>
      <c r="D2640" s="22" t="s">
        <v>9</v>
      </c>
      <c r="E2640" s="20">
        <v>2</v>
      </c>
      <c r="F2640" s="17" t="s">
        <v>345</v>
      </c>
      <c r="G2640" s="17" t="s">
        <v>345</v>
      </c>
      <c r="H2640" s="17" t="s">
        <v>346</v>
      </c>
      <c r="I2640" s="17" t="s">
        <v>347</v>
      </c>
      <c r="J2640" s="27" t="s">
        <v>132</v>
      </c>
      <c r="K2640" s="29">
        <v>54428</v>
      </c>
      <c r="L2640" s="31">
        <v>7157802.8300003484</v>
      </c>
      <c r="M2640" s="31">
        <v>4074209.2699984387</v>
      </c>
      <c r="N2640" s="31">
        <v>3206068.890000206</v>
      </c>
      <c r="O2640" s="34">
        <f t="shared" si="348"/>
        <v>0.56919830942007665</v>
      </c>
      <c r="P2640" s="34">
        <f t="shared" si="349"/>
        <v>0.7869180686443813</v>
      </c>
      <c r="Q2640" s="34">
        <f t="shared" si="350"/>
        <v>0.43080169057992335</v>
      </c>
      <c r="R2640" s="46">
        <f t="shared" si="351"/>
        <v>58.904771257444807</v>
      </c>
    </row>
    <row r="2641" spans="2:18" ht="12.75" customHeight="1" x14ac:dyDescent="0.25">
      <c r="B2641" s="17" t="s">
        <v>0</v>
      </c>
      <c r="C2641" s="44" t="s">
        <v>90</v>
      </c>
      <c r="D2641" s="22" t="s">
        <v>9</v>
      </c>
      <c r="E2641" s="20">
        <v>2</v>
      </c>
      <c r="F2641" s="17" t="s">
        <v>345</v>
      </c>
      <c r="G2641" s="17" t="s">
        <v>345</v>
      </c>
      <c r="H2641" s="17" t="s">
        <v>346</v>
      </c>
      <c r="I2641" s="17" t="s">
        <v>347</v>
      </c>
      <c r="J2641" s="27" t="s">
        <v>91</v>
      </c>
      <c r="K2641" s="29">
        <v>118628</v>
      </c>
      <c r="L2641" s="31">
        <v>8178833.1399936015</v>
      </c>
      <c r="M2641" s="31">
        <v>3006035.1999995555</v>
      </c>
      <c r="N2641" s="31">
        <v>2294814.9500036556</v>
      </c>
      <c r="O2641" s="34">
        <f t="shared" si="348"/>
        <v>0.3675383943585267</v>
      </c>
      <c r="P2641" s="34">
        <f t="shared" si="349"/>
        <v>0.76340255430275561</v>
      </c>
      <c r="Q2641" s="34">
        <f t="shared" si="350"/>
        <v>0.63246160564147336</v>
      </c>
      <c r="R2641" s="46">
        <f t="shared" si="351"/>
        <v>19.344631537273287</v>
      </c>
    </row>
    <row r="2642" spans="2:18" ht="12.75" customHeight="1" x14ac:dyDescent="0.25">
      <c r="B2642" s="17" t="s">
        <v>0</v>
      </c>
      <c r="C2642" s="44" t="s">
        <v>98</v>
      </c>
      <c r="D2642" s="22" t="s">
        <v>2</v>
      </c>
      <c r="E2642" s="20">
        <v>1</v>
      </c>
      <c r="F2642" s="17" t="s">
        <v>345</v>
      </c>
      <c r="G2642" s="17" t="s">
        <v>345</v>
      </c>
      <c r="H2642" s="17" t="s">
        <v>346</v>
      </c>
      <c r="I2642" s="17" t="s">
        <v>347</v>
      </c>
      <c r="J2642" s="27" t="s">
        <v>102</v>
      </c>
      <c r="K2642" s="29">
        <v>701</v>
      </c>
      <c r="L2642" s="31">
        <v>5239040.0000349004</v>
      </c>
      <c r="M2642" s="31">
        <v>2824912.96001291</v>
      </c>
      <c r="N2642" s="31">
        <v>2250911.40000288</v>
      </c>
      <c r="O2642" s="34">
        <f t="shared" si="348"/>
        <v>0.53920431223928267</v>
      </c>
      <c r="P2642" s="34">
        <f t="shared" si="349"/>
        <v>0.7968073465855009</v>
      </c>
      <c r="Q2642" s="34">
        <f t="shared" si="350"/>
        <v>0.46079568776071733</v>
      </c>
      <c r="R2642" s="46">
        <f t="shared" si="351"/>
        <v>3211.000570617518</v>
      </c>
    </row>
    <row r="2643" spans="2:18" ht="12.75" customHeight="1" x14ac:dyDescent="0.25">
      <c r="B2643" s="17" t="s">
        <v>0</v>
      </c>
      <c r="C2643" s="44" t="s">
        <v>46</v>
      </c>
      <c r="D2643" s="22" t="s">
        <v>9</v>
      </c>
      <c r="E2643" s="20">
        <v>2</v>
      </c>
      <c r="F2643" s="17" t="s">
        <v>345</v>
      </c>
      <c r="G2643" s="17" t="s">
        <v>345</v>
      </c>
      <c r="H2643" s="17" t="s">
        <v>346</v>
      </c>
      <c r="I2643" s="17" t="s">
        <v>347</v>
      </c>
      <c r="J2643" s="27" t="s">
        <v>47</v>
      </c>
      <c r="K2643" s="29">
        <v>66229</v>
      </c>
      <c r="L2643" s="31">
        <v>4225142.8800023263</v>
      </c>
      <c r="M2643" s="31">
        <v>1242804.889999209</v>
      </c>
      <c r="N2643" s="31">
        <v>949564.04000556131</v>
      </c>
      <c r="O2643" s="34">
        <f t="shared" si="348"/>
        <v>0.29414505622553638</v>
      </c>
      <c r="P2643" s="34">
        <f t="shared" si="349"/>
        <v>0.76404916624214902</v>
      </c>
      <c r="Q2643" s="34">
        <f t="shared" si="350"/>
        <v>0.70585494377446367</v>
      </c>
      <c r="R2643" s="46">
        <f t="shared" si="351"/>
        <v>14.33758685780491</v>
      </c>
    </row>
    <row r="2644" spans="2:18" ht="12.75" customHeight="1" x14ac:dyDescent="0.25">
      <c r="B2644" s="17" t="s">
        <v>0</v>
      </c>
      <c r="C2644" s="44" t="s">
        <v>58</v>
      </c>
      <c r="D2644" s="22" t="s">
        <v>9</v>
      </c>
      <c r="E2644" s="20">
        <v>2</v>
      </c>
      <c r="F2644" s="17" t="s">
        <v>345</v>
      </c>
      <c r="G2644" s="17" t="s">
        <v>345</v>
      </c>
      <c r="H2644" s="17" t="s">
        <v>346</v>
      </c>
      <c r="I2644" s="17" t="s">
        <v>347</v>
      </c>
      <c r="J2644" s="27" t="s">
        <v>59</v>
      </c>
      <c r="K2644" s="29">
        <v>20947</v>
      </c>
      <c r="L2644" s="31">
        <v>1558866.3900045492</v>
      </c>
      <c r="M2644" s="31">
        <v>535101.43999866839</v>
      </c>
      <c r="N2644" s="31">
        <v>416194.55000007455</v>
      </c>
      <c r="O2644" s="34">
        <f t="shared" si="348"/>
        <v>0.34326318370178399</v>
      </c>
      <c r="P2644" s="34">
        <f t="shared" si="349"/>
        <v>0.77778626422891006</v>
      </c>
      <c r="Q2644" s="34">
        <f t="shared" si="350"/>
        <v>0.65673681629821601</v>
      </c>
      <c r="R2644" s="46">
        <f t="shared" si="351"/>
        <v>19.86893349883394</v>
      </c>
    </row>
    <row r="2645" spans="2:18" ht="12.75" customHeight="1" x14ac:dyDescent="0.25">
      <c r="B2645" s="17" t="s">
        <v>0</v>
      </c>
      <c r="C2645" s="44" t="s">
        <v>66</v>
      </c>
      <c r="D2645" s="22" t="s">
        <v>9</v>
      </c>
      <c r="E2645" s="20">
        <v>2</v>
      </c>
      <c r="F2645" s="17" t="s">
        <v>345</v>
      </c>
      <c r="G2645" s="17" t="s">
        <v>345</v>
      </c>
      <c r="H2645" s="17" t="s">
        <v>346</v>
      </c>
      <c r="I2645" s="17" t="s">
        <v>347</v>
      </c>
      <c r="J2645" s="27" t="s">
        <v>67</v>
      </c>
      <c r="K2645" s="29">
        <v>16779</v>
      </c>
      <c r="L2645" s="31">
        <v>1842339.4400021399</v>
      </c>
      <c r="M2645" s="31">
        <v>536632.14000075299</v>
      </c>
      <c r="N2645" s="31">
        <v>415290.51000228809</v>
      </c>
      <c r="O2645" s="34">
        <f t="shared" si="348"/>
        <v>0.29127756175058039</v>
      </c>
      <c r="P2645" s="34">
        <f t="shared" si="349"/>
        <v>0.77388303652797497</v>
      </c>
      <c r="Q2645" s="34">
        <f t="shared" si="350"/>
        <v>0.70872243824941961</v>
      </c>
      <c r="R2645" s="46">
        <f t="shared" si="351"/>
        <v>24.750611478770374</v>
      </c>
    </row>
    <row r="2646" spans="2:18" ht="12.75" customHeight="1" x14ac:dyDescent="0.25">
      <c r="B2646" s="17" t="s">
        <v>0</v>
      </c>
      <c r="C2646" s="44" t="s">
        <v>54</v>
      </c>
      <c r="D2646" s="22" t="s">
        <v>9</v>
      </c>
      <c r="E2646" s="20">
        <v>2</v>
      </c>
      <c r="F2646" s="17" t="s">
        <v>345</v>
      </c>
      <c r="G2646" s="17" t="s">
        <v>345</v>
      </c>
      <c r="H2646" s="17" t="s">
        <v>346</v>
      </c>
      <c r="I2646" s="17" t="s">
        <v>347</v>
      </c>
      <c r="J2646" s="27" t="s">
        <v>55</v>
      </c>
      <c r="K2646" s="29">
        <v>19044</v>
      </c>
      <c r="L2646" s="31">
        <v>1233321.1799985552</v>
      </c>
      <c r="M2646" s="31">
        <v>460623.03999904881</v>
      </c>
      <c r="N2646" s="31">
        <v>358271.83000082872</v>
      </c>
      <c r="O2646" s="34">
        <f t="shared" si="348"/>
        <v>0.37348182085025766</v>
      </c>
      <c r="P2646" s="34">
        <f t="shared" si="349"/>
        <v>0.77779832724296327</v>
      </c>
      <c r="Q2646" s="34">
        <f t="shared" si="350"/>
        <v>0.62651817914974228</v>
      </c>
      <c r="R2646" s="46">
        <f t="shared" si="351"/>
        <v>18.812845515691489</v>
      </c>
    </row>
    <row r="2647" spans="2:18" ht="12.75" customHeight="1" x14ac:dyDescent="0.25">
      <c r="B2647" s="17" t="s">
        <v>0</v>
      </c>
      <c r="C2647" s="44" t="s">
        <v>103</v>
      </c>
      <c r="D2647" s="22" t="s">
        <v>9</v>
      </c>
      <c r="E2647" s="20">
        <v>2</v>
      </c>
      <c r="F2647" s="17" t="s">
        <v>345</v>
      </c>
      <c r="G2647" s="17" t="s">
        <v>345</v>
      </c>
      <c r="H2647" s="17" t="s">
        <v>346</v>
      </c>
      <c r="I2647" s="17" t="s">
        <v>347</v>
      </c>
      <c r="J2647" s="27" t="s">
        <v>104</v>
      </c>
      <c r="K2647" s="29">
        <v>17706</v>
      </c>
      <c r="L2647" s="31">
        <v>1060449.5099993772</v>
      </c>
      <c r="M2647" s="31">
        <v>362657.99000106123</v>
      </c>
      <c r="N2647" s="31">
        <v>279215.60999994969</v>
      </c>
      <c r="O2647" s="34">
        <f t="shared" si="348"/>
        <v>0.34198515495685811</v>
      </c>
      <c r="P2647" s="34">
        <f t="shared" si="349"/>
        <v>0.76991440337253469</v>
      </c>
      <c r="Q2647" s="34">
        <f t="shared" si="350"/>
        <v>0.65801484504314189</v>
      </c>
      <c r="R2647" s="46">
        <f t="shared" si="351"/>
        <v>15.769547610976488</v>
      </c>
    </row>
    <row r="2648" spans="2:18" ht="12.75" customHeight="1" x14ac:dyDescent="0.25">
      <c r="B2648" s="17" t="s">
        <v>0</v>
      </c>
      <c r="C2648" s="44" t="s">
        <v>20</v>
      </c>
      <c r="D2648" s="22" t="s">
        <v>9</v>
      </c>
      <c r="E2648" s="20">
        <v>2</v>
      </c>
      <c r="F2648" s="17" t="s">
        <v>345</v>
      </c>
      <c r="G2648" s="17" t="s">
        <v>345</v>
      </c>
      <c r="H2648" s="17" t="s">
        <v>346</v>
      </c>
      <c r="I2648" s="17" t="s">
        <v>347</v>
      </c>
      <c r="J2648" s="27" t="s">
        <v>21</v>
      </c>
      <c r="K2648" s="29">
        <v>8356</v>
      </c>
      <c r="L2648" s="31">
        <v>1071308.7000001229</v>
      </c>
      <c r="M2648" s="31">
        <v>205909.72999969925</v>
      </c>
      <c r="N2648" s="31">
        <v>159210.82000036159</v>
      </c>
      <c r="O2648" s="34">
        <f t="shared" si="348"/>
        <v>0.19220391844075907</v>
      </c>
      <c r="P2648" s="34">
        <f t="shared" si="349"/>
        <v>0.77320688051309738</v>
      </c>
      <c r="Q2648" s="34">
        <f t="shared" si="350"/>
        <v>0.80779608155924087</v>
      </c>
      <c r="R2648" s="46">
        <f t="shared" si="351"/>
        <v>19.053472953609575</v>
      </c>
    </row>
    <row r="2649" spans="2:18" ht="12.75" customHeight="1" x14ac:dyDescent="0.25">
      <c r="B2649" s="17" t="s">
        <v>0</v>
      </c>
      <c r="C2649" s="44" t="s">
        <v>30</v>
      </c>
      <c r="D2649" s="22" t="s">
        <v>9</v>
      </c>
      <c r="E2649" s="20">
        <v>2</v>
      </c>
      <c r="F2649" s="17" t="s">
        <v>345</v>
      </c>
      <c r="G2649" s="17" t="s">
        <v>345</v>
      </c>
      <c r="H2649" s="17" t="s">
        <v>346</v>
      </c>
      <c r="I2649" s="17" t="s">
        <v>347</v>
      </c>
      <c r="J2649" s="27" t="s">
        <v>31</v>
      </c>
      <c r="K2649" s="29">
        <v>8240</v>
      </c>
      <c r="L2649" s="31">
        <v>472426.57999928005</v>
      </c>
      <c r="M2649" s="31">
        <v>202308.21000033023</v>
      </c>
      <c r="N2649" s="31">
        <v>151025.72999936217</v>
      </c>
      <c r="O2649" s="34">
        <f t="shared" si="348"/>
        <v>0.42823206518278151</v>
      </c>
      <c r="P2649" s="34">
        <f t="shared" si="349"/>
        <v>0.74651310492597234</v>
      </c>
      <c r="Q2649" s="34">
        <f t="shared" si="350"/>
        <v>0.57176793481721844</v>
      </c>
      <c r="R2649" s="46">
        <f t="shared" si="351"/>
        <v>18.328365291184731</v>
      </c>
    </row>
    <row r="2650" spans="2:18" ht="12.75" customHeight="1" x14ac:dyDescent="0.25">
      <c r="B2650" s="17" t="s">
        <v>0</v>
      </c>
      <c r="C2650" s="44" t="s">
        <v>170</v>
      </c>
      <c r="D2650" s="22" t="s">
        <v>9</v>
      </c>
      <c r="E2650" s="20">
        <v>2</v>
      </c>
      <c r="F2650" s="17" t="s">
        <v>345</v>
      </c>
      <c r="G2650" s="17" t="s">
        <v>345</v>
      </c>
      <c r="H2650" s="17" t="s">
        <v>346</v>
      </c>
      <c r="I2650" s="17" t="s">
        <v>347</v>
      </c>
      <c r="J2650" s="27" t="s">
        <v>171</v>
      </c>
      <c r="K2650" s="29">
        <v>3629</v>
      </c>
      <c r="L2650" s="31">
        <v>356095.45000024</v>
      </c>
      <c r="M2650" s="31">
        <v>169335.239996827</v>
      </c>
      <c r="N2650" s="31">
        <v>130305.55999990299</v>
      </c>
      <c r="O2650" s="34">
        <f t="shared" si="348"/>
        <v>0.47553328748433288</v>
      </c>
      <c r="P2650" s="34">
        <f t="shared" si="349"/>
        <v>0.76951235904791382</v>
      </c>
      <c r="Q2650" s="34">
        <f t="shared" si="350"/>
        <v>0.52446671251566712</v>
      </c>
      <c r="R2650" s="46">
        <f t="shared" si="351"/>
        <v>35.906740148774595</v>
      </c>
    </row>
    <row r="2651" spans="2:18" ht="12.75" customHeight="1" x14ac:dyDescent="0.25">
      <c r="B2651" s="17" t="s">
        <v>0</v>
      </c>
      <c r="C2651" s="44" t="s">
        <v>105</v>
      </c>
      <c r="D2651" s="22" t="s">
        <v>9</v>
      </c>
      <c r="E2651" s="20">
        <v>2</v>
      </c>
      <c r="F2651" s="17" t="s">
        <v>345</v>
      </c>
      <c r="G2651" s="17" t="s">
        <v>345</v>
      </c>
      <c r="H2651" s="17" t="s">
        <v>346</v>
      </c>
      <c r="I2651" s="17" t="s">
        <v>347</v>
      </c>
      <c r="J2651" s="27" t="s">
        <v>106</v>
      </c>
      <c r="K2651" s="29">
        <v>4866</v>
      </c>
      <c r="L2651" s="31">
        <v>469551.06000007107</v>
      </c>
      <c r="M2651" s="31">
        <v>149390.64999980401</v>
      </c>
      <c r="N2651" s="31">
        <v>114197.16000055101</v>
      </c>
      <c r="O2651" s="34">
        <f t="shared" si="348"/>
        <v>0.31815634704302742</v>
      </c>
      <c r="P2651" s="34">
        <f t="shared" si="349"/>
        <v>0.76441972774534972</v>
      </c>
      <c r="Q2651" s="34">
        <f t="shared" si="350"/>
        <v>0.68184365295697258</v>
      </c>
      <c r="R2651" s="46">
        <f t="shared" si="351"/>
        <v>23.468384710347514</v>
      </c>
    </row>
    <row r="2652" spans="2:18" ht="12.75" customHeight="1" x14ac:dyDescent="0.25">
      <c r="B2652" s="17" t="s">
        <v>0</v>
      </c>
      <c r="C2652" s="44" t="s">
        <v>50</v>
      </c>
      <c r="D2652" s="22" t="s">
        <v>9</v>
      </c>
      <c r="E2652" s="20">
        <v>2</v>
      </c>
      <c r="F2652" s="17" t="s">
        <v>345</v>
      </c>
      <c r="G2652" s="17" t="s">
        <v>345</v>
      </c>
      <c r="H2652" s="17" t="s">
        <v>346</v>
      </c>
      <c r="I2652" s="17" t="s">
        <v>347</v>
      </c>
      <c r="J2652" s="27" t="s">
        <v>51</v>
      </c>
      <c r="K2652" s="29">
        <v>5296</v>
      </c>
      <c r="L2652" s="31">
        <v>490358.56999993999</v>
      </c>
      <c r="M2652" s="31">
        <v>111651.07999895001</v>
      </c>
      <c r="N2652" s="31">
        <v>84966.710000834006</v>
      </c>
      <c r="O2652" s="34">
        <f t="shared" si="348"/>
        <v>0.22769272697520851</v>
      </c>
      <c r="P2652" s="34">
        <f t="shared" si="349"/>
        <v>0.76100213273022577</v>
      </c>
      <c r="Q2652" s="34">
        <f t="shared" si="350"/>
        <v>0.77230727302479152</v>
      </c>
      <c r="R2652" s="46">
        <f t="shared" si="351"/>
        <v>16.043563066622735</v>
      </c>
    </row>
    <row r="2653" spans="2:18" ht="12.75" customHeight="1" x14ac:dyDescent="0.25">
      <c r="B2653" s="17" t="s">
        <v>0</v>
      </c>
      <c r="C2653" s="44" t="s">
        <v>74</v>
      </c>
      <c r="D2653" s="22" t="s">
        <v>9</v>
      </c>
      <c r="E2653" s="20">
        <v>2</v>
      </c>
      <c r="F2653" s="17" t="s">
        <v>345</v>
      </c>
      <c r="G2653" s="17" t="s">
        <v>345</v>
      </c>
      <c r="H2653" s="17" t="s">
        <v>346</v>
      </c>
      <c r="I2653" s="17" t="s">
        <v>347</v>
      </c>
      <c r="J2653" s="27" t="s">
        <v>75</v>
      </c>
      <c r="K2653" s="29">
        <v>3138</v>
      </c>
      <c r="L2653" s="31">
        <v>165892.26000079402</v>
      </c>
      <c r="M2653" s="31">
        <v>81227.369999376009</v>
      </c>
      <c r="N2653" s="31">
        <v>61743.080000182003</v>
      </c>
      <c r="O2653" s="34">
        <f t="shared" si="348"/>
        <v>0.48963929962125552</v>
      </c>
      <c r="P2653" s="34">
        <f t="shared" si="349"/>
        <v>0.76012654356107201</v>
      </c>
      <c r="Q2653" s="34">
        <f t="shared" si="350"/>
        <v>0.51036070037874448</v>
      </c>
      <c r="R2653" s="46">
        <f t="shared" si="351"/>
        <v>19.675933715800511</v>
      </c>
    </row>
    <row r="2654" spans="2:18" ht="12.75" customHeight="1" x14ac:dyDescent="0.25">
      <c r="B2654" s="17" t="s">
        <v>0</v>
      </c>
      <c r="C2654" s="44" t="s">
        <v>7</v>
      </c>
      <c r="D2654" s="22" t="s">
        <v>9</v>
      </c>
      <c r="E2654" s="20">
        <v>2</v>
      </c>
      <c r="F2654" s="17" t="s">
        <v>345</v>
      </c>
      <c r="G2654" s="17" t="s">
        <v>345</v>
      </c>
      <c r="H2654" s="17" t="s">
        <v>346</v>
      </c>
      <c r="I2654" s="17" t="s">
        <v>347</v>
      </c>
      <c r="J2654" s="27" t="s">
        <v>8</v>
      </c>
      <c r="K2654" s="29">
        <v>2907</v>
      </c>
      <c r="L2654" s="31">
        <v>373259.47000003594</v>
      </c>
      <c r="M2654" s="31">
        <v>72787.280000432598</v>
      </c>
      <c r="N2654" s="31">
        <v>57578.329999553011</v>
      </c>
      <c r="O2654" s="34">
        <f t="shared" si="348"/>
        <v>0.19500450986662332</v>
      </c>
      <c r="P2654" s="34">
        <f t="shared" si="349"/>
        <v>0.79104934267650617</v>
      </c>
      <c r="Q2654" s="34">
        <f t="shared" si="350"/>
        <v>0.80499549013337668</v>
      </c>
      <c r="R2654" s="46">
        <f t="shared" si="351"/>
        <v>19.80678706554971</v>
      </c>
    </row>
    <row r="2655" spans="2:18" ht="12.75" customHeight="1" x14ac:dyDescent="0.25">
      <c r="B2655" s="17" t="s">
        <v>0</v>
      </c>
      <c r="C2655" s="44" t="s">
        <v>114</v>
      </c>
      <c r="D2655" s="22" t="s">
        <v>9</v>
      </c>
      <c r="E2655" s="20">
        <v>2</v>
      </c>
      <c r="F2655" s="17" t="s">
        <v>345</v>
      </c>
      <c r="G2655" s="17" t="s">
        <v>345</v>
      </c>
      <c r="H2655" s="17" t="s">
        <v>346</v>
      </c>
      <c r="I2655" s="17" t="s">
        <v>347</v>
      </c>
      <c r="J2655" s="27" t="s">
        <v>118</v>
      </c>
      <c r="K2655" s="29">
        <v>2803</v>
      </c>
      <c r="L2655" s="31">
        <v>235860.43999990297</v>
      </c>
      <c r="M2655" s="31">
        <v>73435.129999857003</v>
      </c>
      <c r="N2655" s="31">
        <v>57109.029999585888</v>
      </c>
      <c r="O2655" s="34">
        <f t="shared" si="348"/>
        <v>0.31134992370864401</v>
      </c>
      <c r="P2655" s="34">
        <f t="shared" si="349"/>
        <v>0.77767997414448775</v>
      </c>
      <c r="Q2655" s="34">
        <f t="shared" si="350"/>
        <v>0.68865007629135599</v>
      </c>
      <c r="R2655" s="46">
        <f t="shared" si="351"/>
        <v>20.374252586366708</v>
      </c>
    </row>
    <row r="2656" spans="2:18" ht="12.75" customHeight="1" x14ac:dyDescent="0.25">
      <c r="B2656" s="17" t="s">
        <v>0</v>
      </c>
      <c r="C2656" s="44" t="s">
        <v>72</v>
      </c>
      <c r="D2656" s="22" t="s">
        <v>9</v>
      </c>
      <c r="E2656" s="20">
        <v>2</v>
      </c>
      <c r="F2656" s="17" t="s">
        <v>345</v>
      </c>
      <c r="G2656" s="17" t="s">
        <v>345</v>
      </c>
      <c r="H2656" s="17" t="s">
        <v>346</v>
      </c>
      <c r="I2656" s="17" t="s">
        <v>347</v>
      </c>
      <c r="J2656" s="27" t="s">
        <v>73</v>
      </c>
      <c r="K2656" s="29">
        <v>2546</v>
      </c>
      <c r="L2656" s="31">
        <v>195042.99999995501</v>
      </c>
      <c r="M2656" s="31">
        <v>73694.949999828983</v>
      </c>
      <c r="N2656" s="31">
        <v>55858.060000457001</v>
      </c>
      <c r="O2656" s="34">
        <f t="shared" si="348"/>
        <v>0.37783950205773076</v>
      </c>
      <c r="P2656" s="34">
        <f t="shared" si="349"/>
        <v>0.7579631983003805</v>
      </c>
      <c r="Q2656" s="34">
        <f t="shared" si="350"/>
        <v>0.62216049794226924</v>
      </c>
      <c r="R2656" s="46">
        <f t="shared" si="351"/>
        <v>21.93953652806638</v>
      </c>
    </row>
    <row r="2657" spans="2:18" ht="12.75" customHeight="1" x14ac:dyDescent="0.25">
      <c r="B2657" s="17" t="s">
        <v>0</v>
      </c>
      <c r="C2657" s="44" t="s">
        <v>16</v>
      </c>
      <c r="D2657" s="22" t="s">
        <v>9</v>
      </c>
      <c r="E2657" s="20">
        <v>2</v>
      </c>
      <c r="F2657" s="17" t="s">
        <v>345</v>
      </c>
      <c r="G2657" s="17" t="s">
        <v>345</v>
      </c>
      <c r="H2657" s="17" t="s">
        <v>346</v>
      </c>
      <c r="I2657" s="17" t="s">
        <v>347</v>
      </c>
      <c r="J2657" s="27" t="s">
        <v>17</v>
      </c>
      <c r="K2657" s="29">
        <v>2125</v>
      </c>
      <c r="L2657" s="31">
        <v>219256.66000081899</v>
      </c>
      <c r="M2657" s="31">
        <v>58424.450000249999</v>
      </c>
      <c r="N2657" s="31">
        <v>45070.350000211998</v>
      </c>
      <c r="O2657" s="34">
        <f t="shared" si="348"/>
        <v>0.26646602205849423</v>
      </c>
      <c r="P2657" s="34">
        <f t="shared" si="349"/>
        <v>0.77142959839620473</v>
      </c>
      <c r="Q2657" s="34">
        <f t="shared" si="350"/>
        <v>0.73353397794150577</v>
      </c>
      <c r="R2657" s="46">
        <f t="shared" si="351"/>
        <v>21.209576470687999</v>
      </c>
    </row>
    <row r="2658" spans="2:18" ht="12.75" customHeight="1" x14ac:dyDescent="0.25">
      <c r="B2658" s="17" t="s">
        <v>0</v>
      </c>
      <c r="C2658" s="44" t="s">
        <v>68</v>
      </c>
      <c r="D2658" s="22" t="s">
        <v>9</v>
      </c>
      <c r="E2658" s="20">
        <v>2</v>
      </c>
      <c r="F2658" s="17" t="s">
        <v>345</v>
      </c>
      <c r="G2658" s="17" t="s">
        <v>345</v>
      </c>
      <c r="H2658" s="17" t="s">
        <v>346</v>
      </c>
      <c r="I2658" s="17" t="s">
        <v>347</v>
      </c>
      <c r="J2658" s="27" t="s">
        <v>69</v>
      </c>
      <c r="K2658" s="29">
        <v>1881</v>
      </c>
      <c r="L2658" s="31">
        <v>282531.79999784002</v>
      </c>
      <c r="M2658" s="31">
        <v>48322.209999853207</v>
      </c>
      <c r="N2658" s="31">
        <v>35946.759999579197</v>
      </c>
      <c r="O2658" s="34">
        <f t="shared" si="348"/>
        <v>0.17103281825345903</v>
      </c>
      <c r="P2658" s="34">
        <f t="shared" si="349"/>
        <v>0.74389726793721556</v>
      </c>
      <c r="Q2658" s="34">
        <f t="shared" si="350"/>
        <v>0.82896718174654094</v>
      </c>
      <c r="R2658" s="46">
        <f t="shared" si="351"/>
        <v>19.11045188707028</v>
      </c>
    </row>
    <row r="2659" spans="2:18" ht="12.75" customHeight="1" x14ac:dyDescent="0.25">
      <c r="B2659" s="17" t="s">
        <v>0</v>
      </c>
      <c r="C2659" s="44" t="s">
        <v>94</v>
      </c>
      <c r="D2659" s="22" t="s">
        <v>9</v>
      </c>
      <c r="E2659" s="20">
        <v>2</v>
      </c>
      <c r="F2659" s="17" t="s">
        <v>345</v>
      </c>
      <c r="G2659" s="17" t="s">
        <v>345</v>
      </c>
      <c r="H2659" s="17" t="s">
        <v>346</v>
      </c>
      <c r="I2659" s="17" t="s">
        <v>347</v>
      </c>
      <c r="J2659" s="27" t="s">
        <v>95</v>
      </c>
      <c r="K2659" s="29">
        <v>1186</v>
      </c>
      <c r="L2659" s="31">
        <v>93239.999999975989</v>
      </c>
      <c r="M2659" s="31">
        <v>27957.649999563</v>
      </c>
      <c r="N2659" s="31">
        <v>21852.429999591699</v>
      </c>
      <c r="O2659" s="34">
        <f t="shared" si="348"/>
        <v>0.29984609609148649</v>
      </c>
      <c r="P2659" s="34">
        <f t="shared" si="349"/>
        <v>0.78162613810292603</v>
      </c>
      <c r="Q2659" s="34">
        <f t="shared" si="350"/>
        <v>0.70015390390851351</v>
      </c>
      <c r="R2659" s="46">
        <f t="shared" si="351"/>
        <v>18.425320404377487</v>
      </c>
    </row>
    <row r="2660" spans="2:18" ht="12.75" customHeight="1" x14ac:dyDescent="0.25">
      <c r="B2660" s="17" t="s">
        <v>0</v>
      </c>
      <c r="C2660" s="44" t="s">
        <v>182</v>
      </c>
      <c r="D2660" s="22" t="s">
        <v>9</v>
      </c>
      <c r="E2660" s="20">
        <v>2</v>
      </c>
      <c r="F2660" s="17" t="s">
        <v>345</v>
      </c>
      <c r="G2660" s="17" t="s">
        <v>345</v>
      </c>
      <c r="H2660" s="17" t="s">
        <v>346</v>
      </c>
      <c r="I2660" s="17" t="s">
        <v>347</v>
      </c>
      <c r="J2660" s="27" t="s">
        <v>183</v>
      </c>
      <c r="K2660" s="29">
        <v>691</v>
      </c>
      <c r="L2660" s="31">
        <v>51825</v>
      </c>
      <c r="M2660" s="31">
        <v>19046.890000211999</v>
      </c>
      <c r="N2660" s="31">
        <v>14477.58999982</v>
      </c>
      <c r="O2660" s="34">
        <f t="shared" si="348"/>
        <v>0.36752320309140374</v>
      </c>
      <c r="P2660" s="34">
        <f t="shared" si="349"/>
        <v>0.76010256790787678</v>
      </c>
      <c r="Q2660" s="34">
        <f t="shared" si="350"/>
        <v>0.63247679690859626</v>
      </c>
      <c r="R2660" s="46">
        <f t="shared" si="351"/>
        <v>20.951649782662809</v>
      </c>
    </row>
    <row r="2661" spans="2:18" ht="12.75" customHeight="1" x14ac:dyDescent="0.25">
      <c r="B2661" s="17" t="s">
        <v>0</v>
      </c>
      <c r="C2661" s="44" t="s">
        <v>70</v>
      </c>
      <c r="D2661" s="22" t="s">
        <v>9</v>
      </c>
      <c r="E2661" s="20">
        <v>2</v>
      </c>
      <c r="F2661" s="17" t="s">
        <v>345</v>
      </c>
      <c r="G2661" s="17" t="s">
        <v>345</v>
      </c>
      <c r="H2661" s="17" t="s">
        <v>346</v>
      </c>
      <c r="I2661" s="17" t="s">
        <v>347</v>
      </c>
      <c r="J2661" s="27" t="s">
        <v>71</v>
      </c>
      <c r="K2661" s="29">
        <v>542</v>
      </c>
      <c r="L2661" s="31">
        <v>48504.000000136002</v>
      </c>
      <c r="M2661" s="31">
        <v>14795.560000102001</v>
      </c>
      <c r="N2661" s="31">
        <v>11700.94000027</v>
      </c>
      <c r="O2661" s="34">
        <f t="shared" si="348"/>
        <v>0.30503793501691645</v>
      </c>
      <c r="P2661" s="34">
        <f t="shared" si="349"/>
        <v>0.79084130645878448</v>
      </c>
      <c r="Q2661" s="34">
        <f t="shared" si="350"/>
        <v>0.69496206498308355</v>
      </c>
      <c r="R2661" s="46">
        <f t="shared" si="351"/>
        <v>21.588450184999999</v>
      </c>
    </row>
    <row r="2662" spans="2:18" ht="12.75" customHeight="1" x14ac:dyDescent="0.25">
      <c r="B2662" s="17" t="s">
        <v>0</v>
      </c>
      <c r="C2662" s="44" t="s">
        <v>14</v>
      </c>
      <c r="D2662" s="22" t="s">
        <v>9</v>
      </c>
      <c r="E2662" s="20">
        <v>2</v>
      </c>
      <c r="F2662" s="17" t="s">
        <v>345</v>
      </c>
      <c r="G2662" s="17" t="s">
        <v>345</v>
      </c>
      <c r="H2662" s="17" t="s">
        <v>346</v>
      </c>
      <c r="I2662" s="17" t="s">
        <v>347</v>
      </c>
      <c r="J2662" s="27" t="s">
        <v>15</v>
      </c>
      <c r="K2662" s="29">
        <v>551</v>
      </c>
      <c r="L2662" s="31">
        <v>27689.88</v>
      </c>
      <c r="M2662" s="31">
        <v>14568.189999978</v>
      </c>
      <c r="N2662" s="31">
        <v>11443.760000107999</v>
      </c>
      <c r="O2662" s="34">
        <f t="shared" si="348"/>
        <v>0.52611965093304847</v>
      </c>
      <c r="P2662" s="34">
        <f t="shared" si="349"/>
        <v>0.78553066648123626</v>
      </c>
      <c r="Q2662" s="34">
        <f t="shared" si="350"/>
        <v>0.47388034906695153</v>
      </c>
      <c r="R2662" s="46">
        <f t="shared" si="351"/>
        <v>20.769074410359345</v>
      </c>
    </row>
    <row r="2663" spans="2:18" ht="12.75" customHeight="1" x14ac:dyDescent="0.25">
      <c r="B2663" s="17" t="s">
        <v>0</v>
      </c>
      <c r="C2663" s="44" t="s">
        <v>166</v>
      </c>
      <c r="D2663" s="22" t="s">
        <v>9</v>
      </c>
      <c r="E2663" s="20">
        <v>2</v>
      </c>
      <c r="F2663" s="17" t="s">
        <v>345</v>
      </c>
      <c r="G2663" s="17" t="s">
        <v>345</v>
      </c>
      <c r="H2663" s="17" t="s">
        <v>346</v>
      </c>
      <c r="I2663" s="17" t="s">
        <v>347</v>
      </c>
      <c r="J2663" s="27" t="s">
        <v>167</v>
      </c>
      <c r="K2663" s="29">
        <v>545</v>
      </c>
      <c r="L2663" s="31">
        <v>52985</v>
      </c>
      <c r="M2663" s="31">
        <v>14715.419999915001</v>
      </c>
      <c r="N2663" s="31">
        <v>11430.70999988</v>
      </c>
      <c r="O2663" s="34">
        <f t="shared" si="348"/>
        <v>0.27772803623506653</v>
      </c>
      <c r="P2663" s="34">
        <f t="shared" si="349"/>
        <v>0.77678448864837202</v>
      </c>
      <c r="Q2663" s="34">
        <f t="shared" si="350"/>
        <v>0.72227196376493352</v>
      </c>
      <c r="R2663" s="46">
        <f t="shared" si="351"/>
        <v>20.973779816293579</v>
      </c>
    </row>
    <row r="2664" spans="2:18" ht="12.75" customHeight="1" x14ac:dyDescent="0.25">
      <c r="B2664" s="17" t="s">
        <v>0</v>
      </c>
      <c r="C2664" s="44" t="s">
        <v>56</v>
      </c>
      <c r="D2664" s="22" t="s">
        <v>9</v>
      </c>
      <c r="E2664" s="20">
        <v>2</v>
      </c>
      <c r="F2664" s="17" t="s">
        <v>345</v>
      </c>
      <c r="G2664" s="17" t="s">
        <v>345</v>
      </c>
      <c r="H2664" s="17" t="s">
        <v>346</v>
      </c>
      <c r="I2664" s="17" t="s">
        <v>347</v>
      </c>
      <c r="J2664" s="27" t="s">
        <v>57</v>
      </c>
      <c r="K2664" s="29">
        <v>421</v>
      </c>
      <c r="L2664" s="31">
        <v>45320</v>
      </c>
      <c r="M2664" s="31">
        <v>13735.080000057002</v>
      </c>
      <c r="N2664" s="31">
        <v>10946.050000138999</v>
      </c>
      <c r="O2664" s="34">
        <f t="shared" si="348"/>
        <v>0.30306884377883941</v>
      </c>
      <c r="P2664" s="34">
        <f t="shared" si="349"/>
        <v>0.79694111720452832</v>
      </c>
      <c r="Q2664" s="34">
        <f t="shared" si="350"/>
        <v>0.69693115622116064</v>
      </c>
      <c r="R2664" s="46">
        <f t="shared" si="351"/>
        <v>26.00011876517577</v>
      </c>
    </row>
    <row r="2665" spans="2:18" ht="12.75" customHeight="1" x14ac:dyDescent="0.25">
      <c r="B2665" s="17" t="s">
        <v>0</v>
      </c>
      <c r="C2665" s="44" t="s">
        <v>24</v>
      </c>
      <c r="D2665" s="22" t="s">
        <v>9</v>
      </c>
      <c r="E2665" s="20">
        <v>2</v>
      </c>
      <c r="F2665" s="17" t="s">
        <v>345</v>
      </c>
      <c r="G2665" s="17" t="s">
        <v>345</v>
      </c>
      <c r="H2665" s="17" t="s">
        <v>346</v>
      </c>
      <c r="I2665" s="17" t="s">
        <v>347</v>
      </c>
      <c r="J2665" s="27" t="s">
        <v>25</v>
      </c>
      <c r="K2665" s="29">
        <v>185</v>
      </c>
      <c r="L2665" s="31">
        <v>12589.82</v>
      </c>
      <c r="M2665" s="31">
        <v>6151.9800000369996</v>
      </c>
      <c r="N2665" s="31">
        <v>4765.0700000000006</v>
      </c>
      <c r="O2665" s="34">
        <f t="shared" si="348"/>
        <v>0.48864717684899384</v>
      </c>
      <c r="P2665" s="34">
        <f t="shared" si="349"/>
        <v>0.77455875993929468</v>
      </c>
      <c r="Q2665" s="34">
        <f t="shared" si="350"/>
        <v>0.51135282315100616</v>
      </c>
      <c r="R2665" s="46">
        <f t="shared" si="351"/>
        <v>25.757135135135137</v>
      </c>
    </row>
    <row r="2666" spans="2:18" ht="12.75" customHeight="1" x14ac:dyDescent="0.25">
      <c r="B2666" s="17" t="s">
        <v>0</v>
      </c>
      <c r="C2666" s="44" t="s">
        <v>74</v>
      </c>
      <c r="D2666" s="22" t="s">
        <v>2</v>
      </c>
      <c r="E2666" s="20">
        <v>1</v>
      </c>
      <c r="F2666" s="17" t="s">
        <v>345</v>
      </c>
      <c r="G2666" s="17" t="s">
        <v>345</v>
      </c>
      <c r="H2666" s="17" t="s">
        <v>346</v>
      </c>
      <c r="I2666" s="17" t="s">
        <v>347</v>
      </c>
      <c r="J2666" s="27" t="s">
        <v>75</v>
      </c>
      <c r="K2666" s="29">
        <v>190</v>
      </c>
      <c r="L2666" s="31">
        <v>14250</v>
      </c>
      <c r="M2666" s="31">
        <v>5898.6099999099997</v>
      </c>
      <c r="N2666" s="31">
        <v>4529.20999992</v>
      </c>
      <c r="O2666" s="34">
        <f t="shared" si="348"/>
        <v>0.41393754385333331</v>
      </c>
      <c r="P2666" s="34">
        <f t="shared" si="349"/>
        <v>0.76784361061150108</v>
      </c>
      <c r="Q2666" s="34">
        <f t="shared" si="350"/>
        <v>0.58606245614666674</v>
      </c>
      <c r="R2666" s="46">
        <f t="shared" si="351"/>
        <v>23.837947367999998</v>
      </c>
    </row>
    <row r="2667" spans="2:18" ht="12.75" customHeight="1" x14ac:dyDescent="0.25">
      <c r="B2667" s="17" t="s">
        <v>0</v>
      </c>
      <c r="C2667" s="44" t="s">
        <v>36</v>
      </c>
      <c r="D2667" s="22" t="s">
        <v>9</v>
      </c>
      <c r="E2667" s="20">
        <v>2</v>
      </c>
      <c r="F2667" s="17" t="s">
        <v>345</v>
      </c>
      <c r="G2667" s="17" t="s">
        <v>345</v>
      </c>
      <c r="H2667" s="17" t="s">
        <v>346</v>
      </c>
      <c r="I2667" s="17" t="s">
        <v>347</v>
      </c>
      <c r="J2667" s="27" t="s">
        <v>37</v>
      </c>
      <c r="K2667" s="29">
        <v>80</v>
      </c>
      <c r="L2667" s="31">
        <v>5600</v>
      </c>
      <c r="M2667" s="31">
        <v>2237.46</v>
      </c>
      <c r="N2667" s="31">
        <v>1738.1200000000001</v>
      </c>
      <c r="O2667" s="34">
        <f t="shared" si="348"/>
        <v>0.39954642857142858</v>
      </c>
      <c r="P2667" s="34">
        <f t="shared" si="349"/>
        <v>0.77682729523656291</v>
      </c>
      <c r="Q2667" s="34">
        <f t="shared" si="350"/>
        <v>0.60045357142857148</v>
      </c>
      <c r="R2667" s="46">
        <f t="shared" si="351"/>
        <v>21.726500000000001</v>
      </c>
    </row>
    <row r="2668" spans="2:18" ht="12.75" customHeight="1" x14ac:dyDescent="0.25">
      <c r="B2668" s="17" t="s">
        <v>0</v>
      </c>
      <c r="C2668" s="44" t="s">
        <v>110</v>
      </c>
      <c r="D2668" s="22" t="s">
        <v>9</v>
      </c>
      <c r="E2668" s="20">
        <v>2</v>
      </c>
      <c r="F2668" s="17" t="s">
        <v>345</v>
      </c>
      <c r="G2668" s="17" t="s">
        <v>345</v>
      </c>
      <c r="H2668" s="17" t="s">
        <v>346</v>
      </c>
      <c r="I2668" s="17" t="s">
        <v>347</v>
      </c>
      <c r="J2668" s="27" t="s">
        <v>111</v>
      </c>
      <c r="K2668" s="29">
        <v>73</v>
      </c>
      <c r="L2668" s="31">
        <v>5063</v>
      </c>
      <c r="M2668" s="31">
        <v>1312.5999999810001</v>
      </c>
      <c r="N2668" s="31">
        <v>934.12999999249996</v>
      </c>
      <c r="O2668" s="34">
        <f t="shared" si="348"/>
        <v>0.25925340706715388</v>
      </c>
      <c r="P2668" s="34">
        <f t="shared" si="349"/>
        <v>0.71166387323329383</v>
      </c>
      <c r="Q2668" s="34">
        <f t="shared" si="350"/>
        <v>0.74074659293284606</v>
      </c>
      <c r="R2668" s="46">
        <f t="shared" si="351"/>
        <v>12.796301369760274</v>
      </c>
    </row>
    <row r="2669" spans="2:18" ht="12.75" customHeight="1" x14ac:dyDescent="0.25">
      <c r="B2669" s="17" t="s">
        <v>0</v>
      </c>
      <c r="C2669" s="44" t="s">
        <v>137</v>
      </c>
      <c r="D2669" s="22" t="s">
        <v>9</v>
      </c>
      <c r="E2669" s="20">
        <v>2</v>
      </c>
      <c r="F2669" s="17" t="s">
        <v>345</v>
      </c>
      <c r="G2669" s="17" t="s">
        <v>345</v>
      </c>
      <c r="H2669" s="17" t="s">
        <v>346</v>
      </c>
      <c r="I2669" s="17" t="s">
        <v>347</v>
      </c>
      <c r="J2669" s="27" t="s">
        <v>138</v>
      </c>
      <c r="K2669" s="29">
        <v>23</v>
      </c>
      <c r="L2669" s="31">
        <v>2377.0499999999997</v>
      </c>
      <c r="M2669" s="31">
        <v>744.729999991</v>
      </c>
      <c r="N2669" s="31">
        <v>567.60000001000003</v>
      </c>
      <c r="O2669" s="34">
        <f t="shared" si="348"/>
        <v>0.31330009885824872</v>
      </c>
      <c r="P2669" s="34">
        <f t="shared" si="349"/>
        <v>0.76215541205115866</v>
      </c>
      <c r="Q2669" s="34">
        <f t="shared" si="350"/>
        <v>0.68669990114175128</v>
      </c>
      <c r="R2669" s="46">
        <f t="shared" si="351"/>
        <v>24.678260870000003</v>
      </c>
    </row>
    <row r="2670" spans="2:18" ht="12.75" customHeight="1" thickBot="1" x14ac:dyDescent="0.3">
      <c r="B2670" s="15" t="s">
        <v>0</v>
      </c>
      <c r="C2670" s="50" t="s">
        <v>196</v>
      </c>
      <c r="D2670" s="19" t="s">
        <v>2</v>
      </c>
      <c r="E2670" s="16">
        <v>1</v>
      </c>
      <c r="F2670" s="15" t="s">
        <v>345</v>
      </c>
      <c r="G2670" s="15" t="s">
        <v>345</v>
      </c>
      <c r="H2670" s="15" t="s">
        <v>346</v>
      </c>
      <c r="I2670" s="15" t="s">
        <v>347</v>
      </c>
      <c r="J2670" s="24" t="s">
        <v>197</v>
      </c>
      <c r="K2670" s="26">
        <v>18</v>
      </c>
      <c r="L2670" s="28">
        <v>1897.00000002</v>
      </c>
      <c r="M2670" s="28">
        <v>641.64000000599992</v>
      </c>
      <c r="N2670" s="28">
        <v>511.07999999399999</v>
      </c>
      <c r="O2670" s="32">
        <f t="shared" si="348"/>
        <v>0.33823932524999217</v>
      </c>
      <c r="P2670" s="32">
        <f t="shared" si="349"/>
        <v>0.79652141386014108</v>
      </c>
      <c r="Q2670" s="32">
        <f t="shared" si="350"/>
        <v>0.66176067475000777</v>
      </c>
      <c r="R2670" s="49">
        <f t="shared" si="351"/>
        <v>28.393333333000001</v>
      </c>
    </row>
    <row r="2671" spans="2:18" ht="17.25" customHeight="1" x14ac:dyDescent="0.25">
      <c r="B2671" s="48"/>
      <c r="C2671" s="58"/>
      <c r="D2671" s="51" t="s">
        <v>366</v>
      </c>
      <c r="E2671" s="52"/>
      <c r="F2671" s="52"/>
      <c r="G2671" s="53"/>
      <c r="H2671" s="53"/>
      <c r="I2671" s="53"/>
      <c r="J2671" s="54"/>
      <c r="K2671" s="55">
        <f>SUM(K2638:K2670)</f>
        <v>8717452</v>
      </c>
      <c r="L2671" s="56">
        <f>SUM(L2638:L2670)</f>
        <v>614642873.24195361</v>
      </c>
      <c r="M2671" s="56">
        <f>SUM(M2638:M2670)</f>
        <v>227045665.41501778</v>
      </c>
      <c r="N2671" s="56">
        <f>SUM(N2638:N2670)</f>
        <v>174481830.39547408</v>
      </c>
      <c r="O2671" s="57">
        <f>IFERROR(M2671/L2671,0)</f>
        <v>0.36939444887314499</v>
      </c>
      <c r="P2671" s="57">
        <f>IFERROR(N2671/M2671,0)</f>
        <v>0.7684878285455834</v>
      </c>
      <c r="Q2671" s="57">
        <f>IFERROR(1-(M2671/L2671),0)</f>
        <v>0.63060555112685501</v>
      </c>
      <c r="R2671" s="59">
        <f>IFERROR(N2671/K2671,0)</f>
        <v>20.015232707386755</v>
      </c>
    </row>
    <row r="2672" spans="2:18" ht="15.75" thickBot="1" x14ac:dyDescent="0.3">
      <c r="B2672" s="60"/>
      <c r="C2672" s="64"/>
      <c r="D2672" s="62" t="s">
        <v>347</v>
      </c>
      <c r="E2672" s="61"/>
      <c r="F2672" s="61"/>
      <c r="G2672" s="61"/>
      <c r="H2672" s="61"/>
      <c r="I2672" s="61"/>
      <c r="J2672" s="61"/>
      <c r="K2672" s="63"/>
      <c r="L2672" s="63"/>
      <c r="M2672" s="63"/>
      <c r="N2672" s="63"/>
      <c r="O2672" s="63"/>
      <c r="P2672" s="63"/>
      <c r="Q2672" s="63"/>
      <c r="R2672" s="65"/>
    </row>
    <row r="2673" spans="2:18" ht="15.75" thickBot="1" x14ac:dyDescent="0.3"/>
    <row r="2674" spans="2:18" ht="18" x14ac:dyDescent="0.25">
      <c r="B2674" s="75"/>
      <c r="C2674" s="76" t="s">
        <v>367</v>
      </c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9"/>
    </row>
    <row r="2675" spans="2:18" x14ac:dyDescent="0.25">
      <c r="B2675" s="3"/>
      <c r="C2675" s="77" t="s">
        <v>0</v>
      </c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10"/>
    </row>
    <row r="2676" spans="2:18" ht="15.75" thickBot="1" x14ac:dyDescent="0.3">
      <c r="B2676" s="3"/>
      <c r="C2676" s="11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12"/>
    </row>
    <row r="2677" spans="2:18" ht="15" customHeight="1" thickBot="1" x14ac:dyDescent="0.3">
      <c r="B2677" s="78"/>
      <c r="C2677" s="18" t="s">
        <v>368</v>
      </c>
      <c r="D2677" s="80"/>
      <c r="E2677" s="80"/>
      <c r="F2677" s="81"/>
      <c r="G2677" s="81"/>
      <c r="H2677" s="81"/>
      <c r="I2677" s="81"/>
      <c r="J2677" s="81"/>
      <c r="K2677" s="23" t="s">
        <v>358</v>
      </c>
      <c r="L2677" s="23" t="s">
        <v>359</v>
      </c>
      <c r="M2677" s="23" t="s">
        <v>360</v>
      </c>
      <c r="N2677" s="23" t="s">
        <v>361</v>
      </c>
      <c r="O2677" s="23" t="s">
        <v>362</v>
      </c>
      <c r="P2677" s="23" t="s">
        <v>363</v>
      </c>
      <c r="Q2677" s="23" t="s">
        <v>364</v>
      </c>
      <c r="R2677" s="79" t="s">
        <v>365</v>
      </c>
    </row>
    <row r="2678" spans="2:18" ht="15" customHeight="1" x14ac:dyDescent="0.25">
      <c r="B2678" s="83" t="str">
        <f>("")</f>
        <v/>
      </c>
      <c r="C2678" s="90" t="str">
        <f t="shared" ref="C2678:C2725" si="352">IF(I2678="","",I2678)</f>
        <v>Anesthesia - Anesthesia</v>
      </c>
      <c r="D2678" s="91"/>
      <c r="E2678" s="89" t="str">
        <f>("")</f>
        <v/>
      </c>
      <c r="F2678" s="85" t="str">
        <f>("")</f>
        <v/>
      </c>
      <c r="G2678" s="85" t="str">
        <f>("")</f>
        <v/>
      </c>
      <c r="H2678" s="85" t="str">
        <f>("")</f>
        <v/>
      </c>
      <c r="I2678" s="85" t="s">
        <v>5</v>
      </c>
      <c r="J2678" s="87" t="s">
        <v>77</v>
      </c>
      <c r="K2678" s="40">
        <f>K66</f>
        <v>713439</v>
      </c>
      <c r="L2678" s="41">
        <f>L66</f>
        <v>981873818.4900353</v>
      </c>
      <c r="M2678" s="41">
        <f>M66</f>
        <v>73046354.599998951</v>
      </c>
      <c r="N2678" s="41">
        <f>N66</f>
        <v>58052345.269999281</v>
      </c>
      <c r="O2678" s="42">
        <f>O66</f>
        <v>7.4394849138897046E-2</v>
      </c>
      <c r="P2678" s="42">
        <f>P66</f>
        <v>0.79473295536640121</v>
      </c>
      <c r="Q2678" s="42">
        <f>Q66</f>
        <v>0.92560515086110295</v>
      </c>
      <c r="R2678" s="45">
        <f>R66</f>
        <v>81.369739066688652</v>
      </c>
    </row>
    <row r="2679" spans="2:18" ht="15" customHeight="1" x14ac:dyDescent="0.25">
      <c r="B2679" s="82" t="str">
        <f>("")</f>
        <v/>
      </c>
      <c r="C2679" s="92" t="str">
        <f t="shared" si="352"/>
        <v>DME - Drugs Administered Through DME</v>
      </c>
      <c r="D2679" s="93"/>
      <c r="E2679" s="13" t="str">
        <f>("")</f>
        <v/>
      </c>
      <c r="F2679" s="86" t="str">
        <f>("")</f>
        <v/>
      </c>
      <c r="G2679" s="86" t="str">
        <f>("")</f>
        <v/>
      </c>
      <c r="H2679" s="86" t="str">
        <f>("")</f>
        <v/>
      </c>
      <c r="I2679" s="86" t="s">
        <v>81</v>
      </c>
      <c r="J2679" s="88" t="s">
        <v>71</v>
      </c>
      <c r="K2679" s="29">
        <f>K94</f>
        <v>51188</v>
      </c>
      <c r="L2679" s="31">
        <f>L94</f>
        <v>12496044.319179695</v>
      </c>
      <c r="M2679" s="31">
        <f>M94</f>
        <v>5684747.61593014</v>
      </c>
      <c r="N2679" s="31">
        <f>N94</f>
        <v>4496622.6150224227</v>
      </c>
      <c r="O2679" s="34">
        <f>O94</f>
        <v>0.45492377193355826</v>
      </c>
      <c r="P2679" s="34">
        <f>P94</f>
        <v>0.79099775730090771</v>
      </c>
      <c r="Q2679" s="34">
        <f>Q94</f>
        <v>0.54507622806644174</v>
      </c>
      <c r="R2679" s="46">
        <f>R94</f>
        <v>87.845249179933248</v>
      </c>
    </row>
    <row r="2680" spans="2:18" ht="15" customHeight="1" x14ac:dyDescent="0.25">
      <c r="B2680" s="82" t="str">
        <f>("")</f>
        <v/>
      </c>
      <c r="C2680" s="92" t="str">
        <f t="shared" si="352"/>
        <v>DME - Medical/Surgical Supplies</v>
      </c>
      <c r="D2680" s="93"/>
      <c r="E2680" s="13" t="str">
        <f>("")</f>
        <v/>
      </c>
      <c r="F2680" s="86" t="str">
        <f>("")</f>
        <v/>
      </c>
      <c r="G2680" s="86" t="str">
        <f>("")</f>
        <v/>
      </c>
      <c r="H2680" s="86" t="str">
        <f>("")</f>
        <v/>
      </c>
      <c r="I2680" s="86" t="s">
        <v>101</v>
      </c>
      <c r="J2680" s="88" t="s">
        <v>55</v>
      </c>
      <c r="K2680" s="29">
        <f>K111</f>
        <v>5123</v>
      </c>
      <c r="L2680" s="31">
        <f>L111</f>
        <v>520417.13999931293</v>
      </c>
      <c r="M2680" s="31">
        <f>M111</f>
        <v>298316.869998232</v>
      </c>
      <c r="N2680" s="31">
        <f>N111</f>
        <v>234355.17999923549</v>
      </c>
      <c r="O2680" s="34">
        <f>O111</f>
        <v>0.57322645060965105</v>
      </c>
      <c r="P2680" s="34">
        <f>P111</f>
        <v>0.78559144174657114</v>
      </c>
      <c r="Q2680" s="34">
        <f>Q111</f>
        <v>0.42677354939034895</v>
      </c>
      <c r="R2680" s="46">
        <f>R111</f>
        <v>45.745691977207784</v>
      </c>
    </row>
    <row r="2681" spans="2:18" ht="15" customHeight="1" x14ac:dyDescent="0.25">
      <c r="B2681" s="82" t="str">
        <f>("")</f>
        <v/>
      </c>
      <c r="C2681" s="92" t="str">
        <f t="shared" si="352"/>
        <v>DME - Orthotic Devices</v>
      </c>
      <c r="D2681" s="93"/>
      <c r="E2681" s="13" t="str">
        <f>("")</f>
        <v/>
      </c>
      <c r="F2681" s="86" t="str">
        <f>("")</f>
        <v/>
      </c>
      <c r="G2681" s="86" t="str">
        <f>("")</f>
        <v/>
      </c>
      <c r="H2681" s="86" t="str">
        <f>("")</f>
        <v/>
      </c>
      <c r="I2681" s="86" t="s">
        <v>109</v>
      </c>
      <c r="J2681" s="88" t="s">
        <v>51</v>
      </c>
      <c r="K2681" s="29">
        <f>K123</f>
        <v>3096</v>
      </c>
      <c r="L2681" s="31">
        <f>L123</f>
        <v>913402.82000001299</v>
      </c>
      <c r="M2681" s="31">
        <f>M123</f>
        <v>128329.02999962901</v>
      </c>
      <c r="N2681" s="31">
        <f>N123</f>
        <v>94602.680000048</v>
      </c>
      <c r="O2681" s="34">
        <f>O123</f>
        <v>0.14049554828353517</v>
      </c>
      <c r="P2681" s="34">
        <f>P123</f>
        <v>0.73718846001034599</v>
      </c>
      <c r="Q2681" s="34">
        <f>Q123</f>
        <v>0.85950445171646483</v>
      </c>
      <c r="R2681" s="46">
        <f>R123</f>
        <v>30.556421188645995</v>
      </c>
    </row>
    <row r="2682" spans="2:18" ht="15" customHeight="1" x14ac:dyDescent="0.25">
      <c r="B2682" s="82" t="str">
        <f>("")</f>
        <v/>
      </c>
      <c r="C2682" s="92" t="str">
        <f t="shared" si="352"/>
        <v>DME - Other DME</v>
      </c>
      <c r="D2682" s="93"/>
      <c r="E2682" s="13" t="str">
        <f>("")</f>
        <v/>
      </c>
      <c r="F2682" s="86" t="str">
        <f>("")</f>
        <v/>
      </c>
      <c r="G2682" s="86" t="str">
        <f>("")</f>
        <v/>
      </c>
      <c r="H2682" s="86" t="str">
        <f>("")</f>
        <v/>
      </c>
      <c r="I2682" s="86" t="s">
        <v>117</v>
      </c>
      <c r="J2682" s="88" t="s">
        <v>8</v>
      </c>
      <c r="K2682" s="29">
        <f>K135</f>
        <v>356</v>
      </c>
      <c r="L2682" s="31">
        <f>L135</f>
        <v>2616555.50000811</v>
      </c>
      <c r="M2682" s="31">
        <f>M135</f>
        <v>2531854.2700045602</v>
      </c>
      <c r="N2682" s="31">
        <f>N135</f>
        <v>2012245.84998963</v>
      </c>
      <c r="O2682" s="34">
        <f>O135</f>
        <v>0.96762872791985988</v>
      </c>
      <c r="P2682" s="34">
        <f>P135</f>
        <v>0.79477159243687656</v>
      </c>
      <c r="Q2682" s="34">
        <f>Q135</f>
        <v>3.2371272080140123E-2</v>
      </c>
      <c r="R2682" s="46">
        <f>R135</f>
        <v>5652.3759831169382</v>
      </c>
    </row>
    <row r="2683" spans="2:18" ht="15" customHeight="1" x14ac:dyDescent="0.25">
      <c r="B2683" s="82" t="str">
        <f>("")</f>
        <v/>
      </c>
      <c r="C2683" s="92" t="str">
        <f t="shared" si="352"/>
        <v>E&amp;M - Behavioral Health Services</v>
      </c>
      <c r="D2683" s="93"/>
      <c r="E2683" s="13" t="str">
        <f>("")</f>
        <v/>
      </c>
      <c r="F2683" s="86" t="str">
        <f>("")</f>
        <v/>
      </c>
      <c r="G2683" s="86" t="str">
        <f>("")</f>
        <v/>
      </c>
      <c r="H2683" s="86" t="str">
        <f>("")</f>
        <v/>
      </c>
      <c r="I2683" s="86" t="s">
        <v>123</v>
      </c>
      <c r="J2683" s="88" t="s">
        <v>113</v>
      </c>
      <c r="K2683" s="29">
        <f>K217</f>
        <v>1193653</v>
      </c>
      <c r="L2683" s="31">
        <f>L217</f>
        <v>177494858.56007561</v>
      </c>
      <c r="M2683" s="31">
        <f>M217</f>
        <v>83463352.369997516</v>
      </c>
      <c r="N2683" s="31">
        <f>N217</f>
        <v>65106288.280018605</v>
      </c>
      <c r="O2683" s="34">
        <f>O217</f>
        <v>0.47022969029690614</v>
      </c>
      <c r="P2683" s="34">
        <f>P217</f>
        <v>0.78005839007519062</v>
      </c>
      <c r="Q2683" s="34">
        <f>Q217</f>
        <v>0.52977030970309391</v>
      </c>
      <c r="R2683" s="46">
        <f>R217</f>
        <v>54.543731117853014</v>
      </c>
    </row>
    <row r="2684" spans="2:18" ht="15" customHeight="1" x14ac:dyDescent="0.25">
      <c r="B2684" s="82" t="str">
        <f>("")</f>
        <v/>
      </c>
      <c r="C2684" s="92" t="str">
        <f t="shared" si="352"/>
        <v>E&amp;M - Care Management/Coordination</v>
      </c>
      <c r="D2684" s="93"/>
      <c r="E2684" s="13" t="str">
        <f>("")</f>
        <v/>
      </c>
      <c r="F2684" s="86" t="str">
        <f>("")</f>
        <v/>
      </c>
      <c r="G2684" s="86" t="str">
        <f>("")</f>
        <v/>
      </c>
      <c r="H2684" s="86" t="str">
        <f>("")</f>
        <v/>
      </c>
      <c r="I2684" s="86" t="s">
        <v>165</v>
      </c>
      <c r="J2684" s="88" t="s">
        <v>111</v>
      </c>
      <c r="K2684" s="29">
        <f>K347</f>
        <v>3212778</v>
      </c>
      <c r="L2684" s="31">
        <f>L347</f>
        <v>280543716.56996316</v>
      </c>
      <c r="M2684" s="31">
        <f>M347</f>
        <v>137249531.69994187</v>
      </c>
      <c r="N2684" s="31">
        <f>N347</f>
        <v>106953296.17995054</v>
      </c>
      <c r="O2684" s="34">
        <f>O347</f>
        <v>0.48922689617863535</v>
      </c>
      <c r="P2684" s="34">
        <f>P347</f>
        <v>0.77926164741876369</v>
      </c>
      <c r="Q2684" s="34">
        <f>Q347</f>
        <v>0.51077310382136465</v>
      </c>
      <c r="R2684" s="46">
        <f>R347</f>
        <v>33.289974028691226</v>
      </c>
    </row>
    <row r="2685" spans="2:18" ht="15" customHeight="1" x14ac:dyDescent="0.25">
      <c r="B2685" s="82" t="str">
        <f>("")</f>
        <v/>
      </c>
      <c r="C2685" s="92" t="str">
        <f t="shared" si="352"/>
        <v>E&amp;M - Critical Care Services</v>
      </c>
      <c r="D2685" s="93"/>
      <c r="E2685" s="13" t="str">
        <f>("")</f>
        <v/>
      </c>
      <c r="F2685" s="86" t="str">
        <f>("")</f>
        <v/>
      </c>
      <c r="G2685" s="86" t="str">
        <f>("")</f>
        <v/>
      </c>
      <c r="H2685" s="86" t="str">
        <f>("")</f>
        <v/>
      </c>
      <c r="I2685" s="86" t="s">
        <v>190</v>
      </c>
      <c r="J2685" s="88" t="s">
        <v>91</v>
      </c>
      <c r="K2685" s="29">
        <f>K397</f>
        <v>424827</v>
      </c>
      <c r="L2685" s="31">
        <f>L397</f>
        <v>447223108.48996562</v>
      </c>
      <c r="M2685" s="31">
        <f>M397</f>
        <v>85366454.230026856</v>
      </c>
      <c r="N2685" s="31">
        <f>N397</f>
        <v>67386488.259957612</v>
      </c>
      <c r="O2685" s="34">
        <f>O397</f>
        <v>0.19088113429170495</v>
      </c>
      <c r="P2685" s="34">
        <f>P397</f>
        <v>0.78937902326807718</v>
      </c>
      <c r="Q2685" s="34">
        <f>Q397</f>
        <v>0.80911886570829505</v>
      </c>
      <c r="R2685" s="46">
        <f>R397</f>
        <v>158.62101104674989</v>
      </c>
    </row>
    <row r="2686" spans="2:18" ht="15" customHeight="1" x14ac:dyDescent="0.25">
      <c r="B2686" s="82" t="str">
        <f>("")</f>
        <v/>
      </c>
      <c r="C2686" s="92" t="str">
        <f t="shared" si="352"/>
        <v>E&amp;M - E&amp;M - Miscellaneous</v>
      </c>
      <c r="D2686" s="93"/>
      <c r="E2686" s="13" t="str">
        <f>("")</f>
        <v/>
      </c>
      <c r="F2686" s="86" t="str">
        <f>("")</f>
        <v/>
      </c>
      <c r="G2686" s="86" t="str">
        <f>("")</f>
        <v/>
      </c>
      <c r="H2686" s="86" t="str">
        <f>("")</f>
        <v/>
      </c>
      <c r="I2686" s="86" t="s">
        <v>195</v>
      </c>
      <c r="J2686" s="88" t="s">
        <v>65</v>
      </c>
      <c r="K2686" s="29">
        <f>K476</f>
        <v>897783</v>
      </c>
      <c r="L2686" s="31">
        <f>L476</f>
        <v>85330608.009980753</v>
      </c>
      <c r="M2686" s="31">
        <f>M476</f>
        <v>37198297.490014888</v>
      </c>
      <c r="N2686" s="31">
        <f>N476</f>
        <v>28930137.809992384</v>
      </c>
      <c r="O2686" s="34">
        <f>O476</f>
        <v>0.43593147122148673</v>
      </c>
      <c r="P2686" s="34">
        <f>P476</f>
        <v>0.7777274703972159</v>
      </c>
      <c r="Q2686" s="34">
        <f>Q476</f>
        <v>0.56406852877851321</v>
      </c>
      <c r="R2686" s="46">
        <f>R476</f>
        <v>32.223975960774915</v>
      </c>
    </row>
    <row r="2687" spans="2:18" ht="15" customHeight="1" x14ac:dyDescent="0.25">
      <c r="B2687" s="82" t="str">
        <f>("")</f>
        <v/>
      </c>
      <c r="C2687" s="92" t="str">
        <f t="shared" si="352"/>
        <v>E&amp;M - Emergency Department Services</v>
      </c>
      <c r="D2687" s="93"/>
      <c r="E2687" s="13" t="str">
        <f>("")</f>
        <v/>
      </c>
      <c r="F2687" s="86" t="str">
        <f>("")</f>
        <v/>
      </c>
      <c r="G2687" s="86" t="str">
        <f>("")</f>
        <v/>
      </c>
      <c r="H2687" s="86" t="str">
        <f>("")</f>
        <v/>
      </c>
      <c r="I2687" s="86" t="s">
        <v>200</v>
      </c>
      <c r="J2687" s="88" t="s">
        <v>65</v>
      </c>
      <c r="K2687" s="29">
        <f>K531</f>
        <v>889911</v>
      </c>
      <c r="L2687" s="31">
        <f>L531</f>
        <v>1177097412.6296711</v>
      </c>
      <c r="M2687" s="31">
        <f>M531</f>
        <v>130888924.38996238</v>
      </c>
      <c r="N2687" s="31">
        <f>N531</f>
        <v>99668750.579951197</v>
      </c>
      <c r="O2687" s="34">
        <f>O531</f>
        <v>0.11119634023963453</v>
      </c>
      <c r="P2687" s="34">
        <f>P531</f>
        <v>0.76147581657103602</v>
      </c>
      <c r="Q2687" s="34">
        <f>Q531</f>
        <v>0.88880365976036546</v>
      </c>
      <c r="R2687" s="46">
        <f>R531</f>
        <v>111.99856005819818</v>
      </c>
    </row>
    <row r="2688" spans="2:18" ht="15" customHeight="1" x14ac:dyDescent="0.25">
      <c r="B2688" s="82" t="str">
        <f>("")</f>
        <v/>
      </c>
      <c r="C2688" s="92" t="str">
        <f t="shared" si="352"/>
        <v>E&amp;M - Home Services</v>
      </c>
      <c r="D2688" s="93"/>
      <c r="E2688" s="13" t="str">
        <f>("")</f>
        <v/>
      </c>
      <c r="F2688" s="86" t="str">
        <f>("")</f>
        <v/>
      </c>
      <c r="G2688" s="86" t="str">
        <f>("")</f>
        <v/>
      </c>
      <c r="H2688" s="86" t="str">
        <f>("")</f>
        <v/>
      </c>
      <c r="I2688" s="86" t="s">
        <v>203</v>
      </c>
      <c r="J2688" s="88" t="s">
        <v>152</v>
      </c>
      <c r="K2688" s="29">
        <f>K589</f>
        <v>774679</v>
      </c>
      <c r="L2688" s="31">
        <f>L589</f>
        <v>157711670.3899132</v>
      </c>
      <c r="M2688" s="31">
        <f>M589</f>
        <v>75048878.059948653</v>
      </c>
      <c r="N2688" s="31">
        <f>N589</f>
        <v>56132518.379981883</v>
      </c>
      <c r="O2688" s="34">
        <f>O589</f>
        <v>0.47586128454796056</v>
      </c>
      <c r="P2688" s="34">
        <f>P589</f>
        <v>0.74794613631856721</v>
      </c>
      <c r="Q2688" s="34">
        <f>Q589</f>
        <v>0.52413871545203938</v>
      </c>
      <c r="R2688" s="46">
        <f>R589</f>
        <v>72.45906805267974</v>
      </c>
    </row>
    <row r="2689" spans="2:18" ht="15" customHeight="1" x14ac:dyDescent="0.25">
      <c r="B2689" s="82" t="str">
        <f>("")</f>
        <v/>
      </c>
      <c r="C2689" s="92" t="str">
        <f t="shared" si="352"/>
        <v>E&amp;M - Hospice</v>
      </c>
      <c r="D2689" s="93"/>
      <c r="E2689" s="13" t="str">
        <f>("")</f>
        <v/>
      </c>
      <c r="F2689" s="86" t="str">
        <f>("")</f>
        <v/>
      </c>
      <c r="G2689" s="86" t="str">
        <f>("")</f>
        <v/>
      </c>
      <c r="H2689" s="86" t="str">
        <f>("")</f>
        <v/>
      </c>
      <c r="I2689" s="86" t="s">
        <v>206</v>
      </c>
      <c r="J2689" s="88" t="s">
        <v>51</v>
      </c>
      <c r="K2689" s="29">
        <f>K599</f>
        <v>2854</v>
      </c>
      <c r="L2689" s="31">
        <f>L599</f>
        <v>499103.31000327005</v>
      </c>
      <c r="M2689" s="31">
        <f>M599</f>
        <v>254205.40999991301</v>
      </c>
      <c r="N2689" s="31">
        <f>N599</f>
        <v>193517.66000048598</v>
      </c>
      <c r="O2689" s="34">
        <f>O599</f>
        <v>0.50932423188747733</v>
      </c>
      <c r="P2689" s="34">
        <f>P599</f>
        <v>0.76126491564657184</v>
      </c>
      <c r="Q2689" s="34">
        <f>Q599</f>
        <v>0.49067576811252267</v>
      </c>
      <c r="R2689" s="46">
        <f>R599</f>
        <v>67.805767344248764</v>
      </c>
    </row>
    <row r="2690" spans="2:18" ht="15" customHeight="1" x14ac:dyDescent="0.25">
      <c r="B2690" s="82" t="str">
        <f>("")</f>
        <v/>
      </c>
      <c r="C2690" s="92" t="str">
        <f t="shared" si="352"/>
        <v>E&amp;M - Hospital Inpatient Services</v>
      </c>
      <c r="D2690" s="93"/>
      <c r="E2690" s="13" t="str">
        <f>("")</f>
        <v/>
      </c>
      <c r="F2690" s="86" t="str">
        <f>("")</f>
        <v/>
      </c>
      <c r="G2690" s="86" t="str">
        <f>("")</f>
        <v/>
      </c>
      <c r="H2690" s="86" t="str">
        <f>("")</f>
        <v/>
      </c>
      <c r="I2690" s="86" t="s">
        <v>209</v>
      </c>
      <c r="J2690" s="88" t="s">
        <v>61</v>
      </c>
      <c r="K2690" s="29">
        <f>K688</f>
        <v>6851823</v>
      </c>
      <c r="L2690" s="31">
        <f>L688</f>
        <v>1959573703.5100188</v>
      </c>
      <c r="M2690" s="31">
        <f>M688</f>
        <v>677242707.54016972</v>
      </c>
      <c r="N2690" s="31">
        <f>N688</f>
        <v>533623972.09994793</v>
      </c>
      <c r="O2690" s="34">
        <f>O688</f>
        <v>0.34560716258188301</v>
      </c>
      <c r="P2690" s="34">
        <f>P688</f>
        <v>0.78793609168290202</v>
      </c>
      <c r="Q2690" s="34">
        <f>Q688</f>
        <v>0.65439283741811693</v>
      </c>
      <c r="R2690" s="46">
        <f>R688</f>
        <v>77.880583327962199</v>
      </c>
    </row>
    <row r="2691" spans="2:18" ht="15" customHeight="1" x14ac:dyDescent="0.25">
      <c r="B2691" s="82" t="str">
        <f>("")</f>
        <v/>
      </c>
      <c r="C2691" s="92" t="str">
        <f t="shared" si="352"/>
        <v>E&amp;M - Nursing Facility Services</v>
      </c>
      <c r="D2691" s="93"/>
      <c r="E2691" s="13" t="str">
        <f>("")</f>
        <v/>
      </c>
      <c r="F2691" s="86" t="str">
        <f>("")</f>
        <v/>
      </c>
      <c r="G2691" s="86" t="str">
        <f>("")</f>
        <v/>
      </c>
      <c r="H2691" s="86" t="str">
        <f>("")</f>
        <v/>
      </c>
      <c r="I2691" s="86" t="s">
        <v>212</v>
      </c>
      <c r="J2691" s="88" t="s">
        <v>57</v>
      </c>
      <c r="K2691" s="29">
        <f>K768</f>
        <v>2224539</v>
      </c>
      <c r="L2691" s="31">
        <f>L768</f>
        <v>438182217.88000929</v>
      </c>
      <c r="M2691" s="31">
        <f>M768</f>
        <v>191867325.77991802</v>
      </c>
      <c r="N2691" s="31">
        <f>N768</f>
        <v>148905775.15997782</v>
      </c>
      <c r="O2691" s="34">
        <f>O768</f>
        <v>0.43787109095435378</v>
      </c>
      <c r="P2691" s="34">
        <f>P768</f>
        <v>0.77608719751887634</v>
      </c>
      <c r="Q2691" s="34">
        <f>Q768</f>
        <v>0.56212890904564627</v>
      </c>
      <c r="R2691" s="46">
        <f>R768</f>
        <v>66.937812805249905</v>
      </c>
    </row>
    <row r="2692" spans="2:18" ht="15" customHeight="1" x14ac:dyDescent="0.25">
      <c r="B2692" s="82" t="str">
        <f>("")</f>
        <v/>
      </c>
      <c r="C2692" s="92" t="str">
        <f t="shared" si="352"/>
        <v>E&amp;M - Observation Care Services</v>
      </c>
      <c r="D2692" s="93"/>
      <c r="E2692" s="13" t="str">
        <f>("")</f>
        <v/>
      </c>
      <c r="F2692" s="86" t="str">
        <f>("")</f>
        <v/>
      </c>
      <c r="G2692" s="86" t="str">
        <f>("")</f>
        <v/>
      </c>
      <c r="H2692" s="86" t="str">
        <f>("")</f>
        <v/>
      </c>
      <c r="I2692" s="86" t="s">
        <v>215</v>
      </c>
      <c r="J2692" s="88" t="s">
        <v>183</v>
      </c>
      <c r="K2692" s="29">
        <f>K793</f>
        <v>4144</v>
      </c>
      <c r="L2692" s="31">
        <f>L793</f>
        <v>1962198.8299995698</v>
      </c>
      <c r="M2692" s="31">
        <f>M793</f>
        <v>689591.19000065792</v>
      </c>
      <c r="N2692" s="31">
        <f>N793</f>
        <v>533372.44999843719</v>
      </c>
      <c r="O2692" s="34">
        <f>O793</f>
        <v>0.35143797838306179</v>
      </c>
      <c r="P2692" s="34">
        <f>P793</f>
        <v>0.77346181002969061</v>
      </c>
      <c r="Q2692" s="34">
        <f>Q793</f>
        <v>0.64856202161693821</v>
      </c>
      <c r="R2692" s="46">
        <f>R793</f>
        <v>128.70956804981591</v>
      </c>
    </row>
    <row r="2693" spans="2:18" ht="15" customHeight="1" x14ac:dyDescent="0.25">
      <c r="B2693" s="82" t="str">
        <f>("")</f>
        <v/>
      </c>
      <c r="C2693" s="92" t="str">
        <f t="shared" si="352"/>
        <v>E&amp;M - Office/Outpatient Services</v>
      </c>
      <c r="D2693" s="93"/>
      <c r="E2693" s="13" t="str">
        <f>("")</f>
        <v/>
      </c>
      <c r="F2693" s="86" t="str">
        <f>("")</f>
        <v/>
      </c>
      <c r="G2693" s="86" t="str">
        <f>("")</f>
        <v/>
      </c>
      <c r="H2693" s="86" t="str">
        <f>("")</f>
        <v/>
      </c>
      <c r="I2693" s="86" t="s">
        <v>218</v>
      </c>
      <c r="J2693" s="88" t="s">
        <v>175</v>
      </c>
      <c r="K2693" s="29">
        <f>K946</f>
        <v>15272857</v>
      </c>
      <c r="L2693" s="31">
        <f>L946</f>
        <v>3803016981.4592352</v>
      </c>
      <c r="M2693" s="31">
        <f>M946</f>
        <v>1654806585.6170652</v>
      </c>
      <c r="N2693" s="31">
        <f>N946</f>
        <v>1187885249.2167642</v>
      </c>
      <c r="O2693" s="34">
        <f>O946</f>
        <v>0.4351299491126932</v>
      </c>
      <c r="P2693" s="34">
        <f>P946</f>
        <v>0.7178393291043198</v>
      </c>
      <c r="Q2693" s="34">
        <f>Q946</f>
        <v>0.5648700508873068</v>
      </c>
      <c r="R2693" s="46">
        <f>R946</f>
        <v>77.777540195443734</v>
      </c>
    </row>
    <row r="2694" spans="2:18" ht="15" customHeight="1" x14ac:dyDescent="0.25">
      <c r="B2694" s="82" t="str">
        <f>("")</f>
        <v/>
      </c>
      <c r="C2694" s="92" t="str">
        <f t="shared" si="352"/>
        <v>E&amp;M - Ophthalmological Services</v>
      </c>
      <c r="D2694" s="93"/>
      <c r="E2694" s="13" t="str">
        <f>("")</f>
        <v/>
      </c>
      <c r="F2694" s="86" t="str">
        <f>("")</f>
        <v/>
      </c>
      <c r="G2694" s="86" t="str">
        <f>("")</f>
        <v/>
      </c>
      <c r="H2694" s="86" t="str">
        <f>("")</f>
        <v/>
      </c>
      <c r="I2694" s="86" t="s">
        <v>231</v>
      </c>
      <c r="J2694" s="88" t="s">
        <v>171</v>
      </c>
      <c r="K2694" s="29">
        <f>K963</f>
        <v>1192783</v>
      </c>
      <c r="L2694" s="31">
        <f>L963</f>
        <v>234308795.73997959</v>
      </c>
      <c r="M2694" s="31">
        <f>M963</f>
        <v>126047373.89994051</v>
      </c>
      <c r="N2694" s="31">
        <f>N963</f>
        <v>85245820.109995052</v>
      </c>
      <c r="O2694" s="34">
        <f>O963</f>
        <v>0.53795408534223166</v>
      </c>
      <c r="P2694" s="34">
        <f>P963</f>
        <v>0.67629985038534224</v>
      </c>
      <c r="Q2694" s="34">
        <f>Q963</f>
        <v>0.46204591465776834</v>
      </c>
      <c r="R2694" s="46">
        <f>R963</f>
        <v>71.46800391185576</v>
      </c>
    </row>
    <row r="2695" spans="2:18" ht="15" customHeight="1" x14ac:dyDescent="0.25">
      <c r="B2695" s="82" t="str">
        <f>("")</f>
        <v/>
      </c>
      <c r="C2695" s="92" t="str">
        <f t="shared" si="352"/>
        <v>Imaging - CT Scan</v>
      </c>
      <c r="D2695" s="93"/>
      <c r="E2695" s="13" t="str">
        <f>("")</f>
        <v/>
      </c>
      <c r="F2695" s="86" t="str">
        <f>("")</f>
        <v/>
      </c>
      <c r="G2695" s="86" t="str">
        <f>("")</f>
        <v/>
      </c>
      <c r="H2695" s="86" t="str">
        <f>("")</f>
        <v/>
      </c>
      <c r="I2695" s="86" t="s">
        <v>235</v>
      </c>
      <c r="J2695" s="88" t="s">
        <v>33</v>
      </c>
      <c r="K2695" s="29">
        <f>K1029</f>
        <v>1773322</v>
      </c>
      <c r="L2695" s="31">
        <f>L1029</f>
        <v>982252087.81003642</v>
      </c>
      <c r="M2695" s="31">
        <f>M1029</f>
        <v>128732544.74000765</v>
      </c>
      <c r="N2695" s="31">
        <f>N1029</f>
        <v>98048744.249992967</v>
      </c>
      <c r="O2695" s="34">
        <f>O1029</f>
        <v>0.13105856056465212</v>
      </c>
      <c r="P2695" s="34">
        <f>P1029</f>
        <v>0.76164690481350561</v>
      </c>
      <c r="Q2695" s="34">
        <f>Q1029</f>
        <v>0.86894143943534785</v>
      </c>
      <c r="R2695" s="46">
        <f>R1029</f>
        <v>55.29099861728043</v>
      </c>
    </row>
    <row r="2696" spans="2:18" ht="15" customHeight="1" x14ac:dyDescent="0.25">
      <c r="B2696" s="82" t="str">
        <f>("")</f>
        <v/>
      </c>
      <c r="C2696" s="92" t="str">
        <f t="shared" si="352"/>
        <v>Imaging - Imaging - Miscellaneous</v>
      </c>
      <c r="D2696" s="93"/>
      <c r="E2696" s="13" t="str">
        <f>("")</f>
        <v/>
      </c>
      <c r="F2696" s="86" t="str">
        <f>("")</f>
        <v/>
      </c>
      <c r="G2696" s="86" t="str">
        <f>("")</f>
        <v/>
      </c>
      <c r="H2696" s="86" t="str">
        <f>("")</f>
        <v/>
      </c>
      <c r="I2696" s="86" t="s">
        <v>240</v>
      </c>
      <c r="J2696" s="88" t="s">
        <v>73</v>
      </c>
      <c r="K2696" s="29">
        <f>K1077</f>
        <v>717698</v>
      </c>
      <c r="L2696" s="31">
        <f>L1077</f>
        <v>89686718.800048158</v>
      </c>
      <c r="M2696" s="31">
        <f>M1077</f>
        <v>29175987.270010855</v>
      </c>
      <c r="N2696" s="31">
        <f>N1077</f>
        <v>21513839.340005346</v>
      </c>
      <c r="O2696" s="34">
        <f>O1077</f>
        <v>0.32531000866535426</v>
      </c>
      <c r="P2696" s="34">
        <f>P1077</f>
        <v>0.7373817084887061</v>
      </c>
      <c r="Q2696" s="34">
        <f>Q1077</f>
        <v>0.6746899913346458</v>
      </c>
      <c r="R2696" s="46">
        <f>R1077</f>
        <v>29.976172902816149</v>
      </c>
    </row>
    <row r="2697" spans="2:18" ht="15" customHeight="1" x14ac:dyDescent="0.25">
      <c r="B2697" s="82" t="str">
        <f>("")</f>
        <v/>
      </c>
      <c r="C2697" s="92" t="str">
        <f t="shared" si="352"/>
        <v>Imaging - Magnetic Resonance</v>
      </c>
      <c r="D2697" s="93"/>
      <c r="E2697" s="13" t="str">
        <f>("")</f>
        <v/>
      </c>
      <c r="F2697" s="86" t="str">
        <f>("")</f>
        <v/>
      </c>
      <c r="G2697" s="86" t="str">
        <f>("")</f>
        <v/>
      </c>
      <c r="H2697" s="86" t="str">
        <f>("")</f>
        <v/>
      </c>
      <c r="I2697" s="86" t="s">
        <v>243</v>
      </c>
      <c r="J2697" s="88" t="s">
        <v>37</v>
      </c>
      <c r="K2697" s="29">
        <f>K1119</f>
        <v>532769</v>
      </c>
      <c r="L2697" s="31">
        <f>L1119</f>
        <v>584364354.72983336</v>
      </c>
      <c r="M2697" s="31">
        <f>M1119</f>
        <v>67820531.344766736</v>
      </c>
      <c r="N2697" s="31">
        <f>N1119</f>
        <v>51470914.706556164</v>
      </c>
      <c r="O2697" s="34">
        <f>O1119</f>
        <v>0.11605863840911705</v>
      </c>
      <c r="P2697" s="34">
        <f>P1119</f>
        <v>0.75892821371308583</v>
      </c>
      <c r="Q2697" s="34">
        <f>Q1119</f>
        <v>0.88394136159088299</v>
      </c>
      <c r="R2697" s="46">
        <f>R1119</f>
        <v>96.610190732862023</v>
      </c>
    </row>
    <row r="2698" spans="2:18" ht="15" customHeight="1" x14ac:dyDescent="0.25">
      <c r="B2698" s="82" t="str">
        <f>("")</f>
        <v/>
      </c>
      <c r="C2698" s="92" t="str">
        <f t="shared" si="352"/>
        <v>Imaging - Nuclear</v>
      </c>
      <c r="D2698" s="93"/>
      <c r="E2698" s="13" t="str">
        <f>("")</f>
        <v/>
      </c>
      <c r="F2698" s="86" t="str">
        <f>("")</f>
        <v/>
      </c>
      <c r="G2698" s="86" t="str">
        <f>("")</f>
        <v/>
      </c>
      <c r="H2698" s="86" t="str">
        <f>("")</f>
        <v/>
      </c>
      <c r="I2698" s="86" t="s">
        <v>246</v>
      </c>
      <c r="J2698" s="88" t="s">
        <v>91</v>
      </c>
      <c r="K2698" s="29">
        <f>K1165</f>
        <v>7013042</v>
      </c>
      <c r="L2698" s="31">
        <f>L1165</f>
        <v>602110703.21206141</v>
      </c>
      <c r="M2698" s="31">
        <f>M1165</f>
        <v>208966917.54534945</v>
      </c>
      <c r="N2698" s="31">
        <f>N1165</f>
        <v>165827410.89759272</v>
      </c>
      <c r="O2698" s="34">
        <f>O1165</f>
        <v>0.34705730429733284</v>
      </c>
      <c r="P2698" s="34">
        <f>P1165</f>
        <v>0.79355819976434927</v>
      </c>
      <c r="Q2698" s="34">
        <f>Q1165</f>
        <v>0.65294269570266716</v>
      </c>
      <c r="R2698" s="46">
        <f>R1165</f>
        <v>23.645575043981303</v>
      </c>
    </row>
    <row r="2699" spans="2:18" ht="15" customHeight="1" x14ac:dyDescent="0.25">
      <c r="B2699" s="82" t="str">
        <f>("")</f>
        <v/>
      </c>
      <c r="C2699" s="92" t="str">
        <f t="shared" si="352"/>
        <v>Imaging - Standard X-ray</v>
      </c>
      <c r="D2699" s="93"/>
      <c r="E2699" s="13" t="str">
        <f>("")</f>
        <v/>
      </c>
      <c r="F2699" s="86" t="str">
        <f>("")</f>
        <v/>
      </c>
      <c r="G2699" s="86" t="str">
        <f>("")</f>
        <v/>
      </c>
      <c r="H2699" s="86" t="str">
        <f>("")</f>
        <v/>
      </c>
      <c r="I2699" s="86" t="s">
        <v>249</v>
      </c>
      <c r="J2699" s="88" t="s">
        <v>65</v>
      </c>
      <c r="K2699" s="29">
        <f>K1278</f>
        <v>14224555</v>
      </c>
      <c r="L2699" s="31">
        <f>L1278</f>
        <v>674188621.89885378</v>
      </c>
      <c r="M2699" s="31">
        <f>M1278</f>
        <v>157346730.77487537</v>
      </c>
      <c r="N2699" s="31">
        <f>N1278</f>
        <v>127597433.91605549</v>
      </c>
      <c r="O2699" s="34">
        <f>O1278</f>
        <v>0.2333868084746194</v>
      </c>
      <c r="P2699" s="34">
        <f>P1278</f>
        <v>0.81093158585300484</v>
      </c>
      <c r="Q2699" s="34">
        <f>Q1278</f>
        <v>0.76661319152538066</v>
      </c>
      <c r="R2699" s="46">
        <f>R1278</f>
        <v>8.9702232453708035</v>
      </c>
    </row>
    <row r="2700" spans="2:18" ht="15" customHeight="1" x14ac:dyDescent="0.25">
      <c r="B2700" s="82" t="str">
        <f>("")</f>
        <v/>
      </c>
      <c r="C2700" s="92" t="str">
        <f t="shared" si="352"/>
        <v>Imaging - Ultrasound</v>
      </c>
      <c r="D2700" s="93"/>
      <c r="E2700" s="13" t="str">
        <f>("")</f>
        <v/>
      </c>
      <c r="F2700" s="86" t="str">
        <f>("")</f>
        <v/>
      </c>
      <c r="G2700" s="86" t="str">
        <f>("")</f>
        <v/>
      </c>
      <c r="H2700" s="86" t="str">
        <f>("")</f>
        <v/>
      </c>
      <c r="I2700" s="86" t="s">
        <v>254</v>
      </c>
      <c r="J2700" s="88" t="s">
        <v>41</v>
      </c>
      <c r="K2700" s="29">
        <f>K1392</f>
        <v>1895644</v>
      </c>
      <c r="L2700" s="31">
        <f>L1392</f>
        <v>633972233.49998498</v>
      </c>
      <c r="M2700" s="31">
        <f>M1392</f>
        <v>148371301.89001352</v>
      </c>
      <c r="N2700" s="31">
        <f>N1392</f>
        <v>111500105.75000638</v>
      </c>
      <c r="O2700" s="34">
        <f>O1392</f>
        <v>0.23403438518260758</v>
      </c>
      <c r="P2700" s="34">
        <f>P1392</f>
        <v>0.75149374798005431</v>
      </c>
      <c r="Q2700" s="34">
        <f>Q1392</f>
        <v>0.76596561481739245</v>
      </c>
      <c r="R2700" s="46">
        <f>R1392</f>
        <v>58.819116748717782</v>
      </c>
    </row>
    <row r="2701" spans="2:18" ht="15" customHeight="1" x14ac:dyDescent="0.25">
      <c r="B2701" s="82" t="str">
        <f>("")</f>
        <v/>
      </c>
      <c r="C2701" s="92" t="str">
        <f t="shared" si="352"/>
        <v>Other - Ambulance</v>
      </c>
      <c r="D2701" s="93"/>
      <c r="E2701" s="13" t="str">
        <f>("")</f>
        <v/>
      </c>
      <c r="F2701" s="86" t="str">
        <f>("")</f>
        <v/>
      </c>
      <c r="G2701" s="86" t="str">
        <f>("")</f>
        <v/>
      </c>
      <c r="H2701" s="86" t="str">
        <f>("")</f>
        <v/>
      </c>
      <c r="I2701" s="86" t="s">
        <v>259</v>
      </c>
      <c r="J2701" s="88" t="s">
        <v>260</v>
      </c>
      <c r="K2701" s="29">
        <f>K1400</f>
        <v>9368217</v>
      </c>
      <c r="L2701" s="31">
        <f>L1400</f>
        <v>1589833788.4151702</v>
      </c>
      <c r="M2701" s="31">
        <f>M1400</f>
        <v>398220596.44996822</v>
      </c>
      <c r="N2701" s="31">
        <f>N1400</f>
        <v>315437681.38399357</v>
      </c>
      <c r="O2701" s="34">
        <f>O1400</f>
        <v>0.25047938932467617</v>
      </c>
      <c r="P2701" s="34">
        <f>P1400</f>
        <v>0.79211794717811546</v>
      </c>
      <c r="Q2701" s="34">
        <f>Q1400</f>
        <v>0.74952061067532383</v>
      </c>
      <c r="R2701" s="46">
        <f>R1400</f>
        <v>33.671047690717835</v>
      </c>
    </row>
    <row r="2702" spans="2:18" ht="15" customHeight="1" x14ac:dyDescent="0.25">
      <c r="B2702" s="82" t="str">
        <f>("")</f>
        <v/>
      </c>
      <c r="C2702" s="92" t="str">
        <f t="shared" si="352"/>
        <v>Procedure - Breast</v>
      </c>
      <c r="D2702" s="93"/>
      <c r="E2702" s="13" t="str">
        <f>("")</f>
        <v/>
      </c>
      <c r="F2702" s="86" t="str">
        <f>("")</f>
        <v/>
      </c>
      <c r="G2702" s="86" t="str">
        <f>("")</f>
        <v/>
      </c>
      <c r="H2702" s="86" t="str">
        <f>("")</f>
        <v/>
      </c>
      <c r="I2702" s="86" t="s">
        <v>264</v>
      </c>
      <c r="J2702" s="88" t="s">
        <v>51</v>
      </c>
      <c r="K2702" s="29">
        <f>K1420</f>
        <v>10875</v>
      </c>
      <c r="L2702" s="31">
        <f>L1420</f>
        <v>29025530.609974429</v>
      </c>
      <c r="M2702" s="31">
        <f>M1420</f>
        <v>4805555.4200005438</v>
      </c>
      <c r="N2702" s="31">
        <f>N1420</f>
        <v>3792091.2200011145</v>
      </c>
      <c r="O2702" s="34">
        <f>O1420</f>
        <v>0.16556305152778661</v>
      </c>
      <c r="P2702" s="34">
        <f>P1420</f>
        <v>0.78910570965815341</v>
      </c>
      <c r="Q2702" s="34">
        <f>Q1420</f>
        <v>0.83443694847221339</v>
      </c>
      <c r="R2702" s="46">
        <f>R1420</f>
        <v>348.6980432184933</v>
      </c>
    </row>
    <row r="2703" spans="2:18" ht="15" customHeight="1" x14ac:dyDescent="0.25">
      <c r="B2703" s="82" t="str">
        <f>("")</f>
        <v/>
      </c>
      <c r="C2703" s="92" t="str">
        <f t="shared" si="352"/>
        <v>Procedure - Cardiovascular</v>
      </c>
      <c r="D2703" s="93"/>
      <c r="E2703" s="13" t="str">
        <f>("")</f>
        <v/>
      </c>
      <c r="F2703" s="86" t="str">
        <f>("")</f>
        <v/>
      </c>
      <c r="G2703" s="86" t="str">
        <f>("")</f>
        <v/>
      </c>
      <c r="H2703" s="86" t="str">
        <f>("")</f>
        <v/>
      </c>
      <c r="I2703" s="86" t="s">
        <v>267</v>
      </c>
      <c r="J2703" s="88" t="s">
        <v>6</v>
      </c>
      <c r="K2703" s="29">
        <f>K1452</f>
        <v>149380</v>
      </c>
      <c r="L2703" s="31">
        <f>L1452</f>
        <v>443604498.99987042</v>
      </c>
      <c r="M2703" s="31">
        <f>M1452</f>
        <v>78878519.4499681</v>
      </c>
      <c r="N2703" s="31">
        <f>N1452</f>
        <v>62669160.429986879</v>
      </c>
      <c r="O2703" s="34">
        <f>O1452</f>
        <v>0.17781271296347051</v>
      </c>
      <c r="P2703" s="34">
        <f>P1452</f>
        <v>0.79450224049574536</v>
      </c>
      <c r="Q2703" s="34">
        <f>Q1452</f>
        <v>0.82218728703652944</v>
      </c>
      <c r="R2703" s="46">
        <f>R1452</f>
        <v>419.5284538089897</v>
      </c>
    </row>
    <row r="2704" spans="2:18" ht="15" customHeight="1" x14ac:dyDescent="0.25">
      <c r="B2704" s="82" t="str">
        <f>("")</f>
        <v/>
      </c>
      <c r="C2704" s="92" t="str">
        <f t="shared" si="352"/>
        <v>Procedure - Digestive/Gastrointestinal</v>
      </c>
      <c r="D2704" s="93"/>
      <c r="E2704" s="13" t="str">
        <f>("")</f>
        <v/>
      </c>
      <c r="F2704" s="86" t="str">
        <f>("")</f>
        <v/>
      </c>
      <c r="G2704" s="86" t="str">
        <f>("")</f>
        <v/>
      </c>
      <c r="H2704" s="86" t="str">
        <f>("")</f>
        <v/>
      </c>
      <c r="I2704" s="86" t="s">
        <v>270</v>
      </c>
      <c r="J2704" s="88" t="s">
        <v>65</v>
      </c>
      <c r="K2704" s="29">
        <f>K1496</f>
        <v>492846</v>
      </c>
      <c r="L2704" s="31">
        <f>L1496</f>
        <v>1045164699.3596591</v>
      </c>
      <c r="M2704" s="31">
        <f>M1496</f>
        <v>125029990.05001409</v>
      </c>
      <c r="N2704" s="31">
        <f>N1496</f>
        <v>103526715.13995597</v>
      </c>
      <c r="O2704" s="34">
        <f>O1496</f>
        <v>0.11962706942419334</v>
      </c>
      <c r="P2704" s="34">
        <f>P1496</f>
        <v>0.82801506341433395</v>
      </c>
      <c r="Q2704" s="34">
        <f>Q1496</f>
        <v>0.88037293057580668</v>
      </c>
      <c r="R2704" s="46">
        <f>R1496</f>
        <v>210.05895379075</v>
      </c>
    </row>
    <row r="2705" spans="2:18" ht="15" customHeight="1" x14ac:dyDescent="0.25">
      <c r="B2705" s="82" t="str">
        <f>("")</f>
        <v/>
      </c>
      <c r="C2705" s="92" t="str">
        <f t="shared" si="352"/>
        <v>Procedure - Eye</v>
      </c>
      <c r="D2705" s="93"/>
      <c r="E2705" s="13" t="str">
        <f>("")</f>
        <v/>
      </c>
      <c r="F2705" s="86" t="str">
        <f>("")</f>
        <v/>
      </c>
      <c r="G2705" s="86" t="str">
        <f>("")</f>
        <v/>
      </c>
      <c r="H2705" s="86" t="str">
        <f>("")</f>
        <v/>
      </c>
      <c r="I2705" s="86" t="s">
        <v>273</v>
      </c>
      <c r="J2705" s="88" t="s">
        <v>167</v>
      </c>
      <c r="K2705" s="29">
        <f>K1512</f>
        <v>604553</v>
      </c>
      <c r="L2705" s="31">
        <f>L1512</f>
        <v>1379069637.0924938</v>
      </c>
      <c r="M2705" s="31">
        <f>M1512</f>
        <v>259678658.24972671</v>
      </c>
      <c r="N2705" s="31">
        <f>N1512</f>
        <v>204290294.97996745</v>
      </c>
      <c r="O2705" s="34">
        <f>O1512</f>
        <v>0.18829988802973707</v>
      </c>
      <c r="P2705" s="34">
        <f>P1512</f>
        <v>0.78670421495903753</v>
      </c>
      <c r="Q2705" s="34">
        <f>Q1512</f>
        <v>0.81170011197026293</v>
      </c>
      <c r="R2705" s="46">
        <f>R1512</f>
        <v>337.91957856460465</v>
      </c>
    </row>
    <row r="2706" spans="2:18" ht="15" customHeight="1" x14ac:dyDescent="0.25">
      <c r="B2706" s="82" t="str">
        <f>("")</f>
        <v/>
      </c>
      <c r="C2706" s="92" t="str">
        <f t="shared" si="352"/>
        <v>Procedure - Hematology</v>
      </c>
      <c r="D2706" s="93"/>
      <c r="E2706" s="13" t="str">
        <f>("")</f>
        <v/>
      </c>
      <c r="F2706" s="86" t="str">
        <f>("")</f>
        <v/>
      </c>
      <c r="G2706" s="86" t="str">
        <f>("")</f>
        <v/>
      </c>
      <c r="H2706" s="86" t="str">
        <f>("")</f>
        <v/>
      </c>
      <c r="I2706" s="86" t="s">
        <v>275</v>
      </c>
      <c r="J2706" s="88" t="s">
        <v>160</v>
      </c>
      <c r="K2706" s="29">
        <f>K1523</f>
        <v>1309</v>
      </c>
      <c r="L2706" s="31">
        <f>L1523</f>
        <v>500216.279998996</v>
      </c>
      <c r="M2706" s="31">
        <f>M1523</f>
        <v>116156.860000217</v>
      </c>
      <c r="N2706" s="31">
        <f>N1523</f>
        <v>91245.750000304994</v>
      </c>
      <c r="O2706" s="34">
        <f>O1523</f>
        <v>0.23221327382717361</v>
      </c>
      <c r="P2706" s="34">
        <f>P1523</f>
        <v>0.78553905468979213</v>
      </c>
      <c r="Q2706" s="34">
        <f>Q1523</f>
        <v>0.76778672617282639</v>
      </c>
      <c r="R2706" s="46">
        <f>R1523</f>
        <v>69.70645530962949</v>
      </c>
    </row>
    <row r="2707" spans="2:18" ht="15" customHeight="1" x14ac:dyDescent="0.25">
      <c r="B2707" s="82" t="str">
        <f>("")</f>
        <v/>
      </c>
      <c r="C2707" s="92" t="str">
        <f t="shared" si="352"/>
        <v>Procedure - Musculoskeletal</v>
      </c>
      <c r="D2707" s="93"/>
      <c r="E2707" s="13" t="str">
        <f>("")</f>
        <v/>
      </c>
      <c r="F2707" s="86" t="str">
        <f>("")</f>
        <v/>
      </c>
      <c r="G2707" s="86" t="str">
        <f>("")</f>
        <v/>
      </c>
      <c r="H2707" s="86" t="str">
        <f>("")</f>
        <v/>
      </c>
      <c r="I2707" s="86" t="s">
        <v>278</v>
      </c>
      <c r="J2707" s="88" t="s">
        <v>63</v>
      </c>
      <c r="K2707" s="29">
        <f>K1610</f>
        <v>1199648</v>
      </c>
      <c r="L2707" s="31">
        <f>L1610</f>
        <v>2124094757.8357701</v>
      </c>
      <c r="M2707" s="31">
        <f>M1610</f>
        <v>384683945.03384054</v>
      </c>
      <c r="N2707" s="31">
        <f>N1610</f>
        <v>303261222.88019073</v>
      </c>
      <c r="O2707" s="34">
        <f>O1610</f>
        <v>0.18110488885429629</v>
      </c>
      <c r="P2707" s="34">
        <f>P1610</f>
        <v>0.78833865253594848</v>
      </c>
      <c r="Q2707" s="34">
        <f>Q1610</f>
        <v>0.81889511114570368</v>
      </c>
      <c r="R2707" s="46">
        <f>R1610</f>
        <v>252.79183800597403</v>
      </c>
    </row>
    <row r="2708" spans="2:18" ht="15" customHeight="1" x14ac:dyDescent="0.25">
      <c r="B2708" s="82" t="str">
        <f>("")</f>
        <v/>
      </c>
      <c r="C2708" s="92" t="str">
        <f t="shared" si="352"/>
        <v>Procedure - Other Organ Systems</v>
      </c>
      <c r="D2708" s="93"/>
      <c r="E2708" s="13" t="str">
        <f>("")</f>
        <v/>
      </c>
      <c r="F2708" s="86" t="str">
        <f>("")</f>
        <v/>
      </c>
      <c r="G2708" s="86" t="str">
        <f>("")</f>
        <v/>
      </c>
      <c r="H2708" s="86" t="str">
        <f>("")</f>
        <v/>
      </c>
      <c r="I2708" s="86" t="s">
        <v>281</v>
      </c>
      <c r="J2708" s="88" t="s">
        <v>25</v>
      </c>
      <c r="K2708" s="29">
        <f>K1703</f>
        <v>445312</v>
      </c>
      <c r="L2708" s="31">
        <f>L1703</f>
        <v>465747192.51024425</v>
      </c>
      <c r="M2708" s="31">
        <f>M1703</f>
        <v>92316895.720040724</v>
      </c>
      <c r="N2708" s="31">
        <f>N1703</f>
        <v>71961776.530040517</v>
      </c>
      <c r="O2708" s="34">
        <f>O1703</f>
        <v>0.19821245775520199</v>
      </c>
      <c r="P2708" s="34">
        <f>P1703</f>
        <v>0.77950819260941207</v>
      </c>
      <c r="Q2708" s="34">
        <f>Q1703</f>
        <v>0.80178754224479798</v>
      </c>
      <c r="R2708" s="46">
        <f>R1703</f>
        <v>161.59855680969864</v>
      </c>
    </row>
    <row r="2709" spans="2:18" ht="15" customHeight="1" x14ac:dyDescent="0.25">
      <c r="B2709" s="82" t="str">
        <f>("")</f>
        <v/>
      </c>
      <c r="C2709" s="92" t="str">
        <f t="shared" si="352"/>
        <v>Procedure - Skin</v>
      </c>
      <c r="D2709" s="93"/>
      <c r="E2709" s="13" t="str">
        <f>("")</f>
        <v/>
      </c>
      <c r="F2709" s="86" t="str">
        <f>("")</f>
        <v/>
      </c>
      <c r="G2709" s="86" t="str">
        <f>("")</f>
        <v/>
      </c>
      <c r="H2709" s="86" t="str">
        <f>("")</f>
        <v/>
      </c>
      <c r="I2709" s="86" t="s">
        <v>284</v>
      </c>
      <c r="J2709" s="88" t="s">
        <v>45</v>
      </c>
      <c r="K2709" s="29">
        <f>K1796</f>
        <v>3586066</v>
      </c>
      <c r="L2709" s="31">
        <f>L1796</f>
        <v>703248945.4399575</v>
      </c>
      <c r="M2709" s="31">
        <f>M1796</f>
        <v>250414271.19011858</v>
      </c>
      <c r="N2709" s="31">
        <f>N1796</f>
        <v>190814540.5699808</v>
      </c>
      <c r="O2709" s="34">
        <f>O1796</f>
        <v>0.35608197184491708</v>
      </c>
      <c r="P2709" s="34">
        <f>P1796</f>
        <v>0.76199547119705213</v>
      </c>
      <c r="Q2709" s="34">
        <f>Q1796</f>
        <v>0.64391802815508292</v>
      </c>
      <c r="R2709" s="46">
        <f>R1796</f>
        <v>53.209991274555684</v>
      </c>
    </row>
    <row r="2710" spans="2:18" ht="15" customHeight="1" x14ac:dyDescent="0.25">
      <c r="B2710" s="82" t="str">
        <f>("")</f>
        <v/>
      </c>
      <c r="C2710" s="92" t="str">
        <f t="shared" si="352"/>
        <v>Procedure - Vascular</v>
      </c>
      <c r="D2710" s="93"/>
      <c r="E2710" s="13" t="str">
        <f>("")</f>
        <v/>
      </c>
      <c r="F2710" s="86" t="str">
        <f>("")</f>
        <v/>
      </c>
      <c r="G2710" s="86" t="str">
        <f>("")</f>
        <v/>
      </c>
      <c r="H2710" s="86" t="str">
        <f>("")</f>
        <v/>
      </c>
      <c r="I2710" s="86" t="s">
        <v>287</v>
      </c>
      <c r="J2710" s="88" t="s">
        <v>17</v>
      </c>
      <c r="K2710" s="29">
        <f>K1866</f>
        <v>131048</v>
      </c>
      <c r="L2710" s="31">
        <f>L1866</f>
        <v>470631353.91024685</v>
      </c>
      <c r="M2710" s="31">
        <f>M1866</f>
        <v>121646039.49989849</v>
      </c>
      <c r="N2710" s="31">
        <f>N1866</f>
        <v>96697097.36000447</v>
      </c>
      <c r="O2710" s="34">
        <f>O1866</f>
        <v>0.25847415071095614</v>
      </c>
      <c r="P2710" s="34">
        <f>P1866</f>
        <v>0.79490543019351778</v>
      </c>
      <c r="Q2710" s="34">
        <f>Q1866</f>
        <v>0.74152584928904386</v>
      </c>
      <c r="R2710" s="46">
        <f>R1866</f>
        <v>737.87541480987477</v>
      </c>
    </row>
    <row r="2711" spans="2:18" ht="15" customHeight="1" x14ac:dyDescent="0.25">
      <c r="B2711" s="82" t="str">
        <f>("")</f>
        <v/>
      </c>
      <c r="C2711" s="92" t="str">
        <f t="shared" si="352"/>
        <v>Test - Anatomic Pathology</v>
      </c>
      <c r="D2711" s="93"/>
      <c r="E2711" s="13" t="str">
        <f>("")</f>
        <v/>
      </c>
      <c r="F2711" s="86" t="str">
        <f>("")</f>
        <v/>
      </c>
      <c r="G2711" s="86" t="str">
        <f>("")</f>
        <v/>
      </c>
      <c r="H2711" s="86" t="str">
        <f>("")</f>
        <v/>
      </c>
      <c r="I2711" s="86" t="s">
        <v>292</v>
      </c>
      <c r="J2711" s="88" t="s">
        <v>146</v>
      </c>
      <c r="K2711" s="29">
        <f>K1903</f>
        <v>2868869</v>
      </c>
      <c r="L2711" s="31">
        <f>L1903</f>
        <v>616553489.74963558</v>
      </c>
      <c r="M2711" s="31">
        <f>M1903</f>
        <v>147501940.67413622</v>
      </c>
      <c r="N2711" s="31">
        <f>N1903</f>
        <v>114043034.80392809</v>
      </c>
      <c r="O2711" s="34">
        <f>O1903</f>
        <v>0.23923624328853035</v>
      </c>
      <c r="P2711" s="34">
        <f>P1903</f>
        <v>0.77316294472269953</v>
      </c>
      <c r="Q2711" s="34">
        <f>Q1903</f>
        <v>0.76076375671146967</v>
      </c>
      <c r="R2711" s="46">
        <f>R1903</f>
        <v>39.751914362045845</v>
      </c>
    </row>
    <row r="2712" spans="2:18" ht="15" customHeight="1" x14ac:dyDescent="0.25">
      <c r="B2712" s="82" t="str">
        <f>("")</f>
        <v/>
      </c>
      <c r="C2712" s="92" t="str">
        <f t="shared" si="352"/>
        <v>Test - Cardiography</v>
      </c>
      <c r="D2712" s="93"/>
      <c r="E2712" s="13" t="str">
        <f>("")</f>
        <v/>
      </c>
      <c r="F2712" s="86" t="str">
        <f>("")</f>
        <v/>
      </c>
      <c r="G2712" s="86" t="str">
        <f>("")</f>
        <v/>
      </c>
      <c r="H2712" s="86" t="str">
        <f>("")</f>
        <v/>
      </c>
      <c r="I2712" s="86" t="s">
        <v>298</v>
      </c>
      <c r="J2712" s="88" t="s">
        <v>17</v>
      </c>
      <c r="K2712" s="29">
        <f>K1988</f>
        <v>2765766</v>
      </c>
      <c r="L2712" s="31">
        <f>L1988</f>
        <v>484425194.5000236</v>
      </c>
      <c r="M2712" s="31">
        <f>M1988</f>
        <v>173979918.32945895</v>
      </c>
      <c r="N2712" s="31">
        <f>N1988</f>
        <v>134200658.23032753</v>
      </c>
      <c r="O2712" s="34">
        <f>O1988</f>
        <v>0.35914713005178034</v>
      </c>
      <c r="P2712" s="34">
        <f>P1988</f>
        <v>0.77135717454584041</v>
      </c>
      <c r="Q2712" s="34">
        <f>Q1988</f>
        <v>0.64085286994821966</v>
      </c>
      <c r="R2712" s="46">
        <f>R1988</f>
        <v>48.522057986947388</v>
      </c>
    </row>
    <row r="2713" spans="2:18" ht="15" customHeight="1" x14ac:dyDescent="0.25">
      <c r="B2713" s="82" t="str">
        <f>("")</f>
        <v/>
      </c>
      <c r="C2713" s="92" t="str">
        <f t="shared" si="352"/>
        <v>Test - General Laboratory</v>
      </c>
      <c r="D2713" s="93"/>
      <c r="E2713" s="13" t="str">
        <f>("")</f>
        <v/>
      </c>
      <c r="F2713" s="86" t="str">
        <f>("")</f>
        <v/>
      </c>
      <c r="G2713" s="86" t="str">
        <f>("")</f>
        <v/>
      </c>
      <c r="H2713" s="86" t="str">
        <f>("")</f>
        <v/>
      </c>
      <c r="I2713" s="86" t="s">
        <v>301</v>
      </c>
      <c r="J2713" s="88" t="s">
        <v>224</v>
      </c>
      <c r="K2713" s="29">
        <f>K2063</f>
        <v>29660150</v>
      </c>
      <c r="L2713" s="31">
        <f>L2063</f>
        <v>1864990153.1414864</v>
      </c>
      <c r="M2713" s="31">
        <f>M2063</f>
        <v>340850461.52712727</v>
      </c>
      <c r="N2713" s="31">
        <f>N2063</f>
        <v>340629368.15713155</v>
      </c>
      <c r="O2713" s="34">
        <f>O2063</f>
        <v>0.18276260652260337</v>
      </c>
      <c r="P2713" s="34">
        <f>P2063</f>
        <v>0.99935134789313429</v>
      </c>
      <c r="Q2713" s="34">
        <f>Q2063</f>
        <v>0.81723739347739666</v>
      </c>
      <c r="R2713" s="46">
        <f>R2063</f>
        <v>11.484411513668391</v>
      </c>
    </row>
    <row r="2714" spans="2:18" ht="15" customHeight="1" x14ac:dyDescent="0.25">
      <c r="B2714" s="82" t="str">
        <f>("")</f>
        <v/>
      </c>
      <c r="C2714" s="92" t="str">
        <f t="shared" si="352"/>
        <v>Test - Molecular Testing</v>
      </c>
      <c r="D2714" s="93"/>
      <c r="E2714" s="13" t="str">
        <f>("")</f>
        <v/>
      </c>
      <c r="F2714" s="86" t="str">
        <f>("")</f>
        <v/>
      </c>
      <c r="G2714" s="86" t="str">
        <f>("")</f>
        <v/>
      </c>
      <c r="H2714" s="86" t="str">
        <f>("")</f>
        <v/>
      </c>
      <c r="I2714" s="86" t="s">
        <v>304</v>
      </c>
      <c r="J2714" s="88" t="s">
        <v>37</v>
      </c>
      <c r="K2714" s="29">
        <f>K2105</f>
        <v>8591023</v>
      </c>
      <c r="L2714" s="31">
        <f>L2105</f>
        <v>807002423.61065173</v>
      </c>
      <c r="M2714" s="31">
        <f>M2105</f>
        <v>507528145.52991802</v>
      </c>
      <c r="N2714" s="31">
        <f>N2105</f>
        <v>506850618.74991071</v>
      </c>
      <c r="O2714" s="34">
        <f>O2105</f>
        <v>0.62890535478091847</v>
      </c>
      <c r="P2714" s="34">
        <f>P2105</f>
        <v>0.99866504589750404</v>
      </c>
      <c r="Q2714" s="34">
        <f>Q2105</f>
        <v>0.37109464521908153</v>
      </c>
      <c r="R2714" s="46">
        <f>R2105</f>
        <v>58.997702456379258</v>
      </c>
    </row>
    <row r="2715" spans="2:18" ht="15" customHeight="1" x14ac:dyDescent="0.25">
      <c r="B2715" s="82" t="str">
        <f>("")</f>
        <v/>
      </c>
      <c r="C2715" s="92" t="str">
        <f t="shared" si="352"/>
        <v>Test - Neurologic</v>
      </c>
      <c r="D2715" s="93"/>
      <c r="E2715" s="13" t="str">
        <f>("")</f>
        <v/>
      </c>
      <c r="F2715" s="86" t="str">
        <f>("")</f>
        <v/>
      </c>
      <c r="G2715" s="86" t="str">
        <f>("")</f>
        <v/>
      </c>
      <c r="H2715" s="86" t="str">
        <f>("")</f>
        <v/>
      </c>
      <c r="I2715" s="86" t="s">
        <v>307</v>
      </c>
      <c r="J2715" s="88" t="s">
        <v>37</v>
      </c>
      <c r="K2715" s="29">
        <f>K2184</f>
        <v>329126</v>
      </c>
      <c r="L2715" s="31">
        <f>L2184</f>
        <v>389915397.78984493</v>
      </c>
      <c r="M2715" s="31">
        <f>M2184</f>
        <v>54844826.779889598</v>
      </c>
      <c r="N2715" s="31">
        <f>N2184</f>
        <v>43001876.210000023</v>
      </c>
      <c r="O2715" s="34">
        <f>O2184</f>
        <v>0.14065827379674206</v>
      </c>
      <c r="P2715" s="34">
        <f>P2184</f>
        <v>0.78406440014079637</v>
      </c>
      <c r="Q2715" s="34">
        <f>Q2184</f>
        <v>0.85934172620325788</v>
      </c>
      <c r="R2715" s="46">
        <f>R2184</f>
        <v>130.65475292137364</v>
      </c>
    </row>
    <row r="2716" spans="2:18" ht="15" customHeight="1" x14ac:dyDescent="0.25">
      <c r="B2716" s="82" t="str">
        <f>("")</f>
        <v/>
      </c>
      <c r="C2716" s="92" t="str">
        <f t="shared" si="352"/>
        <v>Test - Pulmonary</v>
      </c>
      <c r="D2716" s="93"/>
      <c r="E2716" s="13" t="str">
        <f>("")</f>
        <v/>
      </c>
      <c r="F2716" s="86" t="str">
        <f>("")</f>
        <v/>
      </c>
      <c r="G2716" s="86" t="str">
        <f>("")</f>
        <v/>
      </c>
      <c r="H2716" s="86" t="str">
        <f>("")</f>
        <v/>
      </c>
      <c r="I2716" s="86" t="s">
        <v>310</v>
      </c>
      <c r="J2716" s="88" t="s">
        <v>156</v>
      </c>
      <c r="K2716" s="29">
        <f>K2232</f>
        <v>319410</v>
      </c>
      <c r="L2716" s="31">
        <f>L2232</f>
        <v>31967823.809991814</v>
      </c>
      <c r="M2716" s="31">
        <f>M2232</f>
        <v>9884204.8599904142</v>
      </c>
      <c r="N2716" s="31">
        <f>N2232</f>
        <v>7572683.9899955969</v>
      </c>
      <c r="O2716" s="34">
        <f>O2232</f>
        <v>0.30919229656480474</v>
      </c>
      <c r="P2716" s="34">
        <f>P2232</f>
        <v>0.7661399270110778</v>
      </c>
      <c r="Q2716" s="34">
        <f>Q2232</f>
        <v>0.69080770343519526</v>
      </c>
      <c r="R2716" s="46">
        <f>R2232</f>
        <v>23.708349738566724</v>
      </c>
    </row>
    <row r="2717" spans="2:18" ht="15" customHeight="1" x14ac:dyDescent="0.25">
      <c r="B2717" s="82" t="str">
        <f>("")</f>
        <v/>
      </c>
      <c r="C2717" s="92" t="str">
        <f t="shared" si="352"/>
        <v>Test - Test - Miscellaneous</v>
      </c>
      <c r="D2717" s="93"/>
      <c r="E2717" s="13" t="str">
        <f>("")</f>
        <v/>
      </c>
      <c r="F2717" s="86" t="str">
        <f>("")</f>
        <v/>
      </c>
      <c r="G2717" s="86" t="str">
        <f>("")</f>
        <v/>
      </c>
      <c r="H2717" s="86" t="str">
        <f>("")</f>
        <v/>
      </c>
      <c r="I2717" s="86" t="s">
        <v>313</v>
      </c>
      <c r="J2717" s="88" t="s">
        <v>162</v>
      </c>
      <c r="K2717" s="29">
        <f>K2298</f>
        <v>1390650</v>
      </c>
      <c r="L2717" s="31">
        <f>L2298</f>
        <v>81611587.039974108</v>
      </c>
      <c r="M2717" s="31">
        <f>M2298</f>
        <v>26784356.910009976</v>
      </c>
      <c r="N2717" s="31">
        <f>N2298</f>
        <v>19651362.270003431</v>
      </c>
      <c r="O2717" s="34">
        <f>O2298</f>
        <v>0.32819306524318353</v>
      </c>
      <c r="P2717" s="34">
        <f>P2298</f>
        <v>0.73368803798530746</v>
      </c>
      <c r="Q2717" s="34">
        <f>Q2298</f>
        <v>0.67180693475681652</v>
      </c>
      <c r="R2717" s="46">
        <f>R2298</f>
        <v>14.131062646966116</v>
      </c>
    </row>
    <row r="2718" spans="2:18" ht="15" customHeight="1" x14ac:dyDescent="0.25">
      <c r="B2718" s="82" t="str">
        <f>("")</f>
        <v/>
      </c>
      <c r="C2718" s="92" t="str">
        <f t="shared" si="352"/>
        <v>Treatment - Chemotherapy</v>
      </c>
      <c r="D2718" s="93"/>
      <c r="E2718" s="13" t="str">
        <f>("")</f>
        <v/>
      </c>
      <c r="F2718" s="86" t="str">
        <f>("")</f>
        <v/>
      </c>
      <c r="G2718" s="86" t="str">
        <f>("")</f>
        <v/>
      </c>
      <c r="H2718" s="86" t="str">
        <f>("")</f>
        <v/>
      </c>
      <c r="I2718" s="86" t="s">
        <v>317</v>
      </c>
      <c r="J2718" s="88" t="s">
        <v>27</v>
      </c>
      <c r="K2718" s="29">
        <f>K2338</f>
        <v>6897029</v>
      </c>
      <c r="L2718" s="31">
        <f>L2338</f>
        <v>739506271.57991612</v>
      </c>
      <c r="M2718" s="31">
        <f>M2338</f>
        <v>242239665.5399262</v>
      </c>
      <c r="N2718" s="31">
        <f>N2338</f>
        <v>192561592.02002075</v>
      </c>
      <c r="O2718" s="34">
        <f>O2338</f>
        <v>0.32756945390387826</v>
      </c>
      <c r="P2718" s="34">
        <f>P2338</f>
        <v>0.79492180436602589</v>
      </c>
      <c r="Q2718" s="34">
        <f>Q2338</f>
        <v>0.67243054609612174</v>
      </c>
      <c r="R2718" s="46">
        <f>R2338</f>
        <v>27.919498673997275</v>
      </c>
    </row>
    <row r="2719" spans="2:18" ht="15" customHeight="1" x14ac:dyDescent="0.25">
      <c r="B2719" s="82" t="str">
        <f>("")</f>
        <v/>
      </c>
      <c r="C2719" s="92" t="str">
        <f t="shared" si="352"/>
        <v>Treatment - Dialysis</v>
      </c>
      <c r="D2719" s="93"/>
      <c r="E2719" s="13" t="str">
        <f>("")</f>
        <v/>
      </c>
      <c r="F2719" s="86" t="str">
        <f>("")</f>
        <v/>
      </c>
      <c r="G2719" s="86" t="str">
        <f>("")</f>
        <v/>
      </c>
      <c r="H2719" s="86" t="str">
        <f>("")</f>
        <v/>
      </c>
      <c r="I2719" s="86" t="s">
        <v>320</v>
      </c>
      <c r="J2719" s="88" t="s">
        <v>15</v>
      </c>
      <c r="K2719" s="29">
        <f>K2369</f>
        <v>214257</v>
      </c>
      <c r="L2719" s="31">
        <f>L2369</f>
        <v>124058011.98994668</v>
      </c>
      <c r="M2719" s="31">
        <f>M2369</f>
        <v>52044439.560010701</v>
      </c>
      <c r="N2719" s="31">
        <f>N2369</f>
        <v>40890885.789997295</v>
      </c>
      <c r="O2719" s="34">
        <f>O2369</f>
        <v>0.41951695602077066</v>
      </c>
      <c r="P2719" s="34">
        <f>P2369</f>
        <v>0.78569173067657661</v>
      </c>
      <c r="Q2719" s="34">
        <f>Q2369</f>
        <v>0.58048304397922934</v>
      </c>
      <c r="R2719" s="46">
        <f>R2369</f>
        <v>190.84970754746541</v>
      </c>
    </row>
    <row r="2720" spans="2:18" ht="15" customHeight="1" x14ac:dyDescent="0.25">
      <c r="B2720" s="82" t="str">
        <f>("")</f>
        <v/>
      </c>
      <c r="C2720" s="92" t="str">
        <f t="shared" si="352"/>
        <v>Treatment - Injections and Infusions (nononcologic)</v>
      </c>
      <c r="D2720" s="93"/>
      <c r="E2720" s="13" t="str">
        <f>("")</f>
        <v/>
      </c>
      <c r="F2720" s="86" t="str">
        <f>("")</f>
        <v/>
      </c>
      <c r="G2720" s="86" t="str">
        <f>("")</f>
        <v/>
      </c>
      <c r="H2720" s="86" t="str">
        <f>("")</f>
        <v/>
      </c>
      <c r="I2720" s="86" t="s">
        <v>323</v>
      </c>
      <c r="J2720" s="88" t="s">
        <v>220</v>
      </c>
      <c r="K2720" s="29">
        <f>K2452</f>
        <v>72544739</v>
      </c>
      <c r="L2720" s="31">
        <f>L2452</f>
        <v>3005641489.8664556</v>
      </c>
      <c r="M2720" s="31">
        <f>M2452</f>
        <v>1064699238.0418098</v>
      </c>
      <c r="N2720" s="31">
        <f>N2452</f>
        <v>876299176.64661419</v>
      </c>
      <c r="O2720" s="34">
        <f>O2452</f>
        <v>0.35423361090517674</v>
      </c>
      <c r="P2720" s="34">
        <f>P2452</f>
        <v>0.82304856182512143</v>
      </c>
      <c r="Q2720" s="34">
        <f>Q2452</f>
        <v>0.64576638909482331</v>
      </c>
      <c r="R2720" s="46">
        <f>R2452</f>
        <v>12.07943110315159</v>
      </c>
    </row>
    <row r="2721" spans="2:18" ht="15" customHeight="1" x14ac:dyDescent="0.25">
      <c r="B2721" s="82" t="str">
        <f>("")</f>
        <v/>
      </c>
      <c r="C2721" s="92" t="str">
        <f t="shared" si="352"/>
        <v>Treatment - Radiation Oncology</v>
      </c>
      <c r="D2721" s="93"/>
      <c r="E2721" s="13" t="str">
        <f>("")</f>
        <v/>
      </c>
      <c r="F2721" s="86" t="str">
        <f>("")</f>
        <v/>
      </c>
      <c r="G2721" s="86" t="str">
        <f>("")</f>
        <v/>
      </c>
      <c r="H2721" s="86" t="str">
        <f>("")</f>
        <v/>
      </c>
      <c r="I2721" s="86" t="s">
        <v>331</v>
      </c>
      <c r="J2721" s="88" t="s">
        <v>226</v>
      </c>
      <c r="K2721" s="29">
        <f>K2493</f>
        <v>907079</v>
      </c>
      <c r="L2721" s="31">
        <f>L2493</f>
        <v>792821116.78009081</v>
      </c>
      <c r="M2721" s="31">
        <f>M2493</f>
        <v>172869799.67994702</v>
      </c>
      <c r="N2721" s="31">
        <f>N2493</f>
        <v>137473450.25992352</v>
      </c>
      <c r="O2721" s="34">
        <f>O2493</f>
        <v>0.21804388912095143</v>
      </c>
      <c r="P2721" s="34">
        <f>P2493</f>
        <v>0.79524272321969092</v>
      </c>
      <c r="Q2721" s="34">
        <f>Q2493</f>
        <v>0.78195611087904859</v>
      </c>
      <c r="R2721" s="46">
        <f>R2493</f>
        <v>151.55620432170022</v>
      </c>
    </row>
    <row r="2722" spans="2:18" ht="15" customHeight="1" x14ac:dyDescent="0.25">
      <c r="B2722" s="82" t="str">
        <f>("")</f>
        <v/>
      </c>
      <c r="C2722" s="92" t="str">
        <f t="shared" si="352"/>
        <v>Treatment - Skin and Soft Tissue Substitutes</v>
      </c>
      <c r="D2722" s="93"/>
      <c r="E2722" s="13" t="str">
        <f>("")</f>
        <v/>
      </c>
      <c r="F2722" s="86" t="str">
        <f>("")</f>
        <v/>
      </c>
      <c r="G2722" s="86" t="str">
        <f>("")</f>
        <v/>
      </c>
      <c r="H2722" s="86" t="str">
        <f>("")</f>
        <v/>
      </c>
      <c r="I2722" s="86" t="s">
        <v>336</v>
      </c>
      <c r="J2722" s="88" t="s">
        <v>171</v>
      </c>
      <c r="K2722" s="29">
        <f>K2530</f>
        <v>376568</v>
      </c>
      <c r="L2722" s="31">
        <f>L2530</f>
        <v>614726815.4201324</v>
      </c>
      <c r="M2722" s="31">
        <f>M2530</f>
        <v>530379256.91380119</v>
      </c>
      <c r="N2722" s="31">
        <f>N2530</f>
        <v>422651775.4847852</v>
      </c>
      <c r="O2722" s="34">
        <f>O2530</f>
        <v>0.86278854868453358</v>
      </c>
      <c r="P2722" s="34">
        <f>P2530</f>
        <v>0.79688594524630108</v>
      </c>
      <c r="Q2722" s="34">
        <f>Q2530</f>
        <v>0.13721145131546642</v>
      </c>
      <c r="R2722" s="46">
        <f>R2530</f>
        <v>1122.3783632299749</v>
      </c>
    </row>
    <row r="2723" spans="2:18" ht="15" customHeight="1" x14ac:dyDescent="0.25">
      <c r="B2723" s="82" t="str">
        <f>("")</f>
        <v/>
      </c>
      <c r="C2723" s="92" t="str">
        <f t="shared" si="352"/>
        <v>Treatment - Spinal Manipulation</v>
      </c>
      <c r="D2723" s="93"/>
      <c r="E2723" s="13" t="str">
        <f>("")</f>
        <v/>
      </c>
      <c r="F2723" s="86" t="str">
        <f>("")</f>
        <v/>
      </c>
      <c r="G2723" s="86" t="str">
        <f>("")</f>
        <v/>
      </c>
      <c r="H2723" s="86" t="str">
        <f>("")</f>
        <v/>
      </c>
      <c r="I2723" s="86" t="s">
        <v>340</v>
      </c>
      <c r="J2723" s="88" t="s">
        <v>17</v>
      </c>
      <c r="K2723" s="29">
        <f>K2552</f>
        <v>763489</v>
      </c>
      <c r="L2723" s="31">
        <f>L2552</f>
        <v>45471894.890001595</v>
      </c>
      <c r="M2723" s="31">
        <f>M2552</f>
        <v>28626670.649998881</v>
      </c>
      <c r="N2723" s="31">
        <f>N2552</f>
        <v>20292493.709992532</v>
      </c>
      <c r="O2723" s="34">
        <f>O2552</f>
        <v>0.62954646423352245</v>
      </c>
      <c r="P2723" s="34">
        <f>P2552</f>
        <v>0.70886670539150964</v>
      </c>
      <c r="Q2723" s="34">
        <f>Q2552</f>
        <v>0.37045353576647755</v>
      </c>
      <c r="R2723" s="46">
        <f>R2552</f>
        <v>26.578632711136024</v>
      </c>
    </row>
    <row r="2724" spans="2:18" ht="15" customHeight="1" x14ac:dyDescent="0.25">
      <c r="B2724" s="82" t="str">
        <f>("")</f>
        <v/>
      </c>
      <c r="C2724" s="92" t="str">
        <f t="shared" si="352"/>
        <v>Treatment - Treatment - Miscellaneous</v>
      </c>
      <c r="D2724" s="93"/>
      <c r="E2724" s="13" t="str">
        <f>("")</f>
        <v/>
      </c>
      <c r="F2724" s="86" t="str">
        <f>("")</f>
        <v/>
      </c>
      <c r="G2724" s="86" t="str">
        <f>("")</f>
        <v/>
      </c>
      <c r="H2724" s="86" t="str">
        <f>("")</f>
        <v/>
      </c>
      <c r="I2724" s="86" t="s">
        <v>344</v>
      </c>
      <c r="J2724" s="88" t="s">
        <v>111</v>
      </c>
      <c r="K2724" s="29">
        <f>K2631</f>
        <v>2144247</v>
      </c>
      <c r="L2724" s="31">
        <f>L2631</f>
        <v>144977615.8232072</v>
      </c>
      <c r="M2724" s="31">
        <f>M2631</f>
        <v>54185096.595974602</v>
      </c>
      <c r="N2724" s="31">
        <f>N2631</f>
        <v>42314541.974164702</v>
      </c>
      <c r="O2724" s="34">
        <f>O2631</f>
        <v>0.37374801819096376</v>
      </c>
      <c r="P2724" s="34">
        <f>P2631</f>
        <v>0.78092583814473149</v>
      </c>
      <c r="Q2724" s="34">
        <f>Q2631</f>
        <v>0.62625198180903618</v>
      </c>
      <c r="R2724" s="46">
        <f>R2631</f>
        <v>19.733986790777696</v>
      </c>
    </row>
    <row r="2725" spans="2:18" ht="15" customHeight="1" thickBot="1" x14ac:dyDescent="0.3">
      <c r="B2725" s="84" t="str">
        <f>("")</f>
        <v/>
      </c>
      <c r="C2725" s="92" t="str">
        <f t="shared" si="352"/>
        <v>Unclassified - Unclassified</v>
      </c>
      <c r="D2725" s="93"/>
      <c r="E2725" s="13" t="str">
        <f>("")</f>
        <v/>
      </c>
      <c r="F2725" s="86" t="str">
        <f>("")</f>
        <v/>
      </c>
      <c r="G2725" s="86" t="str">
        <f>("")</f>
        <v/>
      </c>
      <c r="H2725" s="86" t="str">
        <f>("")</f>
        <v/>
      </c>
      <c r="I2725" s="86" t="s">
        <v>347</v>
      </c>
      <c r="J2725" s="94" t="s">
        <v>197</v>
      </c>
      <c r="K2725" s="26">
        <f>K2671</f>
        <v>8717452</v>
      </c>
      <c r="L2725" s="28">
        <f>L2671</f>
        <v>614642873.24195361</v>
      </c>
      <c r="M2725" s="28">
        <f>M2671</f>
        <v>227045665.41501778</v>
      </c>
      <c r="N2725" s="28">
        <f>N2671</f>
        <v>174481830.39547408</v>
      </c>
      <c r="O2725" s="32">
        <f>O2671</f>
        <v>0.36939444887314499</v>
      </c>
      <c r="P2725" s="32">
        <f>P2671</f>
        <v>0.7684878285455834</v>
      </c>
      <c r="Q2725" s="32">
        <f>Q2671</f>
        <v>0.63060555112685501</v>
      </c>
      <c r="R2725" s="49">
        <f>R2671</f>
        <v>20.015232707386755</v>
      </c>
    </row>
    <row r="2726" spans="2:18" ht="15" customHeight="1" thickBot="1" x14ac:dyDescent="0.3">
      <c r="B2726" s="47"/>
      <c r="C2726" s="58"/>
      <c r="D2726" s="95" t="s">
        <v>369</v>
      </c>
      <c r="E2726" s="95"/>
      <c r="F2726" s="96"/>
      <c r="G2726" s="96"/>
      <c r="H2726" s="96"/>
      <c r="I2726" s="96"/>
      <c r="J2726" s="100"/>
      <c r="K2726" s="101">
        <f>SUM(K2678:K2725)</f>
        <v>214351971</v>
      </c>
      <c r="L2726" s="102">
        <f>SUM(L2678:L2725)</f>
        <v>31937172113.285553</v>
      </c>
      <c r="M2726" s="102">
        <f>SUM(M2678:M2725)</f>
        <v>9371481158.5585365</v>
      </c>
      <c r="N2726" s="102">
        <f>SUM(N2678:N2725)</f>
        <v>7446870981.5781479</v>
      </c>
      <c r="O2726" s="103">
        <f>IFERROR(M2726/L2726,0)</f>
        <v>0.29343490792849791</v>
      </c>
      <c r="P2726" s="103">
        <f>IFERROR(N2726/M2726,0)</f>
        <v>0.79463116401586831</v>
      </c>
      <c r="Q2726" s="103">
        <f>IFERROR(1-(M2726/L2726),0)</f>
        <v>0.70656509207150209</v>
      </c>
      <c r="R2726" s="104">
        <f>IFERROR(N2726/K2726,0)</f>
        <v>34.741322633222474</v>
      </c>
    </row>
    <row r="2727" spans="2:18" ht="15.75" thickBot="1" x14ac:dyDescent="0.3">
      <c r="B2727" s="97"/>
      <c r="C2727" s="105"/>
      <c r="D2727" s="98"/>
      <c r="E2727" s="98"/>
      <c r="F2727" s="98"/>
      <c r="G2727" s="98"/>
      <c r="H2727" s="98"/>
      <c r="I2727" s="98"/>
      <c r="J2727" s="99"/>
      <c r="K2727" s="99"/>
      <c r="L2727" s="99"/>
      <c r="M2727" s="99"/>
      <c r="N2727" s="99"/>
      <c r="O2727" s="99"/>
      <c r="P2727" s="99"/>
      <c r="Q2727" s="99"/>
      <c r="R2727" s="106"/>
    </row>
  </sheetData>
  <mergeCells count="151">
    <mergeCell ref="C2724:D2724"/>
    <mergeCell ref="C2725:D2725"/>
    <mergeCell ref="C2:D2"/>
    <mergeCell ref="C3:D3"/>
    <mergeCell ref="C4:R4"/>
    <mergeCell ref="Q2:R2"/>
    <mergeCell ref="Q3:R3"/>
    <mergeCell ref="C2718:D2718"/>
    <mergeCell ref="C2719:D2719"/>
    <mergeCell ref="C2720:D2720"/>
    <mergeCell ref="C2721:D2721"/>
    <mergeCell ref="C2722:D2722"/>
    <mergeCell ref="C2723:D2723"/>
    <mergeCell ref="C2712:D2712"/>
    <mergeCell ref="C2713:D2713"/>
    <mergeCell ref="C2714:D2714"/>
    <mergeCell ref="C2715:D2715"/>
    <mergeCell ref="C2716:D2716"/>
    <mergeCell ref="C2717:D2717"/>
    <mergeCell ref="C2706:D2706"/>
    <mergeCell ref="C2707:D2707"/>
    <mergeCell ref="C2708:D2708"/>
    <mergeCell ref="C2709:D2709"/>
    <mergeCell ref="C2710:D2710"/>
    <mergeCell ref="C2711:D2711"/>
    <mergeCell ref="C2700:D2700"/>
    <mergeCell ref="C2701:D2701"/>
    <mergeCell ref="C2702:D2702"/>
    <mergeCell ref="C2703:D2703"/>
    <mergeCell ref="C2704:D2704"/>
    <mergeCell ref="C2705:D2705"/>
    <mergeCell ref="C2694:D2694"/>
    <mergeCell ref="C2695:D2695"/>
    <mergeCell ref="C2696:D2696"/>
    <mergeCell ref="C2697:D2697"/>
    <mergeCell ref="C2698:D2698"/>
    <mergeCell ref="C2699:D2699"/>
    <mergeCell ref="C2688:D2688"/>
    <mergeCell ref="C2689:D2689"/>
    <mergeCell ref="C2690:D2690"/>
    <mergeCell ref="C2691:D2691"/>
    <mergeCell ref="C2692:D2692"/>
    <mergeCell ref="C2693:D2693"/>
    <mergeCell ref="C2682:D2682"/>
    <mergeCell ref="C2683:D2683"/>
    <mergeCell ref="C2684:D2684"/>
    <mergeCell ref="C2685:D2685"/>
    <mergeCell ref="C2686:D2686"/>
    <mergeCell ref="C2687:D2687"/>
    <mergeCell ref="C2674:R2674"/>
    <mergeCell ref="C2675:R2675"/>
    <mergeCell ref="C2678:D2678"/>
    <mergeCell ref="C2679:D2679"/>
    <mergeCell ref="C2680:D2680"/>
    <mergeCell ref="C2681:D2681"/>
    <mergeCell ref="C2533:R2533"/>
    <mergeCell ref="C2534:R2534"/>
    <mergeCell ref="C2555:R2555"/>
    <mergeCell ref="C2556:R2556"/>
    <mergeCell ref="C2634:R2634"/>
    <mergeCell ref="C2635:R2635"/>
    <mergeCell ref="C2372:R2372"/>
    <mergeCell ref="C2373:R2373"/>
    <mergeCell ref="C2455:R2455"/>
    <mergeCell ref="C2456:R2456"/>
    <mergeCell ref="C2496:R2496"/>
    <mergeCell ref="C2497:R2497"/>
    <mergeCell ref="C2235:R2235"/>
    <mergeCell ref="C2236:R2236"/>
    <mergeCell ref="C2301:R2301"/>
    <mergeCell ref="C2302:R2302"/>
    <mergeCell ref="C2341:R2341"/>
    <mergeCell ref="C2342:R2342"/>
    <mergeCell ref="C2066:R2066"/>
    <mergeCell ref="C2067:R2067"/>
    <mergeCell ref="C2108:R2108"/>
    <mergeCell ref="C2109:R2109"/>
    <mergeCell ref="C2187:R2187"/>
    <mergeCell ref="C2188:R2188"/>
    <mergeCell ref="C1869:R1869"/>
    <mergeCell ref="C1870:R1870"/>
    <mergeCell ref="C1906:R1906"/>
    <mergeCell ref="C1907:R1907"/>
    <mergeCell ref="C1991:R1991"/>
    <mergeCell ref="C1992:R1992"/>
    <mergeCell ref="C1613:R1613"/>
    <mergeCell ref="C1614:R1614"/>
    <mergeCell ref="C1706:R1706"/>
    <mergeCell ref="C1707:R1707"/>
    <mergeCell ref="C1799:R1799"/>
    <mergeCell ref="C1800:R1800"/>
    <mergeCell ref="C1499:R1499"/>
    <mergeCell ref="C1500:R1500"/>
    <mergeCell ref="C1515:R1515"/>
    <mergeCell ref="C1516:R1516"/>
    <mergeCell ref="C1526:R1526"/>
    <mergeCell ref="C1527:R1527"/>
    <mergeCell ref="C1403:R1403"/>
    <mergeCell ref="C1404:R1404"/>
    <mergeCell ref="C1423:R1423"/>
    <mergeCell ref="C1424:R1424"/>
    <mergeCell ref="C1455:R1455"/>
    <mergeCell ref="C1456:R1456"/>
    <mergeCell ref="C1168:R1168"/>
    <mergeCell ref="C1169:R1169"/>
    <mergeCell ref="C1281:R1281"/>
    <mergeCell ref="C1282:R1282"/>
    <mergeCell ref="C1395:R1395"/>
    <mergeCell ref="C1396:R1396"/>
    <mergeCell ref="C1032:R1032"/>
    <mergeCell ref="C1033:R1033"/>
    <mergeCell ref="C1080:R1080"/>
    <mergeCell ref="C1081:R1081"/>
    <mergeCell ref="C1122:R1122"/>
    <mergeCell ref="C1123:R1123"/>
    <mergeCell ref="C796:R796"/>
    <mergeCell ref="C797:R797"/>
    <mergeCell ref="C949:R949"/>
    <mergeCell ref="C950:R950"/>
    <mergeCell ref="C966:R966"/>
    <mergeCell ref="C967:R967"/>
    <mergeCell ref="C602:R602"/>
    <mergeCell ref="C603:R603"/>
    <mergeCell ref="C691:R691"/>
    <mergeCell ref="C692:R692"/>
    <mergeCell ref="C771:R771"/>
    <mergeCell ref="C772:R772"/>
    <mergeCell ref="C479:R479"/>
    <mergeCell ref="C480:R480"/>
    <mergeCell ref="C534:R534"/>
    <mergeCell ref="C535:R535"/>
    <mergeCell ref="C592:R592"/>
    <mergeCell ref="C593:R593"/>
    <mergeCell ref="C220:R220"/>
    <mergeCell ref="C221:R221"/>
    <mergeCell ref="C350:R350"/>
    <mergeCell ref="C351:R351"/>
    <mergeCell ref="C400:R400"/>
    <mergeCell ref="C401:R401"/>
    <mergeCell ref="C114:R114"/>
    <mergeCell ref="C115:R115"/>
    <mergeCell ref="C126:R126"/>
    <mergeCell ref="C127:R127"/>
    <mergeCell ref="C138:R138"/>
    <mergeCell ref="C139:R139"/>
    <mergeCell ref="C6:R6"/>
    <mergeCell ref="C7:R7"/>
    <mergeCell ref="C69:R69"/>
    <mergeCell ref="C70:R70"/>
    <mergeCell ref="C97:R97"/>
    <mergeCell ref="C98:R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1A7D-018C-4742-8020-9D287DF7C78F}">
  <dimension ref="A1:B14"/>
  <sheetViews>
    <sheetView tabSelected="1" workbookViewId="0">
      <selection sqref="A1:B1"/>
    </sheetView>
  </sheetViews>
  <sheetFormatPr defaultRowHeight="15" x14ac:dyDescent="0.25"/>
  <cols>
    <col min="1" max="1" width="56.7109375" customWidth="1"/>
    <col min="2" max="2" width="38.5703125" customWidth="1"/>
  </cols>
  <sheetData>
    <row r="1" spans="1:2" ht="30" customHeight="1" x14ac:dyDescent="0.25">
      <c r="A1" s="118" t="s">
        <v>372</v>
      </c>
      <c r="B1" s="118"/>
    </row>
    <row r="2" spans="1:2" x14ac:dyDescent="0.25">
      <c r="A2" s="119" t="s">
        <v>373</v>
      </c>
      <c r="B2" s="119"/>
    </row>
    <row r="4" spans="1:2" ht="30" customHeight="1" x14ac:dyDescent="0.25">
      <c r="A4" s="120" t="s">
        <v>368</v>
      </c>
      <c r="B4" s="120" t="s">
        <v>374</v>
      </c>
    </row>
    <row r="5" spans="1:2" x14ac:dyDescent="0.25">
      <c r="A5" t="s">
        <v>218</v>
      </c>
      <c r="B5" s="121">
        <v>1187.8852492168</v>
      </c>
    </row>
    <row r="6" spans="1:2" x14ac:dyDescent="0.25">
      <c r="A6" s="122" t="s">
        <v>323</v>
      </c>
      <c r="B6" s="123">
        <v>876.29917664660002</v>
      </c>
    </row>
    <row r="7" spans="1:2" x14ac:dyDescent="0.25">
      <c r="A7" t="s">
        <v>209</v>
      </c>
      <c r="B7" s="121">
        <v>533.62397209990002</v>
      </c>
    </row>
    <row r="8" spans="1:2" x14ac:dyDescent="0.25">
      <c r="A8" s="122" t="s">
        <v>304</v>
      </c>
      <c r="B8" s="123">
        <v>506.85061874989998</v>
      </c>
    </row>
    <row r="9" spans="1:2" x14ac:dyDescent="0.25">
      <c r="A9" t="s">
        <v>336</v>
      </c>
      <c r="B9" s="121">
        <v>422.6517754848</v>
      </c>
    </row>
    <row r="10" spans="1:2" x14ac:dyDescent="0.25">
      <c r="A10" s="122" t="s">
        <v>301</v>
      </c>
      <c r="B10" s="123">
        <v>340.62936815710003</v>
      </c>
    </row>
    <row r="11" spans="1:2" x14ac:dyDescent="0.25">
      <c r="A11" t="s">
        <v>259</v>
      </c>
      <c r="B11" s="121">
        <v>315.43768138400003</v>
      </c>
    </row>
    <row r="12" spans="1:2" x14ac:dyDescent="0.25">
      <c r="A12" s="122" t="s">
        <v>278</v>
      </c>
      <c r="B12" s="123">
        <v>303.26122288020002</v>
      </c>
    </row>
    <row r="13" spans="1:2" x14ac:dyDescent="0.25">
      <c r="A13" t="s">
        <v>273</v>
      </c>
      <c r="B13" s="121">
        <v>204.29029498</v>
      </c>
    </row>
    <row r="14" spans="1:2" x14ac:dyDescent="0.25">
      <c r="A14" s="122" t="s">
        <v>317</v>
      </c>
      <c r="B14" s="123">
        <v>192.56159202000001</v>
      </c>
    </row>
  </sheetData>
  <mergeCells count="2">
    <mergeCell ref="A1:B1"/>
    <mergeCell ref="A2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Medicare_Report</vt:lpstr>
      <vt:lpstr>Medicare_Chart</vt:lpstr>
    </vt:vector>
  </TitlesOfParts>
  <Company>Southwest Research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Fritts, Alex M.</dc:creator>
  <cp:lastModifiedBy>Fritts, Alex M.</cp:lastModifiedBy>
  <dcterms:created xsi:type="dcterms:W3CDTF">2026-10-19T18:30:48Z</dcterms:created>
  <dcterms:modified xsi:type="dcterms:W3CDTF">2026-10-19T18:32:40Z</dcterms:modified>
</cp:coreProperties>
</file>